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a5bb54f58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2c13d0d414436b"/>
    <x:sheet xmlns:r="http://schemas.openxmlformats.org/officeDocument/2006/relationships" name="Market Universe" sheetId="2" r:id="R1bbb7d1fea104d6e"/>
    <x:sheet xmlns:r="http://schemas.openxmlformats.org/officeDocument/2006/relationships" name="Methodology &amp; Sources" sheetId="3" r:id="Rd7b5f9827f37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#,##0"/>
    <x:numFmt numFmtId="202" formatCode="0.00"/>
    <x:numFmt numFmtId="203" formatCode="0.00000000"/>
    <x:numFmt numFmtId="204" formatCode="0.00%"/>
    <x:numFmt numFmtId="205" formatCode="#,##0.00"/>
    <x:numFmt numFmtId="206" formatCode="0.0000%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595959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595959"/>
      <x:name val="Aptos"/>
    </x:font>
    <x:font>
      <x:b/>
      <x:sz val="11"/>
      <x:color rgb="FF595959"/>
      <x:name val="Aptos"/>
    </x:font>
    <x:font>
      <x:b/>
      <x:sz val="11"/>
      <x:color rgb="FFFFFFFF"/>
      <x:name val="Aptos"/>
    </x:font>
    <x:font>
      <x:b/>
      <x:sz val="1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4FA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5" borderId="8" xfId="0" applyNumberFormat="1" applyFont="1" applyFill="1" applyBorder="1"/>
    <x:xf numFmtId="0" fontId="0" fillId="5" borderId="12" xfId="0" applyNumberFormat="1" applyFont="1" applyFill="1" applyBorder="1"/>
    <x:xf numFmtId="0" fontId="0" fillId="5" borderId="9" xfId="0" applyNumberFormat="1" applyFont="1" applyFill="1" applyBorder="1"/>
    <x:xf numFmtId="0" fontId="6" fillId="5" borderId="8" xfId="0" applyNumberFormat="1" applyFont="1" applyFill="1" applyBorder="1"/>
    <x:xf numFmtId="0" fontId="6" fillId="5" borderId="12" xfId="0" applyNumberFormat="1" applyFont="1" applyFill="1" applyBorder="1"/>
    <x:xf numFmtId="0" fontId="6" fillId="5" borderId="9" xfId="0" applyNumberFormat="1" applyFont="1" applyFill="1" applyBorder="1"/>
    <x:xf numFmtId="201" fontId="0" fillId="0" borderId="10" xfId="0" applyNumberFormat="1" applyFont="1" applyFill="1" applyBorder="1"/>
    <x:xf numFmtId="201" fontId="0" fillId="0" borderId="11" xfId="0" applyNumberFormat="1" applyFont="1" applyFill="1" applyBorder="1"/>
    <x:xf numFmtId="201" fontId="6" fillId="5" borderId="12" xfId="0" applyNumberFormat="1" applyFont="1" applyFill="1" applyBorder="1"/>
    <x:xf numFmtId="201" fontId="6" fillId="5" borderId="9" xfId="0" applyNumberFormat="1" applyFont="1" applyFill="1" applyBorder="1"/>
    <x:xf numFmtId="0" fontId="4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0" fontId="10" fillId="0" borderId="0" xfId="0" applyNumberFormat="1" applyFont="1" applyFill="1" applyBorder="1"/>
    <x:xf numFmtId="0" fontId="11" fillId="4" borderId="0" xfId="0" applyNumberFormat="1" applyFont="1" applyFill="1" applyBorder="1"/>
    <x:xf numFmtId="0" fontId="8" fillId="0" borderId="4" xfId="0" applyNumberFormat="1" applyFont="1" applyFill="1" applyBorder="1"/>
    <x:xf numFmtId="201" fontId="8" fillId="0" borderId="5" xfId="0" applyNumberFormat="1" applyFont="1" applyFill="1" applyBorder="1"/>
    <x:xf numFmtId="201" fontId="8" fillId="0" borderId="10" xfId="0" applyNumberFormat="1" applyFont="1" applyFill="1" applyBorder="1"/>
    <x:xf numFmtId="0" fontId="8" fillId="0" borderId="6" xfId="0" applyNumberFormat="1" applyFont="1" applyFill="1" applyBorder="1"/>
    <x:xf numFmtId="201" fontId="8" fillId="0" borderId="7" xfId="0" applyNumberFormat="1" applyFont="1" applyFill="1" applyBorder="1"/>
    <x:xf numFmtId="201" fontId="8" fillId="0" borderId="11" xfId="0" applyNumberFormat="1" applyFont="1" applyFill="1" applyBorder="1"/>
    <x:xf numFmtId="0" fontId="12" fillId="5" borderId="8" xfId="0" applyNumberFormat="1" applyFont="1" applyFill="1" applyBorder="1"/>
    <x:xf numFmtId="201" fontId="12" fillId="5" borderId="12" xfId="0" applyNumberFormat="1" applyFont="1" applyFill="1" applyBorder="1"/>
    <x:xf numFmtId="201" fontId="12" fillId="5" borderId="9" xfId="0" applyNumberFormat="1" applyFont="1" applyFill="1" applyBorder="1"/>
    <x:xf numFmtId="0" fontId="8" fillId="0" borderId="8" xfId="0" applyNumberFormat="1" applyFont="1" applyFill="1" applyBorder="1"/>
    <x:xf numFmtId="200" fontId="8" fillId="0" borderId="9" xfId="0" applyNumberFormat="1" applyFont="1" applyFill="1" applyBorder="1"/>
    <x:xf numFmtId="0" fontId="11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cf38422ed448c8" /><Relationship Type="http://schemas.openxmlformats.org/officeDocument/2006/relationships/theme" Target="/xl/theme/theme1.xml" Id="Rca0cc078d792441f" /><Relationship Type="http://schemas.microsoft.com/office/2022/11/relationships/FeaturePropertyBag" Target="/xl/featurePropertyBag/featurePropertyBag.xml" Id="R37870d8a02a144cc" /><Relationship Type="http://schemas.openxmlformats.org/officeDocument/2006/relationships/sharedStrings" Target="/xl/sharedStrings.xml" Id="Ra3aa5661b29f4018" /><Relationship Type="http://schemas.openxmlformats.org/officeDocument/2006/relationships/worksheet" Target="/xl/worksheets/sheet1.xml" Id="R782c13d0d414436b" /><Relationship Type="http://schemas.openxmlformats.org/officeDocument/2006/relationships/worksheet" Target="/xl/worksheets/sheet2.xml" Id="R1bbb7d1fea104d6e" /><Relationship Type="http://schemas.openxmlformats.org/officeDocument/2006/relationships/worksheet" Target="/xl/worksheets/sheet3.xml" Id="Rd7b5f9827f3742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arketUniverseTable" displayName="MarketUniverseTable" ref="A5:AA694" headerRowCount="1" totalsRowCount="0" totalsRowShown="0">
  <x:autoFilter ref="A5:AA694"/>
  <x:tableColumns count="27">
    <x:tableColumn id="1" name="Symbol"/>
    <x:tableColumn id="2" name="Base Asset"/>
    <x:tableColumn id="3" name="Quote Asset"/>
    <x:tableColumn id="4" name="Status"/>
    <x:tableColumn id="5" name="Spot Trading Allowed"/>
    <x:tableColumn id="6" name="Earliest Daily Open (UTC)"/>
    <x:tableColumn id="7" name="Earliest Daily Close (UTC)"/>
    <x:tableColumn id="8" name="History (Years)"/>
    <x:tableColumn id="9" name="Last Price (Quote Asset)"/>
    <x:tableColumn id="10" name="24h Change"/>
    <x:tableColumn id="11" name="24h Base Volume"/>
    <x:tableColumn id="12" name="24h Quote Volume"/>
    <x:tableColumn id="13" name="24h Trades"/>
    <x:tableColumn id="14" name="Best Bid"/>
    <x:tableColumn id="15" name="Best Ask"/>
    <x:tableColumn id="16" name="Midpoint Spread"/>
    <x:tableColumn id="17" name="Weighted Average Price"/>
    <x:tableColumn id="18" name="24h High"/>
    <x:tableColumn id="19" name="24h Low"/>
    <x:tableColumn id="20" name="Ticker Window Start (UTC)"/>
    <x:tableColumn id="21" name="Ticker Snapshot (UTC)"/>
    <x:tableColumn id="22" name="Minimum Notional"/>
    <x:tableColumn id="23" name="Minimum Quantity"/>
    <x:tableColumn id="24" name="Quantity Step Size"/>
    <x:tableColumn id="25" name="Price Tick Size"/>
    <x:tableColumn id="26" name="Current Liquidity Available"/>
    <x:tableColumn id="27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2aa2c10fd145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4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4" hidden="0" customWidth="1"/>
  </x:cols>
  <x:sheetData>
    <x:row r="1" ht="34" customHeight="1">
      <x:c r="A1" s="67" t="str">
        <x:v>Binance Spot Universe Exploration</x:v>
      </x:c>
      <x:c r="B1" s="67"/>
      <x:c r="C1" s="67"/>
      <x:c r="D1" s="67"/>
      <x:c r="E1" s="67"/>
      <x:c r="F1" s="67"/>
      <x:c r="G1" s="67"/>
      <x:c r="H1" s="67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 ht="30" customHeight="1">
      <x:c r="A3" s="69" t="str">
        <x:v>Coverage: all Binance spot symbols quoted in USD or USDT. Values represent an exploratory snapshot, not a final asset-selection rule.</x:v>
      </x:c>
      <x:c r="B3" s="69"/>
      <x:c r="C3" s="69"/>
      <x:c r="D3" s="69"/>
      <x:c r="E3" s="69"/>
      <x:c r="F3" s="69"/>
      <x:c r="G3" s="69"/>
      <x:c r="H3" s="69"/>
    </x:row>
    <x:row r="4">
      <x:c r="A4" s="68"/>
      <x:c r="B4" s="68"/>
      <x:c r="C4" s="68"/>
      <x:c r="D4" s="68"/>
      <x:c r="E4" s="68"/>
      <x:c r="F4" s="68"/>
      <x:c r="G4" s="68"/>
      <x:c r="H4" s="68"/>
    </x:row>
    <x:row r="5">
      <x:c r="A5" s="70" t="str">
        <x:v>Ticker snapshot (UTC)</x:v>
      </x:c>
      <x:c r="B5" s="71" t="n">
        <x:v>46237.012491319445</x:v>
      </x:c>
      <x:c r="C5" s="68"/>
      <x:c r="D5" s="68"/>
      <x:c r="E5" s="68"/>
      <x:c r="F5" s="68"/>
      <x:c r="G5" s="68"/>
      <x:c r="H5" s="68"/>
    </x:row>
    <x:row r="6">
      <x:c r="A6" s="68"/>
      <x:c r="B6" s="68"/>
      <x:c r="C6" s="68"/>
      <x:c r="D6" s="68"/>
      <x:c r="E6" s="68"/>
      <x:c r="F6" s="68"/>
      <x:c r="G6" s="68"/>
      <x:c r="H6" s="68"/>
    </x:row>
    <x:row r="7">
      <x:c r="A7" s="72" t="str">
        <x:v>Metric</x:v>
      </x:c>
      <x:c r="B7" s="72" t="str">
        <x:v>Value</x:v>
      </x:c>
      <x:c r="C7" s="68"/>
      <x:c r="D7" s="72" t="str">
        <x:v>Quote Asset</x:v>
      </x:c>
      <x:c r="E7" s="72" t="str">
        <x:v>Pairs</x:v>
      </x:c>
      <x:c r="F7" s="72" t="str">
        <x:v>Trading</x:v>
      </x:c>
      <x:c r="G7" s="72" t="str">
        <x:v>Current Liquidity</x:v>
      </x:c>
      <x:c r="H7" s="68"/>
    </x:row>
    <x:row r="8">
      <x:c r="A8" s="73" t="str">
        <x:v>Total pairs</x:v>
      </x:c>
      <x:c r="B8" s="74" t="n">
        <x:f>COUNTA('Market Universe'!$A$6:$A$694)</x:f>
        <x:v>689</x:v>
      </x:c>
      <x:c r="C8" s="68"/>
      <x:c r="D8" s="73" t="str">
        <x:v>USD</x:v>
      </x:c>
      <x:c r="E8" s="75" t="n">
        <x:f>COUNTIF('Market Universe'!$C$6:$C$694,D8)</x:f>
        <x:v>7</x:v>
      </x:c>
      <x:c r="F8" s="75" t="n">
        <x:f>COUNTIFS('Market Universe'!$C$6:$C$694,D8,'Market Universe'!$D$6:$D$694,"TRADING")</x:f>
        <x:v>7</x:v>
      </x:c>
      <x:c r="G8" s="74" t="n">
        <x:f>COUNTIFS('Market Universe'!$C$6:$C$694,D8,'Market Universe'!$Z$6:$Z$694,"Yes")</x:f>
        <x:v>7</x:v>
      </x:c>
      <x:c r="H8" s="68"/>
    </x:row>
    <x:row r="9">
      <x:c r="A9" s="76" t="str">
        <x:v>Trading pairs</x:v>
      </x:c>
      <x:c r="B9" s="77" t="n">
        <x:f>COUNTIF('Market Universe'!$D$6:$D$694,"TRADING")</x:f>
        <x:v>486</x:v>
      </x:c>
      <x:c r="C9" s="68"/>
      <x:c r="D9" s="76" t="str">
        <x:v>USDT</x:v>
      </x:c>
      <x:c r="E9" s="78" t="n">
        <x:f>COUNTIF('Market Universe'!$C$6:$C$694,D9)</x:f>
        <x:v>682</x:v>
      </x:c>
      <x:c r="F9" s="78" t="n">
        <x:f>COUNTIFS('Market Universe'!$C$6:$C$694,D9,'Market Universe'!$D$6:$D$694,"TRADING")</x:f>
        <x:v>479</x:v>
      </x:c>
      <x:c r="G9" s="77" t="n">
        <x:f>COUNTIFS('Market Universe'!$C$6:$C$694,D9,'Market Universe'!$Z$6:$Z$694,"Yes")</x:f>
        <x:v>479</x:v>
      </x:c>
      <x:c r="H9" s="68"/>
    </x:row>
    <x:row r="10">
      <x:c r="A10" s="76" t="str">
        <x:v>Break pairs</x:v>
      </x:c>
      <x:c r="B10" s="77" t="n">
        <x:f>COUNTIF('Market Universe'!$D$6:$D$694,"BREAK")</x:f>
        <x:v>203</x:v>
      </x:c>
      <x:c r="C10" s="68"/>
      <x:c r="D10" s="79" t="str">
        <x:v>Total</x:v>
      </x:c>
      <x:c r="E10" s="80" t="n">
        <x:f>SUM(E8:E9)</x:f>
        <x:v>689</x:v>
      </x:c>
      <x:c r="F10" s="80" t="n">
        <x:f>SUM(F8:F9)</x:f>
        <x:v>486</x:v>
      </x:c>
      <x:c r="G10" s="81" t="n">
        <x:f>SUM(G8:G9)</x:f>
        <x:v>486</x:v>
      </x:c>
      <x:c r="H10" s="68"/>
    </x:row>
    <x:row r="11">
      <x:c r="A11" s="76" t="str">
        <x:v>USD pairs</x:v>
      </x:c>
      <x:c r="B11" s="77" t="n">
        <x:f>COUNTIF('Market Universe'!$C$6:$C$694,"USD")</x:f>
        <x:v>7</x:v>
      </x:c>
      <x:c r="C11" s="68"/>
      <x:c r="D11" s="68"/>
      <x:c r="E11" s="68"/>
      <x:c r="F11" s="68"/>
      <x:c r="G11" s="68"/>
      <x:c r="H11" s="68"/>
    </x:row>
    <x:row r="12">
      <x:c r="A12" s="76" t="str">
        <x:v>USDT pairs</x:v>
      </x:c>
      <x:c r="B12" s="77" t="n">
        <x:f>COUNTIF('Market Universe'!$C$6:$C$694,"USDT")</x:f>
        <x:v>682</x:v>
      </x:c>
      <x:c r="C12" s="68"/>
      <x:c r="D12" s="68"/>
      <x:c r="E12" s="68"/>
      <x:c r="F12" s="68"/>
      <x:c r="G12" s="68"/>
      <x:c r="H12" s="68"/>
    </x:row>
    <x:row r="13">
      <x:c r="A13" s="76" t="str">
        <x:v>Pairs with current liquidity data</x:v>
      </x:c>
      <x:c r="B13" s="77" t="n">
        <x:f>COUNTIF('Market Universe'!$Z$6:$Z$694,"Yes")</x:f>
        <x:v>486</x:v>
      </x:c>
      <x:c r="C13" s="68"/>
      <x:c r="D13" s="68"/>
      <x:c r="E13" s="68"/>
      <x:c r="F13" s="68"/>
      <x:c r="G13" s="68"/>
      <x:c r="H13" s="68"/>
    </x:row>
    <x:row r="14">
      <x:c r="A14" s="82" t="str">
        <x:v>Earliest daily candle (UTC)</x:v>
      </x:c>
      <x:c r="B14" s="83" t="n">
        <x:f>MIN('Market Universe'!$F$6:$F$694)</x:f>
        <x:v>42964</x:v>
      </x:c>
      <x:c r="C14" s="68"/>
      <x:c r="D14" s="68"/>
      <x:c r="E14" s="68"/>
      <x:c r="F14" s="68"/>
      <x:c r="G14" s="68"/>
      <x:c r="H14" s="68"/>
    </x:row>
    <x:row r="15">
      <x:c r="A15" s="68"/>
      <x:c r="B15" s="68"/>
      <x:c r="C15" s="68"/>
      <x:c r="D15" s="68"/>
      <x:c r="E15" s="68"/>
      <x:c r="F15" s="68"/>
      <x:c r="G15" s="68"/>
      <x:c r="H15" s="68"/>
    </x:row>
    <x:row r="16">
      <x:c r="A16" s="68"/>
      <x:c r="B16" s="68"/>
      <x:c r="C16" s="68"/>
      <x:c r="D16" s="68"/>
      <x:c r="E16" s="68"/>
      <x:c r="F16" s="68"/>
      <x:c r="G16" s="68"/>
      <x:c r="H16" s="68"/>
    </x:row>
    <x:row r="17">
      <x:c r="A17" s="84" t="str">
        <x:v>How to use this workbook</x:v>
      </x:c>
      <x:c r="B17" s="84"/>
      <x:c r="C17" s="84"/>
      <x:c r="D17" s="84"/>
      <x:c r="E17" s="84"/>
      <x:c r="F17" s="84"/>
      <x:c r="G17" s="84"/>
      <x:c r="H17" s="84"/>
    </x:row>
    <x:row r="18" ht="25" customHeight="1">
      <x:c r="A18" s="85" t="str">
        <x:v>1. Filter the Market Universe sheet by Status and Quote Asset.</x:v>
      </x:c>
      <x:c r="B18" s="85"/>
      <x:c r="C18" s="85"/>
      <x:c r="D18" s="85"/>
      <x:c r="E18" s="85"/>
      <x:c r="F18" s="85"/>
      <x:c r="G18" s="85"/>
      <x:c r="H18" s="85"/>
    </x:row>
    <x:row r="19" ht="25" customHeight="1">
      <x:c r="A19" s="85" t="str">
        <x:v>2. Compare 24h Quote Volume, 24h Trades, and Midpoint Spread as current liquidity indicators.</x:v>
      </x:c>
      <x:c r="B19" s="85"/>
      <x:c r="C19" s="85"/>
      <x:c r="D19" s="85"/>
      <x:c r="E19" s="85"/>
      <x:c r="F19" s="85"/>
      <x:c r="G19" s="85"/>
      <x:c r="H19" s="85"/>
    </x:row>
    <x:row r="20" ht="25" customHeight="1">
      <x:c r="A20" s="85" t="str">
        <x:v>3. Use Earliest Daily Open to identify the available history for each pair.</x:v>
      </x:c>
      <x:c r="B20" s="85"/>
      <x:c r="C20" s="85"/>
      <x:c r="D20" s="85"/>
      <x:c r="E20" s="85"/>
      <x:c r="F20" s="85"/>
      <x:c r="G20" s="85"/>
      <x:c r="H20" s="85"/>
    </x:row>
    <x:row r="21" ht="25" customHeight="1">
      <x:c r="A21" s="85" t="str">
        <x:v>4. Define and approve eligibility thresholds before creating a research configuration.</x:v>
      </x:c>
      <x:c r="B21" s="85"/>
      <x:c r="C21" s="85"/>
      <x:c r="D21" s="85"/>
      <x:c r="E21" s="85"/>
      <x:c r="F21" s="85"/>
      <x:c r="G21" s="85"/>
      <x:c r="H21" s="85"/>
    </x:row>
  </x:sheetData>
  <x:mergeCells>
    <x:mergeCell ref="A1:H1"/>
    <x:mergeCell ref="A3:H3"/>
    <x:mergeCell ref="A17:H17"/>
    <x:mergeCell ref="A18:H18"/>
    <x:mergeCell ref="A19:H19"/>
    <x:mergeCell ref="A20:H20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1" hidden="0" customWidth="1"/>
    <x:col min="5" max="5" width="13" hidden="0" customWidth="1"/>
    <x:col min="6" max="6" width="21" hidden="0" customWidth="1"/>
    <x:col min="7" max="7" width="21" hidden="0" customWidth="1"/>
    <x:col min="8" max="8" width="12" hidden="0" customWidth="1"/>
    <x:col min="9" max="9" width="18" hidden="0" customWidth="1"/>
    <x:col min="10" max="10" width="12" hidden="0" customWidth="1"/>
    <x:col min="11" max="11" width="17" hidden="0" customWidth="1"/>
    <x:col min="12" max="12" width="18" hidden="0" customWidth="1"/>
    <x:col min="13" max="13" width="13" hidden="0" customWidth="1"/>
    <x:col min="14" max="14" width="15" hidden="0" customWidth="1"/>
    <x:col min="15" max="15" width="15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  <x:col min="20" max="20" width="21" hidden="0" customWidth="1"/>
    <x:col min="21" max="21" width="21" hidden="0" customWidth="1"/>
    <x:col min="22" max="22" width="15" hidden="0" customWidth="1"/>
    <x:col min="23" max="23" width="15" hidden="0" customWidth="1"/>
    <x:col min="24" max="24" width="15" hidden="0" customWidth="1"/>
    <x:col min="25" max="25" width="14" hidden="0" customWidth="1"/>
    <x:col min="26" max="26" width="13" hidden="0" customWidth="1"/>
    <x:col min="27" max="27" width="48" hidden="0" customWidth="1"/>
  </x:cols>
  <x:sheetData>
    <x:row r="1" ht="30" customHeight="1">
      <x:c r="A1" s="3" t="str">
        <x:v>Binance Spot Market Universe: USD and USDT Quote Assets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28" customHeight="1">
      <x:c r="A2" s="7" t="str">
        <x:v>Exploratory snapshot. The workbook includes active and historical spot symbols; no final research eligibility rule has been applied.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>
      <x:c r="A3" s="8" t="str">
        <x:v>Ticker snapshot (UTC)</x:v>
      </x:c>
      <x:c r="B3" s="9" t="n">
        <x:v>46237.012491319445</x:v>
      </x:c>
      <x:c r="C3" s="8" t="str">
        <x:v>Rows</x:v>
      </x:c>
      <x:c r="D3" s="10" t="n">
        <x:v>689</x:v>
      </x:c>
    </x:row>
    <x:row r="5" ht="42" customHeight="1">
      <x:c r="A5" s="19" t="str">
        <x:v>Symbol</x:v>
      </x:c>
      <x:c r="B5" s="20" t="str">
        <x:v>Base Asset</x:v>
      </x:c>
      <x:c r="C5" s="20" t="str">
        <x:v>Quote Asset</x:v>
      </x:c>
      <x:c r="D5" s="20" t="str">
        <x:v>Status</x:v>
      </x:c>
      <x:c r="E5" s="20" t="str">
        <x:v>Spot Trading Allowed</x:v>
      </x:c>
      <x:c r="F5" s="20" t="str">
        <x:v>Earliest Daily Open (UTC)</x:v>
      </x:c>
      <x:c r="G5" s="20" t="str">
        <x:v>Earliest Daily Close (UTC)</x:v>
      </x:c>
      <x:c r="H5" s="20" t="str">
        <x:v>History (Years)</x:v>
      </x:c>
      <x:c r="I5" s="20" t="str">
        <x:v>Last Price (Quote Asset)</x:v>
      </x:c>
      <x:c r="J5" s="20" t="str">
        <x:v>24h Change</x:v>
      </x:c>
      <x:c r="K5" s="20" t="str">
        <x:v>24h Base Volume</x:v>
      </x:c>
      <x:c r="L5" s="20" t="str">
        <x:v>24h Quote Volume</x:v>
      </x:c>
      <x:c r="M5" s="20" t="str">
        <x:v>24h Trades</x:v>
      </x:c>
      <x:c r="N5" s="20" t="str">
        <x:v>Best Bid</x:v>
      </x:c>
      <x:c r="O5" s="20" t="str">
        <x:v>Best Ask</x:v>
      </x:c>
      <x:c r="P5" s="20" t="str">
        <x:v>Midpoint Spread</x:v>
      </x:c>
      <x:c r="Q5" s="20" t="str">
        <x:v>Weighted Average Price</x:v>
      </x:c>
      <x:c r="R5" s="20" t="str">
        <x:v>24h High</x:v>
      </x:c>
      <x:c r="S5" s="20" t="str">
        <x:v>24h Low</x:v>
      </x:c>
      <x:c r="T5" s="20" t="str">
        <x:v>Ticker Window Start (UTC)</x:v>
      </x:c>
      <x:c r="U5" s="20" t="str">
        <x:v>Ticker Snapshot (UTC)</x:v>
      </x:c>
      <x:c r="V5" s="20" t="str">
        <x:v>Minimum Notional</x:v>
      </x:c>
      <x:c r="W5" s="20" t="str">
        <x:v>Minimum Quantity</x:v>
      </x:c>
      <x:c r="X5" s="20" t="str">
        <x:v>Quantity Step Size</x:v>
      </x:c>
      <x:c r="Y5" s="20" t="str">
        <x:v>Price Tick Size</x:v>
      </x:c>
      <x:c r="Z5" s="20" t="str">
        <x:v>Current Liquidity Available</x:v>
      </x:c>
      <x:c r="AA5" s="21" t="str">
        <x:v>Source URL</x:v>
      </x:c>
    </x:row>
    <x:row r="6">
      <x:c r="A6" s="30" t="str">
        <x:v>BNBUSD</x:v>
      </x:c>
      <x:c r="B6" s="30" t="str">
        <x:v>BNB</x:v>
      </x:c>
      <x:c r="C6" s="30" t="str">
        <x:v>USD</x:v>
      </x:c>
      <x:c r="D6" s="30" t="str">
        <x:v>TRADING</x:v>
      </x:c>
      <x:c r="E6" s="31" t="b">
        <x:v>1</x:v>
      </x:c>
      <x:c r="F6" s="32" t="n">
        <x:v>46084</x:v>
      </x:c>
      <x:c r="G6" s="32" t="n">
        <x:v>46084.999999988424</x:v>
      </x:c>
      <x:c r="H6" s="33" t="n">
        <x:f>IF(F6="","",('Summary'!$B$5-F6)/365.25)</x:f>
        <x:v>0.4189253697999862</x:v>
      </x:c>
      <x:c r="I6" s="34" t="n">
        <x:v>585.72</x:v>
      </x:c>
      <x:c r="J6" s="35" t="n">
        <x:v>0.01518</x:v>
      </x:c>
      <x:c r="K6" s="36" t="n">
        <x:v>22.626</x:v>
      </x:c>
      <x:c r="L6" s="36" t="n">
        <x:v>13253.29416</x:v>
      </x:c>
      <x:c r="M6" s="37" t="n">
        <x:v>96</x:v>
      </x:c>
      <x:c r="N6" s="34" t="n">
        <x:v>585.73</x:v>
      </x:c>
      <x:c r="O6" s="34" t="n">
        <x:v>585.91</x:v>
      </x:c>
      <x:c r="P6" s="38" t="n">
        <x:f>IF(OR(N6="",O6="",N6=0,O6=0),"",(O6-N6)/((O6+N6)/2))</x:f>
        <x:v>0.00030726161619601584</x:v>
      </x:c>
      <x:c r="Q6" s="34" t="n">
        <x:v>585.75506762</x:v>
      </x:c>
      <x:c r="R6" s="34" t="n">
        <x:v>590.64</x:v>
      </x:c>
      <x:c r="S6" s="34" t="n">
        <x:v>576.96</x:v>
      </x:c>
      <x:c r="T6" s="32" t="n">
        <x:v>46236.012420231484</x:v>
      </x:c>
      <x:c r="U6" s="32" t="n">
        <x:v>46237.012420231484</x:v>
      </x:c>
      <x:c r="V6" s="34" t="n">
        <x:v>5</x:v>
      </x:c>
      <x:c r="W6" s="34" t="n">
        <x:v>0.001</x:v>
      </x:c>
      <x:c r="X6" s="34" t="n">
        <x:v>0.001</x:v>
      </x:c>
      <x:c r="Y6" s="34" t="n">
        <x:v>0.01</x:v>
      </x:c>
      <x:c r="Z6" s="30" t="str">
        <x:f>IF(AND(D6="TRADING",I6&lt;&gt;"",L6&lt;&gt;"",M6&lt;&gt;"",N6&lt;&gt;"",O6&lt;&gt;""),"Yes","No")</x:f>
        <x:v>Yes</x:v>
      </x:c>
      <x:c r="AA6" s="39" t="str">
        <x:v>https://developers.binance.com/en/docs/catalog/core-trading-spot-trading/api/rest-api</x:v>
      </x:c>
    </x:row>
    <x:row r="7">
      <x:c r="A7" s="30" t="str">
        <x:v>BTCUSD</x:v>
      </x:c>
      <x:c r="B7" s="30" t="str">
        <x:v>BTC</x:v>
      </x:c>
      <x:c r="C7" s="30" t="str">
        <x:v>USD</x:v>
      </x:c>
      <x:c r="D7" s="30" t="str">
        <x:v>TRADING</x:v>
      </x:c>
      <x:c r="E7" s="31" t="b">
        <x:v>1</x:v>
      </x:c>
      <x:c r="F7" s="32" t="n">
        <x:v>45995</x:v>
      </x:c>
      <x:c r="G7" s="32" t="n">
        <x:v>45995.999999988424</x:v>
      </x:c>
      <x:c r="H7" s="33" t="n">
        <x:f>IF(F7="","",('Summary'!$B$5-F7)/365.25)</x:f>
        <x:v>0.6625940898547432</x:v>
      </x:c>
      <x:c r="I7" s="34" t="n">
        <x:v>63377.33</x:v>
      </x:c>
      <x:c r="J7" s="35" t="n">
        <x:v>0.008960000000000001</x:v>
      </x:c>
      <x:c r="K7" s="36" t="n">
        <x:v>3.61681</x:v>
      </x:c>
      <x:c r="L7" s="36" t="n">
        <x:v>229351.9370355</x:v>
      </x:c>
      <x:c r="M7" s="37" t="n">
        <x:v>2050</x:v>
      </x:c>
      <x:c r="N7" s="34" t="n">
        <x:v>63357.01</x:v>
      </x:c>
      <x:c r="O7" s="34" t="n">
        <x:v>63383.56</x:v>
      </x:c>
      <x:c r="P7" s="38" t="n">
        <x:f>IF(OR(N7="",O7="",N7=0,O7=0),"",(O7-N7)/((O7+N7)/2))</x:f>
        <x:v>0.0004189660816579195</x:v>
      </x:c>
      <x:c r="Q7" s="34" t="n">
        <x:v>63412.76899685</x:v>
      </x:c>
      <x:c r="R7" s="34" t="n">
        <x:v>63752.94</x:v>
      </x:c>
      <x:c r="S7" s="34" t="n">
        <x:v>62772.01</x:v>
      </x:c>
      <x:c r="T7" s="32" t="n">
        <x:v>46236.012479930556</x:v>
      </x:c>
      <x:c r="U7" s="32" t="n">
        <x:v>46237.012479930556</x:v>
      </x:c>
      <x:c r="V7" s="34" t="n">
        <x:v>5</x:v>
      </x:c>
      <x:c r="W7" s="34" t="n">
        <x:v>0.00001</x:v>
      </x:c>
      <x:c r="X7" s="34" t="n">
        <x:v>0.00001</x:v>
      </x:c>
      <x:c r="Y7" s="34" t="n">
        <x:v>0.01</x:v>
      </x:c>
      <x:c r="Z7" s="30" t="str">
        <x:f>IF(AND(D7="TRADING",I7&lt;&gt;"",L7&lt;&gt;"",M7&lt;&gt;"",N7&lt;&gt;"",O7&lt;&gt;""),"Yes","No")</x:f>
        <x:v>Yes</x:v>
      </x:c>
      <x:c r="AA7" s="39" t="str">
        <x:v>https://developers.binance.com/en/docs/catalog/core-trading-spot-trading/api/rest-api</x:v>
      </x:c>
    </x:row>
    <x:row r="8">
      <x:c r="A8" s="30" t="str">
        <x:v>ETHUSD</x:v>
      </x:c>
      <x:c r="B8" s="30" t="str">
        <x:v>ETH</x:v>
      </x:c>
      <x:c r="C8" s="30" t="str">
        <x:v>USD</x:v>
      </x:c>
      <x:c r="D8" s="30" t="str">
        <x:v>TRADING</x:v>
      </x:c>
      <x:c r="E8" s="31" t="b">
        <x:v>1</x:v>
      </x:c>
      <x:c r="F8" s="32" t="n">
        <x:v>46084</x:v>
      </x:c>
      <x:c r="G8" s="32" t="n">
        <x:v>46084.999999988424</x:v>
      </x:c>
      <x:c r="H8" s="33" t="n">
        <x:f>IF(F8="","",('Summary'!$B$5-F8)/365.25)</x:f>
        <x:v>0.4189253697999862</x:v>
      </x:c>
      <x:c r="I8" s="34" t="n">
        <x:v>1881.62</x:v>
      </x:c>
      <x:c r="J8" s="35" t="n">
        <x:v>0.01887</x:v>
      </x:c>
      <x:c r="K8" s="36" t="n">
        <x:v>21.5164</x:v>
      </x:c>
      <x:c r="L8" s="36" t="n">
        <x:v>40267.317865</x:v>
      </x:c>
      <x:c r="M8" s="37" t="n">
        <x:v>153</x:v>
      </x:c>
      <x:c r="N8" s="34" t="n">
        <x:v>1877.5</x:v>
      </x:c>
      <x:c r="O8" s="34" t="n">
        <x:v>1879.02</x:v>
      </x:c>
      <x:c r="P8" s="38" t="n">
        <x:f>IF(OR(N8="",O8="",N8=0,O8=0),"",(O8-N8)/((O8+N8)/2))</x:f>
        <x:v>0.0008092596339164876</x:v>
      </x:c>
      <x:c r="Q8" s="34" t="n">
        <x:v>1871.47096471</x:v>
      </x:c>
      <x:c r="R8" s="34" t="n">
        <x:v>1894.85</x:v>
      </x:c>
      <x:c r="S8" s="34" t="n">
        <x:v>1844.33</x:v>
      </x:c>
      <x:c r="T8" s="32" t="n">
        <x:v>46236.01248064815</x:v>
      </x:c>
      <x:c r="U8" s="32" t="n">
        <x:v>46237.01248064815</x:v>
      </x:c>
      <x:c r="V8" s="34" t="n">
        <x:v>5</x:v>
      </x:c>
      <x:c r="W8" s="34" t="n">
        <x:v>0.0001</x:v>
      </x:c>
      <x:c r="X8" s="34" t="n">
        <x:v>0.0001</x:v>
      </x:c>
      <x:c r="Y8" s="34" t="n">
        <x:v>0.01</x:v>
      </x:c>
      <x:c r="Z8" s="30" t="str">
        <x:f>IF(AND(D8="TRADING",I8&lt;&gt;"",L8&lt;&gt;"",M8&lt;&gt;"",N8&lt;&gt;"",O8&lt;&gt;""),"Yes","No")</x:f>
        <x:v>Yes</x:v>
      </x:c>
      <x:c r="AA8" s="39" t="str">
        <x:v>https://developers.binance.com/en/docs/catalog/core-trading-spot-trading/api/rest-api</x:v>
      </x:c>
    </x:row>
    <x:row r="9">
      <x:c r="A9" s="30" t="str">
        <x:v>SOLUSD</x:v>
      </x:c>
      <x:c r="B9" s="30" t="str">
        <x:v>SOL</x:v>
      </x:c>
      <x:c r="C9" s="30" t="str">
        <x:v>USD</x:v>
      </x:c>
      <x:c r="D9" s="30" t="str">
        <x:v>TRADING</x:v>
      </x:c>
      <x:c r="E9" s="31" t="b">
        <x:v>1</x:v>
      </x:c>
      <x:c r="F9" s="32" t="n">
        <x:v>46084</x:v>
      </x:c>
      <x:c r="G9" s="32" t="n">
        <x:v>46084.999999988424</x:v>
      </x:c>
      <x:c r="H9" s="33" t="n">
        <x:f>IF(F9="","",('Summary'!$B$5-F9)/365.25)</x:f>
        <x:v>0.4189253697999862</x:v>
      </x:c>
      <x:c r="I9" s="34" t="n">
        <x:v>73.51</x:v>
      </x:c>
      <x:c r="J9" s="35" t="n">
        <x:v>0.0197</x:v>
      </x:c>
      <x:c r="K9" s="36" t="n">
        <x:v>245.107</x:v>
      </x:c>
      <x:c r="L9" s="36" t="n">
        <x:v>17989.78471</x:v>
      </x:c>
      <x:c r="M9" s="37" t="n">
        <x:v>140</x:v>
      </x:c>
      <x:c r="N9" s="34" t="n">
        <x:v>73.37</x:v>
      </x:c>
      <x:c r="O9" s="34" t="n">
        <x:v>73.44</x:v>
      </x:c>
      <x:c r="P9" s="38" t="n">
        <x:f>IF(OR(N9="",O9="",N9=0,O9=0),"",(O9-N9)/((O9+N9)/2))</x:f>
        <x:v>0.0009536135140657064</x:v>
      </x:c>
      <x:c r="Q9" s="34" t="n">
        <x:v>73.39563827</x:v>
      </x:c>
      <x:c r="R9" s="34" t="n">
        <x:v>74.23</x:v>
      </x:c>
      <x:c r="S9" s="34" t="n">
        <x:v>72.04</x:v>
      </x:c>
      <x:c r="T9" s="32" t="n">
        <x:v>46236.01247767361</x:v>
      </x:c>
      <x:c r="U9" s="32" t="n">
        <x:v>46237.01247767361</x:v>
      </x:c>
      <x:c r="V9" s="34" t="n">
        <x:v>5</x:v>
      </x:c>
      <x:c r="W9" s="34" t="n">
        <x:v>0.001</x:v>
      </x:c>
      <x:c r="X9" s="34" t="n">
        <x:v>0.001</x:v>
      </x:c>
      <x:c r="Y9" s="34" t="n">
        <x:v>0.01</x:v>
      </x:c>
      <x:c r="Z9" s="30" t="str">
        <x:f>IF(AND(D9="TRADING",I9&lt;&gt;"",L9&lt;&gt;"",M9&lt;&gt;"",N9&lt;&gt;"",O9&lt;&gt;""),"Yes","No")</x:f>
        <x:v>Yes</x:v>
      </x:c>
      <x:c r="AA9" s="39" t="str">
        <x:v>https://developers.binance.com/en/docs/catalog/core-trading-spot-trading/api/rest-api</x:v>
      </x:c>
    </x:row>
    <x:row r="10">
      <x:c r="A10" s="30" t="str">
        <x:v>USDCUSD</x:v>
      </x:c>
      <x:c r="B10" s="30" t="str">
        <x:v>USDC</x:v>
      </x:c>
      <x:c r="C10" s="30" t="str">
        <x:v>USD</x:v>
      </x:c>
      <x:c r="D10" s="30" t="str">
        <x:v>TRADING</x:v>
      </x:c>
      <x:c r="E10" s="31" t="b">
        <x:v>1</x:v>
      </x:c>
      <x:c r="F10" s="32" t="n">
        <x:v>45979</x:v>
      </x:c>
      <x:c r="G10" s="32" t="n">
        <x:v>45979.999999988424</x:v>
      </x:c>
      <x:c r="H10" s="33" t="n">
        <x:f>IF(F10="","",('Summary'!$B$5-F10)/365.25)</x:f>
        <x:v>0.7063997024488569</x:v>
      </x:c>
      <x:c r="I10" s="34" t="n">
        <x:v>0.99995</x:v>
      </x:c>
      <x:c r="J10" s="35" t="n">
        <x:v>-0.00008999999999999999</x:v>
      </x:c>
      <x:c r="K10" s="36" t="n">
        <x:v>4833724</x:v>
      </x:c>
      <x:c r="L10" s="36" t="n">
        <x:v>4834040.56074</x:v>
      </x:c>
      <x:c r="M10" s="37" t="n">
        <x:v>34269</x:v>
      </x:c>
      <x:c r="N10" s="34" t="n">
        <x:v>0.99994</x:v>
      </x:c>
      <x:c r="O10" s="34" t="n">
        <x:v>0.99995</x:v>
      </x:c>
      <x:c r="P10" s="38" t="n">
        <x:f>IF(OR(N10="",O10="",N10=0,O10=0),"",(O10-N10)/((O10+N10)/2))</x:f>
        <x:v>0.00001000055003020615</x:v>
      </x:c>
      <x:c r="Q10" s="34" t="n">
        <x:v>1.00006549</x:v>
      </x:c>
      <x:c r="R10" s="34" t="n">
        <x:v>1.0004</x:v>
      </x:c>
      <x:c r="S10" s="34" t="n">
        <x:v>0.99991</x:v>
      </x:c>
      <x:c r="T10" s="32" t="n">
        <x:v>46236.012265868056</x:v>
      </x:c>
      <x:c r="U10" s="32" t="n">
        <x:v>46237.012265868056</x:v>
      </x:c>
      <x:c r="V10" s="34" t="n">
        <x:v>5</x:v>
      </x:c>
      <x:c r="W10" s="34" t="n">
        <x:v>1</x:v>
      </x:c>
      <x:c r="X10" s="34" t="n">
        <x:v>1</x:v>
      </x:c>
      <x:c r="Y10" s="34" t="n">
        <x:v>0.00001</x:v>
      </x:c>
      <x:c r="Z10" s="30" t="str">
        <x:f>IF(AND(D10="TRADING",I10&lt;&gt;"",L10&lt;&gt;"",M10&lt;&gt;"",N10&lt;&gt;"",O10&lt;&gt;""),"Yes","No")</x:f>
        <x:v>Yes</x:v>
      </x:c>
      <x:c r="AA10" s="39" t="str">
        <x:v>https://developers.binance.com/en/docs/catalog/core-trading-spot-trading/api/rest-api</x:v>
      </x:c>
    </x:row>
    <x:row r="11">
      <x:c r="A11" s="30" t="str">
        <x:v>USDTUSD</x:v>
      </x:c>
      <x:c r="B11" s="30" t="str">
        <x:v>USDT</x:v>
      </x:c>
      <x:c r="C11" s="30" t="str">
        <x:v>USD</x:v>
      </x:c>
      <x:c r="D11" s="30" t="str">
        <x:v>TRADING</x:v>
      </x:c>
      <x:c r="E11" s="31" t="b">
        <x:v>1</x:v>
      </x:c>
      <x:c r="F11" s="32" t="n">
        <x:v>45979</x:v>
      </x:c>
      <x:c r="G11" s="32" t="n">
        <x:v>45979.999999988424</x:v>
      </x:c>
      <x:c r="H11" s="33" t="n">
        <x:f>IF(F11="","",('Summary'!$B$5-F11)/365.25)</x:f>
        <x:v>0.7063997024488569</x:v>
      </x:c>
      <x:c r="I11" s="34" t="n">
        <x:v>0.999</x:v>
      </x:c>
      <x:c r="J11" s="35" t="n">
        <x:v>-0.00026</x:v>
      </x:c>
      <x:c r="K11" s="36" t="n">
        <x:v>13051014</x:v>
      </x:c>
      <x:c r="L11" s="36" t="n">
        <x:v>13040966.67711</x:v>
      </x:c>
      <x:c r="M11" s="37" t="n">
        <x:v>50130</x:v>
      </x:c>
      <x:c r="N11" s="34" t="n">
        <x:v>0.99899</x:v>
      </x:c>
      <x:c r="O11" s="34" t="n">
        <x:v>0.999</x:v>
      </x:c>
      <x:c r="P11" s="38" t="n">
        <x:f>IF(OR(N11="",O11="",N11=0,O11=0),"",(O11-N11)/((O11+N11)/2))</x:f>
        <x:v>0.000010010060110365406</x:v>
      </x:c>
      <x:c r="Q11" s="34" t="n">
        <x:v>0.99923015</x:v>
      </x:c>
      <x:c r="R11" s="34" t="n">
        <x:v>0.99953</x:v>
      </x:c>
      <x:c r="S11" s="34" t="n">
        <x:v>0.99897</x:v>
      </x:c>
      <x:c r="T11" s="32" t="n">
        <x:v>46236.01247644676</x:v>
      </x:c>
      <x:c r="U11" s="32" t="n">
        <x:v>46237.01247644676</x:v>
      </x:c>
      <x:c r="V11" s="34" t="n">
        <x:v>5</x:v>
      </x:c>
      <x:c r="W11" s="34" t="n">
        <x:v>1</x:v>
      </x:c>
      <x:c r="X11" s="34" t="n">
        <x:v>1</x:v>
      </x:c>
      <x:c r="Y11" s="34" t="n">
        <x:v>0.00001</x:v>
      </x:c>
      <x:c r="Z11" s="30" t="str">
        <x:f>IF(AND(D11="TRADING",I11&lt;&gt;"",L11&lt;&gt;"",M11&lt;&gt;"",N11&lt;&gt;"",O11&lt;&gt;""),"Yes","No")</x:f>
        <x:v>Yes</x:v>
      </x:c>
      <x:c r="AA11" s="39" t="str">
        <x:v>https://developers.binance.com/en/docs/catalog/core-trading-spot-trading/api/rest-api</x:v>
      </x:c>
    </x:row>
    <x:row r="12">
      <x:c r="A12" s="30" t="str">
        <x:v>UUSD</x:v>
      </x:c>
      <x:c r="B12" s="30" t="str">
        <x:v>U</x:v>
      </x:c>
      <x:c r="C12" s="30" t="str">
        <x:v>USD</x:v>
      </x:c>
      <x:c r="D12" s="30" t="str">
        <x:v>TRADING</x:v>
      </x:c>
      <x:c r="E12" s="31" t="b">
        <x:v>1</x:v>
      </x:c>
      <x:c r="F12" s="32" t="n">
        <x:v>46233</x:v>
      </x:c>
      <x:c r="G12" s="32" t="n">
        <x:v>46233.999999988424</x:v>
      </x:c>
      <x:c r="H12" s="33" t="n">
        <x:f>IF(F12="","",('Summary'!$B$5-F12)/365.25)</x:f>
        <x:v>0.010985602517303112</x:v>
      </x:c>
      <x:c r="I12" s="34" t="n">
        <x:v>1.00047</x:v>
      </x:c>
      <x:c r="J12" s="35" t="n">
        <x:v>0.001</x:v>
      </x:c>
      <x:c r="K12" s="36" t="n">
        <x:v>395</x:v>
      </x:c>
      <x:c r="L12" s="36" t="n">
        <x:v>394.91821</x:v>
      </x:c>
      <x:c r="M12" s="37" t="n">
        <x:v>4</x:v>
      </x:c>
      <x:c r="N12" s="34" t="n">
        <x:v>0.99953</x:v>
      </x:c>
      <x:c r="O12" s="34" t="n">
        <x:v>1.00024</x:v>
      </x:c>
      <x:c r="P12" s="38" t="n">
        <x:f>IF(OR(N12="",O12="",N12=0,O12=0),"",(O12-N12)/((O12+N12)/2))</x:f>
        <x:v>0.0007100816593908183</x:v>
      </x:c>
      <x:c r="Q12" s="34" t="n">
        <x:v>0.99979294</x:v>
      </x:c>
      <x:c r="R12" s="34" t="n">
        <x:v>1.00047</x:v>
      </x:c>
      <x:c r="S12" s="34" t="n">
        <x:v>0.999</x:v>
      </x:c>
      <x:c r="T12" s="32" t="n">
        <x:v>46236.01090006944</x:v>
      </x:c>
      <x:c r="U12" s="32" t="n">
        <x:v>46237.01090006944</x:v>
      </x:c>
      <x:c r="V12" s="34" t="n">
        <x:v>5</x:v>
      </x:c>
      <x:c r="W12" s="34" t="n">
        <x:v>1</x:v>
      </x:c>
      <x:c r="X12" s="34" t="n">
        <x:v>1</x:v>
      </x:c>
      <x:c r="Y12" s="34" t="n">
        <x:v>0.00001</x:v>
      </x:c>
      <x:c r="Z12" s="30" t="str">
        <x:f>IF(AND(D12="TRADING",I12&lt;&gt;"",L12&lt;&gt;"",M12&lt;&gt;"",N12&lt;&gt;"",O12&lt;&gt;""),"Yes","No")</x:f>
        <x:v>Yes</x:v>
      </x:c>
      <x:c r="AA12" s="39" t="str">
        <x:v>https://developers.binance.com/en/docs/catalog/core-trading-spot-trading/api/rest-api</x:v>
      </x:c>
    </x:row>
    <x:row r="13">
      <x:c r="A13" s="30" t="str">
        <x:v>0GUSDT</x:v>
      </x:c>
      <x:c r="B13" s="30" t="str">
        <x:v>0G</x:v>
      </x:c>
      <x:c r="C13" s="30" t="str">
        <x:v>USDT</x:v>
      </x:c>
      <x:c r="D13" s="30" t="str">
        <x:v>TRADING</x:v>
      </x:c>
      <x:c r="E13" s="31" t="b">
        <x:v>1</x:v>
      </x:c>
      <x:c r="F13" s="32" t="n">
        <x:v>45922</x:v>
      </x:c>
      <x:c r="G13" s="32" t="n">
        <x:v>45922.999999988424</x:v>
      </x:c>
      <x:c r="H13" s="33" t="n">
        <x:f>IF(F13="","",('Summary'!$B$5-F13)/365.25)</x:f>
        <x:v>0.8624571973153866</x:v>
      </x:c>
      <x:c r="I13" s="34" t="n">
        <x:v>0.14</x:v>
      </x:c>
      <x:c r="J13" s="35" t="n">
        <x:v>-0.03448</x:v>
      </x:c>
      <x:c r="K13" s="36" t="n">
        <x:v>3037100.25</x:v>
      </x:c>
      <x:c r="L13" s="36" t="n">
        <x:v>435592.92097</x:v>
      </x:c>
      <x:c r="M13" s="37" t="n">
        <x:v>3061</x:v>
      </x:c>
      <x:c r="N13" s="34" t="n">
        <x:v>0.139</x:v>
      </x:c>
      <x:c r="O13" s="34" t="n">
        <x:v>0.14</x:v>
      </x:c>
      <x:c r="P13" s="38" t="n">
        <x:f>IF(OR(N13="",O13="",N13=0,O13=0),"",(O13-N13)/((O13+N13)/2))</x:f>
        <x:v>0.007168458781362013</x:v>
      </x:c>
      <x:c r="Q13" s="34" t="n">
        <x:v>0.14342395</x:v>
      </x:c>
      <x:c r="R13" s="34" t="n">
        <x:v>0.149</x:v>
      </x:c>
      <x:c r="S13" s="34" t="n">
        <x:v>0.139</x:v>
      </x:c>
      <x:c r="T13" s="32" t="n">
        <x:v>46236.0124662963</x:v>
      </x:c>
      <x:c r="U13" s="32" t="n">
        <x:v>46237.0124662963</x:v>
      </x:c>
      <x:c r="V13" s="34" t="n">
        <x:v>5</x:v>
      </x:c>
      <x:c r="W13" s="34" t="n">
        <x:v>0.01</x:v>
      </x:c>
      <x:c r="X13" s="34" t="n">
        <x:v>0.01</x:v>
      </x:c>
      <x:c r="Y13" s="34" t="n">
        <x:v>0.001</x:v>
      </x:c>
      <x:c r="Z13" s="30" t="str">
        <x:f>IF(AND(D13="TRADING",I13&lt;&gt;"",L13&lt;&gt;"",M13&lt;&gt;"",N13&lt;&gt;"",O13&lt;&gt;""),"Yes","No")</x:f>
        <x:v>Yes</x:v>
      </x:c>
      <x:c r="AA13" s="39" t="str">
        <x:v>https://developers.binance.com/en/docs/catalog/core-trading-spot-trading/api/rest-api</x:v>
      </x:c>
    </x:row>
    <x:row r="14">
      <x:c r="A14" s="30" t="str">
        <x:v>1000CATUSDT</x:v>
      </x:c>
      <x:c r="B14" s="30" t="str">
        <x:v>1000CAT</x:v>
      </x:c>
      <x:c r="C14" s="30" t="str">
        <x:v>USDT</x:v>
      </x:c>
      <x:c r="D14" s="30" t="str">
        <x:v>TRADING</x:v>
      </x:c>
      <x:c r="E14" s="31" t="b">
        <x:v>1</x:v>
      </x:c>
      <x:c r="F14" s="32" t="n">
        <x:v>45643</x:v>
      </x:c>
      <x:c r="G14" s="32" t="n">
        <x:v>45643.999999988424</x:v>
      </x:c>
      <x:c r="H14" s="33" t="n">
        <x:f>IF(F14="","",('Summary'!$B$5-F14)/365.25)</x:f>
        <x:v>1.626317566925243</x:v>
      </x:c>
      <x:c r="I14" s="34" t="n">
        <x:v>0.00136</x:v>
      </x:c>
      <x:c r="J14" s="35" t="n">
        <x:v>-0.02158</x:v>
      </x:c>
      <x:c r="K14" s="36" t="n">
        <x:v>131063321</x:v>
      </x:c>
      <x:c r="L14" s="36" t="n">
        <x:v>182640.325917</x:v>
      </x:c>
      <x:c r="M14" s="37" t="n">
        <x:v>2884</x:v>
      </x:c>
      <x:c r="N14" s="34" t="n">
        <x:v>0.00136</x:v>
      </x:c>
      <x:c r="O14" s="34" t="n">
        <x:v>0.00137</x:v>
      </x:c>
      <x:c r="P14" s="38" t="n">
        <x:f>IF(OR(N14="",O14="",N14=0,O14=0),"",(O14-N14)/((O14+N14)/2))</x:f>
        <x:v>0.007326007326007187</x:v>
      </x:c>
      <x:c r="Q14" s="34" t="n">
        <x:v>0.00139353</x:v>
      </x:c>
      <x:c r="R14" s="34" t="n">
        <x:v>0.00146</x:v>
      </x:c>
      <x:c r="S14" s="34" t="n">
        <x:v>0.00135</x:v>
      </x:c>
      <x:c r="T14" s="32" t="n">
        <x:v>46236.01246798611</x:v>
      </x:c>
      <x:c r="U14" s="32" t="n">
        <x:v>46237.01246798611</x:v>
      </x:c>
      <x:c r="V14" s="34" t="n">
        <x:v>1</x:v>
      </x:c>
      <x:c r="W14" s="34" t="n">
        <x:v>0.1</x:v>
      </x:c>
      <x:c r="X14" s="34" t="n">
        <x:v>0.1</x:v>
      </x:c>
      <x:c r="Y14" s="34" t="n">
        <x:v>0.00001</x:v>
      </x:c>
      <x:c r="Z14" s="30" t="str">
        <x:f>IF(AND(D14="TRADING",I14&lt;&gt;"",L14&lt;&gt;"",M14&lt;&gt;"",N14&lt;&gt;"",O14&lt;&gt;""),"Yes","No")</x:f>
        <x:v>Yes</x:v>
      </x:c>
      <x:c r="AA14" s="39" t="str">
        <x:v>https://developers.binance.com/en/docs/catalog/core-trading-spot-trading/api/rest-api</x:v>
      </x:c>
    </x:row>
    <x:row r="15">
      <x:c r="A15" s="30" t="str">
        <x:v>1000CHEEMSUSDT</x:v>
      </x:c>
      <x:c r="B15" s="30" t="str">
        <x:v>1000CHEEMS</x:v>
      </x:c>
      <x:c r="C15" s="30" t="str">
        <x:v>USDT</x:v>
      </x:c>
      <x:c r="D15" s="30" t="str">
        <x:v>TRADING</x:v>
      </x:c>
      <x:c r="E15" s="31" t="b">
        <x:v>1</x:v>
      </x:c>
      <x:c r="F15" s="32" t="n">
        <x:v>45697</x:v>
      </x:c>
      <x:c r="G15" s="32" t="n">
        <x:v>45697.999999988424</x:v>
      </x:c>
      <x:c r="H15" s="33" t="n">
        <x:f>IF(F15="","",('Summary'!$B$5-F15)/365.25)</x:f>
        <x:v>1.4784736244201093</x:v>
      </x:c>
      <x:c r="I15" s="34" t="n">
        <x:v>0.000491</x:v>
      </x:c>
      <x:c r="J15" s="35" t="n">
        <x:v>0.027200000000000002</x:v>
      </x:c>
      <x:c r="K15" s="36" t="n">
        <x:v>514693686</x:v>
      </x:c>
      <x:c r="L15" s="36" t="n">
        <x:v>251725.060256</x:v>
      </x:c>
      <x:c r="M15" s="37" t="n">
        <x:v>21867</x:v>
      </x:c>
      <x:c r="N15" s="34" t="n">
        <x:v>0.00049</x:v>
      </x:c>
      <x:c r="O15" s="34" t="n">
        <x:v>0.000491</x:v>
      </x:c>
      <x:c r="P15" s="38" t="n">
        <x:f>IF(OR(N15="",O15="",N15=0,O15=0),"",(O15-N15)/((O15+N15)/2))</x:f>
        <x:v>0.0020387359836901613</x:v>
      </x:c>
      <x:c r="Q15" s="34" t="n">
        <x:v>0.00048908</x:v>
      </x:c>
      <x:c r="R15" s="34" t="n">
        <x:v>0.000502</x:v>
      </x:c>
      <x:c r="S15" s="34" t="n">
        <x:v>0.000476</x:v>
      </x:c>
      <x:c r="T15" s="32" t="n">
        <x:v>46236.01247206018</x:v>
      </x:c>
      <x:c r="U15" s="32" t="n">
        <x:v>46237.01247206018</x:v>
      </x:c>
      <x:c r="V15" s="34" t="n">
        <x:v>1</x:v>
      </x:c>
      <x:c r="W15" s="34" t="n">
        <x:v>1</x:v>
      </x:c>
      <x:c r="X15" s="34" t="n">
        <x:v>1</x:v>
      </x:c>
      <x:c r="Y15" s="34" t="n">
        <x:v>0.000001</x:v>
      </x:c>
      <x:c r="Z15" s="30" t="str">
        <x:f>IF(AND(D15="TRADING",I15&lt;&gt;"",L15&lt;&gt;"",M15&lt;&gt;"",N15&lt;&gt;"",O15&lt;&gt;""),"Yes","No")</x:f>
        <x:v>Yes</x:v>
      </x:c>
      <x:c r="AA15" s="39" t="str">
        <x:v>https://developers.binance.com/en/docs/catalog/core-trading-spot-trading/api/rest-api</x:v>
      </x:c>
    </x:row>
    <x:row r="16">
      <x:c r="A16" s="30" t="str">
        <x:v>1000SATSUSDT</x:v>
      </x:c>
      <x:c r="B16" s="30" t="str">
        <x:v>1000SATS</x:v>
      </x:c>
      <x:c r="C16" s="30" t="str">
        <x:v>USDT</x:v>
      </x:c>
      <x:c r="D16" s="30" t="str">
        <x:v>TRADING</x:v>
      </x:c>
      <x:c r="E16" s="31" t="b">
        <x:v>1</x:v>
      </x:c>
      <x:c r="F16" s="32" t="n">
        <x:v>45272</x:v>
      </x:c>
      <x:c r="G16" s="32" t="n">
        <x:v>45272.999999988424</x:v>
      </x:c>
      <x:c r="H16" s="33" t="n">
        <x:f>IF(F16="","",('Summary'!$B$5-F16)/365.25)</x:f>
        <x:v>2.6420602089512526</x:v>
      </x:c>
      <x:c r="I16" s="34" t="n">
        <x:v>0.00001068</x:v>
      </x:c>
      <x:c r="J16" s="35" t="n">
        <x:v>-0.0387</x:v>
      </x:c>
      <x:c r="K16" s="36" t="n">
        <x:v>341870647131</x:v>
      </x:c>
      <x:c r="L16" s="36" t="n">
        <x:v>3815810.9489486</x:v>
      </x:c>
      <x:c r="M16" s="37" t="n">
        <x:v>48772</x:v>
      </x:c>
      <x:c r="N16" s="34" t="n">
        <x:v>0.00001068</x:v>
      </x:c>
      <x:c r="O16" s="34" t="n">
        <x:v>0.00001069</x:v>
      </x:c>
      <x:c r="P16" s="38" t="n">
        <x:f>IF(OR(N16="",O16="",N16=0,O16=0),"",(O16-N16)/((O16+N16)/2))</x:f>
        <x:v>0.0009358914365933462</x:v>
      </x:c>
      <x:c r="Q16" s="34" t="n">
        <x:v>0.00001116</x:v>
      </x:c>
      <x:c r="R16" s="34" t="n">
        <x:v>0.00001199</x:v>
      </x:c>
      <x:c r="S16" s="34" t="n">
        <x:v>0.00001033</x:v>
      </x:c>
      <x:c r="T16" s="32" t="n">
        <x:v>46236.012049074074</x:v>
      </x:c>
      <x:c r="U16" s="32" t="n">
        <x:v>46237.012049074074</x:v>
      </x:c>
      <x:c r="V16" s="34" t="n">
        <x:v>1</x:v>
      </x:c>
      <x:c r="W16" s="34" t="n">
        <x:v>1</x:v>
      </x:c>
      <x:c r="X16" s="34" t="n">
        <x:v>1</x:v>
      </x:c>
      <x:c r="Y16" s="34" t="n">
        <x:v>1e-8</x:v>
      </x:c>
      <x:c r="Z16" s="30" t="str">
        <x:f>IF(AND(D16="TRADING",I16&lt;&gt;"",L16&lt;&gt;"",M16&lt;&gt;"",N16&lt;&gt;"",O16&lt;&gt;""),"Yes","No")</x:f>
        <x:v>Yes</x:v>
      </x:c>
      <x:c r="AA16" s="39" t="str">
        <x:v>https://developers.binance.com/en/docs/catalog/core-trading-spot-trading/api/rest-api</x:v>
      </x:c>
    </x:row>
    <x:row r="17">
      <x:c r="A17" s="30" t="str">
        <x:v>1INCHUSDT</x:v>
      </x:c>
      <x:c r="B17" s="30" t="str">
        <x:v>1INCH</x:v>
      </x:c>
      <x:c r="C17" s="30" t="str">
        <x:v>USDT</x:v>
      </x:c>
      <x:c r="D17" s="30" t="str">
        <x:v>TRADING</x:v>
      </x:c>
      <x:c r="E17" s="31" t="b">
        <x:v>1</x:v>
      </x:c>
      <x:c r="F17" s="32" t="n">
        <x:v>44190</x:v>
      </x:c>
      <x:c r="G17" s="32" t="n">
        <x:v>44190.999999988424</x:v>
      </x:c>
      <x:c r="H17" s="33" t="n">
        <x:f>IF(F17="","",('Summary'!$B$5-F17)/365.25)</x:f>
        <x:v>5.604414760628186</x:v>
      </x:c>
      <x:c r="I17" s="34" t="n">
        <x:v>0.0813</x:v>
      </x:c>
      <x:c r="J17" s="35" t="n">
        <x:v>0.00743</x:v>
      </x:c>
      <x:c r="K17" s="36" t="n">
        <x:v>4397553.6</x:v>
      </x:c>
      <x:c r="L17" s="36" t="n">
        <x:v>360691.55</x:v>
      </x:c>
      <x:c r="M17" s="37" t="n">
        <x:v>5168</x:v>
      </x:c>
      <x:c r="N17" s="34" t="n">
        <x:v>0.0812</x:v>
      </x:c>
      <x:c r="O17" s="34" t="n">
        <x:v>0.0813</x:v>
      </x:c>
      <x:c r="P17" s="38" t="n">
        <x:f>IF(OR(N17="",O17="",N17=0,O17=0),"",(O17-N17)/((O17+N17)/2))</x:f>
        <x:v>0.0012307692307692662</x:v>
      </x:c>
      <x:c r="Q17" s="34" t="n">
        <x:v>0.08202096</x:v>
      </x:c>
      <x:c r="R17" s="34" t="n">
        <x:v>0.0833</x:v>
      </x:c>
      <x:c r="S17" s="34" t="n">
        <x:v>0.0807</x:v>
      </x:c>
      <x:c r="T17" s="32" t="n">
        <x:v>46236.012444444445</x:v>
      </x:c>
      <x:c r="U17" s="32" t="n">
        <x:v>46237.012444444445</x:v>
      </x:c>
      <x:c r="V17" s="34" t="n">
        <x:v>5</x:v>
      </x:c>
      <x:c r="W17" s="34" t="n">
        <x:v>0.1</x:v>
      </x:c>
      <x:c r="X17" s="34" t="n">
        <x:v>0.1</x:v>
      </x:c>
      <x:c r="Y17" s="34" t="n">
        <x:v>0.0001</x:v>
      </x:c>
      <x:c r="Z17" s="30" t="str">
        <x:f>IF(AND(D17="TRADING",I17&lt;&gt;"",L17&lt;&gt;"",M17&lt;&gt;"",N17&lt;&gt;"",O17&lt;&gt;""),"Yes","No")</x:f>
        <x:v>Yes</x:v>
      </x:c>
      <x:c r="AA17" s="39" t="str">
        <x:v>https://developers.binance.com/en/docs/catalog/core-trading-spot-trading/api/rest-api</x:v>
      </x:c>
    </x:row>
    <x:row r="18">
      <x:c r="A18" s="30" t="str">
        <x:v>1MBABYDOGEUSDT</x:v>
      </x:c>
      <x:c r="B18" s="30" t="str">
        <x:v>1MBABYDOGE</x:v>
      </x:c>
      <x:c r="C18" s="30" t="str">
        <x:v>USDT</x:v>
      </x:c>
      <x:c r="D18" s="30" t="str">
        <x:v>TRADING</x:v>
      </x:c>
      <x:c r="E18" s="31" t="b">
        <x:v>1</x:v>
      </x:c>
      <x:c r="F18" s="32" t="n">
        <x:v>45551</x:v>
      </x:c>
      <x:c r="G18" s="32" t="n">
        <x:v>45551.999999988424</x:v>
      </x:c>
      <x:c r="H18" s="33" t="n">
        <x:f>IF(F18="","",('Summary'!$B$5-F18)/365.25)</x:f>
        <x:v>1.8781998393413961</x:v>
      </x:c>
      <x:c r="I18" s="34" t="n">
        <x:v>0.0003068</x:v>
      </x:c>
      <x:c r="J18" s="35" t="n">
        <x:v>0.01154</x:v>
      </x:c>
      <x:c r="K18" s="36" t="n">
        <x:v>754401567</x:v>
      </x:c>
      <x:c r="L18" s="36" t="n">
        <x:v>232098.8166109</x:v>
      </x:c>
      <x:c r="M18" s="37" t="n">
        <x:v>3158</x:v>
      </x:c>
      <x:c r="N18" s="34" t="n">
        <x:v>0.0003068</x:v>
      </x:c>
      <x:c r="O18" s="34" t="n">
        <x:v>0.0003071</x:v>
      </x:c>
      <x:c r="P18" s="38" t="n">
        <x:f>IF(OR(N18="",O18="",N18=0,O18=0),"",(O18-N18)/((O18+N18)/2))</x:f>
        <x:v>0.0009773578758755738</x:v>
      </x:c>
      <x:c r="Q18" s="34" t="n">
        <x:v>0.00030766</x:v>
      </x:c>
      <x:c r="R18" s="34" t="n">
        <x:v>0.0003102</x:v>
      </x:c>
      <x:c r="S18" s="34" t="n">
        <x:v>0.0003023</x:v>
      </x:c>
      <x:c r="T18" s="32" t="n">
        <x:v>46236.012460694445</x:v>
      </x:c>
      <x:c r="U18" s="32" t="n">
        <x:v>46237.012460694445</x:v>
      </x:c>
      <x:c r="V18" s="34" t="n">
        <x:v>1</x:v>
      </x:c>
      <x:c r="W18" s="34" t="n">
        <x:v>1</x:v>
      </x:c>
      <x:c r="X18" s="34" t="n">
        <x:v>1</x:v>
      </x:c>
      <x:c r="Y18" s="34" t="n">
        <x:v>1e-7</x:v>
      </x:c>
      <x:c r="Z18" s="30" t="str">
        <x:f>IF(AND(D18="TRADING",I18&lt;&gt;"",L18&lt;&gt;"",M18&lt;&gt;"",N18&lt;&gt;"",O18&lt;&gt;""),"Yes","No")</x:f>
        <x:v>Yes</x:v>
      </x:c>
      <x:c r="AA18" s="39" t="str">
        <x:v>https://developers.binance.com/en/docs/catalog/core-trading-spot-trading/api/rest-api</x:v>
      </x:c>
    </x:row>
    <x:row r="19">
      <x:c r="A19" s="30" t="str">
        <x:v>2ZUSDT</x:v>
      </x:c>
      <x:c r="B19" s="30" t="str">
        <x:v>2Z</x:v>
      </x:c>
      <x:c r="C19" s="30" t="str">
        <x:v>USDT</x:v>
      </x:c>
      <x:c r="D19" s="30" t="str">
        <x:v>TRADING</x:v>
      </x:c>
      <x:c r="E19" s="31" t="b">
        <x:v>1</x:v>
      </x:c>
      <x:c r="F19" s="32" t="n">
        <x:v>45932</x:v>
      </x:c>
      <x:c r="G19" s="32" t="n">
        <x:v>45932.999999988424</x:v>
      </x:c>
      <x:c r="H19" s="33" t="n">
        <x:f>IF(F19="","",('Summary'!$B$5-F19)/365.25)</x:f>
        <x:v>0.8350786894440656</x:v>
      </x:c>
      <x:c r="I19" s="34" t="n">
        <x:v>0.05518</x:v>
      </x:c>
      <x:c r="J19" s="35" t="n">
        <x:v>-0.0032500000000000003</x:v>
      </x:c>
      <x:c r="K19" s="36" t="n">
        <x:v>2570421</x:v>
      </x:c>
      <x:c r="L19" s="36" t="n">
        <x:v>142614.29288</x:v>
      </x:c>
      <x:c r="M19" s="37" t="n">
        <x:v>5293</x:v>
      </x:c>
      <x:c r="N19" s="34" t="n">
        <x:v>0.05513</x:v>
      </x:c>
      <x:c r="O19" s="34" t="n">
        <x:v>0.05518</x:v>
      </x:c>
      <x:c r="P19" s="38" t="n">
        <x:f>IF(OR(N19="",O19="",N19=0,O19=0),"",(O19-N19)/((O19+N19)/2))</x:f>
        <x:v>0.0009065361254646258</x:v>
      </x:c>
      <x:c r="Q19" s="34" t="n">
        <x:v>0.05548285</x:v>
      </x:c>
      <x:c r="R19" s="34" t="n">
        <x:v>0.05624</x:v>
      </x:c>
      <x:c r="S19" s="34" t="n">
        <x:v>0.05494</x:v>
      </x:c>
      <x:c r="T19" s="32" t="n">
        <x:v>46236.01202155092</x:v>
      </x:c>
      <x:c r="U19" s="32" t="n">
        <x:v>46237.01202155092</x:v>
      </x:c>
      <x:c r="V19" s="34" t="n">
        <x:v>5</x:v>
      </x:c>
      <x:c r="W19" s="34" t="n">
        <x:v>1</x:v>
      </x:c>
      <x:c r="X19" s="34" t="n">
        <x:v>1</x:v>
      </x:c>
      <x:c r="Y19" s="34" t="n">
        <x:v>0.00001</x:v>
      </x:c>
      <x:c r="Z19" s="30" t="str">
        <x:f>IF(AND(D19="TRADING",I19&lt;&gt;"",L19&lt;&gt;"",M19&lt;&gt;"",N19&lt;&gt;"",O19&lt;&gt;""),"Yes","No")</x:f>
        <x:v>Yes</x:v>
      </x:c>
      <x:c r="AA19" s="39" t="str">
        <x:v>https://developers.binance.com/en/docs/catalog/core-trading-spot-trading/api/rest-api</x:v>
      </x:c>
    </x:row>
    <x:row r="20">
      <x:c r="A20" s="30" t="str">
        <x:v>A2ZUSDT</x:v>
      </x:c>
      <x:c r="B20" s="30" t="str">
        <x:v>A2Z</x:v>
      </x:c>
      <x:c r="C20" s="30" t="str">
        <x:v>USDT</x:v>
      </x:c>
      <x:c r="D20" s="30" t="str">
        <x:v>BREAK</x:v>
      </x:c>
      <x:c r="E20" s="31" t="b">
        <x:v>1</x:v>
      </x:c>
      <x:c r="F20" s="32" t="n">
        <x:v>45868</x:v>
      </x:c>
      <x:c r="G20" s="32" t="n">
        <x:v>45868.999999988424</x:v>
      </x:c>
      <x:c r="H20" s="33" t="n">
        <x:f>IF(F20="","",('Summary'!$B$5-F20)/365.25)</x:f>
        <x:v>1.0103011398205202</x:v>
      </x:c>
      <x:c r="I20" s="34" t="n">
        <x:v>0.000084</x:v>
      </x:c>
      <x:c r="J20" s="35" t="n">
        <x:v>-0.5384599999999999</x:v>
      </x:c>
      <x:c r="K20" s="36" t="n">
        <x:v>9525167865</x:v>
      </x:c>
      <x:c r="L20" s="36" t="n">
        <x:v>1142385.598803</x:v>
      </x:c>
      <x:c r="M20" s="37" t="n">
        <x:v>18137</x:v>
      </x:c>
      <x:c r="N20" s="34" t="n">
        <x:v>0</x:v>
      </x:c>
      <x:c r="O20" s="34" t="n">
        <x:v>0</x:v>
      </x:c>
      <x:c r="P20" s="38" t="str">
        <x:f>IF(OR(N20="",O20="",N20=0,O20=0),"",(O20-N20)/((O20+N20)/2))</x:f>
      </x:c>
      <x:c r="Q20" s="34" t="n">
        <x:v>0.00011993</x:v>
      </x:c>
      <x:c r="R20" s="34" t="n">
        <x:v>0.000209</x:v>
      </x:c>
      <x:c r="S20" s="34" t="n">
        <x:v>0.000072</x:v>
      </x:c>
      <x:c r="T20" s="32" t="n">
        <x:v>46209.26112309028</x:v>
      </x:c>
      <x:c r="U20" s="32" t="n">
        <x:v>46210.26112309028</x:v>
      </x:c>
      <x:c r="V20" s="34" t="n">
        <x:v>5</x:v>
      </x:c>
      <x:c r="W20" s="34" t="n">
        <x:v>1</x:v>
      </x:c>
      <x:c r="X20" s="34" t="n">
        <x:v>1</x:v>
      </x:c>
      <x:c r="Y20" s="34" t="n">
        <x:v>0.000001</x:v>
      </x:c>
      <x:c r="Z20" s="30" t="str">
        <x:f>IF(AND(D20="TRADING",I20&lt;&gt;"",L20&lt;&gt;"",M20&lt;&gt;"",N20&lt;&gt;"",O20&lt;&gt;""),"Yes","No")</x:f>
        <x:v>No</x:v>
      </x:c>
      <x:c r="AA20" s="39" t="str">
        <x:v>https://developers.binance.com/en/docs/catalog/core-trading-spot-trading/api/rest-api</x:v>
      </x:c>
    </x:row>
    <x:row r="21">
      <x:c r="A21" s="30" t="str">
        <x:v>AAOIBUSDT</x:v>
      </x:c>
      <x:c r="B21" s="30" t="str">
        <x:v>AAOIB</x:v>
      </x:c>
      <x:c r="C21" s="30" t="str">
        <x:v>USDT</x:v>
      </x:c>
      <x:c r="D21" s="30" t="str">
        <x:v>TRADING</x:v>
      </x:c>
      <x:c r="E21" s="31" t="b">
        <x:v>1</x:v>
      </x:c>
      <x:c r="F21" s="32" t="n">
        <x:v>46218</x:v>
      </x:c>
      <x:c r="G21" s="32" t="n">
        <x:v>46218.999999988424</x:v>
      </x:c>
      <x:c r="H21" s="33" t="n">
        <x:f>IF(F21="","",('Summary'!$B$5-F21)/365.25)</x:f>
        <x:v>0.05205336432428463</x:v>
      </x:c>
      <x:c r="I21" s="34" t="n">
        <x:v>97.71</x:v>
      </x:c>
      <x:c r="J21" s="35" t="n">
        <x:v>0.03594</x:v>
      </x:c>
      <x:c r="K21" s="36" t="n">
        <x:v>948.972</x:v>
      </x:c>
      <x:c r="L21" s="36" t="n">
        <x:v>91149.26339</x:v>
      </x:c>
      <x:c r="M21" s="37" t="n">
        <x:v>3056</x:v>
      </x:c>
      <x:c r="N21" s="34" t="n">
        <x:v>97.86</x:v>
      </x:c>
      <x:c r="O21" s="34" t="n">
        <x:v>98.05</x:v>
      </x:c>
      <x:c r="P21" s="38" t="n">
        <x:f>IF(OR(N21="",O21="",N21=0,O21=0),"",(O21-N21)/((O21+N21)/2))</x:f>
        <x:v>0.0019396661732427923</x:v>
      </x:c>
      <x:c r="Q21" s="34" t="n">
        <x:v>96.05052983</x:v>
      </x:c>
      <x:c r="R21" s="34" t="n">
        <x:v>98.85</x:v>
      </x:c>
      <x:c r="S21" s="34" t="n">
        <x:v>93.42</x:v>
      </x:c>
      <x:c r="T21" s="32" t="n">
        <x:v>46236.012481770835</x:v>
      </x:c>
      <x:c r="U21" s="32" t="n">
        <x:v>46237.012481770835</x:v>
      </x:c>
      <x:c r="V21" s="34" t="n">
        <x:v>5</x:v>
      </x:c>
      <x:c r="W21" s="34" t="n">
        <x:v>0.001</x:v>
      </x:c>
      <x:c r="X21" s="34" t="n">
        <x:v>0.001</x:v>
      </x:c>
      <x:c r="Y21" s="34" t="n">
        <x:v>0.01</x:v>
      </x:c>
      <x:c r="Z21" s="30" t="str">
        <x:f>IF(AND(D21="TRADING",I21&lt;&gt;"",L21&lt;&gt;"",M21&lt;&gt;"",N21&lt;&gt;"",O21&lt;&gt;""),"Yes","No")</x:f>
        <x:v>Yes</x:v>
      </x:c>
      <x:c r="AA21" s="39" t="str">
        <x:v>https://developers.binance.com/en/docs/catalog/core-trading-spot-trading/api/rest-api</x:v>
      </x:c>
    </x:row>
    <x:row r="22">
      <x:c r="A22" s="30" t="str">
        <x:v>AAPLBUSDT</x:v>
      </x:c>
      <x:c r="B22" s="30" t="str">
        <x:v>AAPLB</x:v>
      </x:c>
      <x:c r="C22" s="30" t="str">
        <x:v>USDT</x:v>
      </x:c>
      <x:c r="D22" s="30" t="str">
        <x:v>TRADING</x:v>
      </x:c>
      <x:c r="E22" s="31" t="b">
        <x:v>1</x:v>
      </x:c>
      <x:c r="F22" s="32" t="n">
        <x:v>46232</x:v>
      </x:c>
      <x:c r="G22" s="32" t="n">
        <x:v>46232.999999988424</x:v>
      </x:c>
      <x:c r="H22" s="33" t="n">
        <x:f>IF(F22="","",('Summary'!$B$5-F22)/365.25)</x:f>
        <x:v>0.013723453304435213</x:v>
      </x:c>
      <x:c r="I22" s="34" t="n">
        <x:v>309.02</x:v>
      </x:c>
      <x:c r="J22" s="35" t="n">
        <x:v>0.00318</x:v>
      </x:c>
      <x:c r="K22" s="36" t="n">
        <x:v>621.887</x:v>
      </x:c>
      <x:c r="L22" s="36" t="n">
        <x:v>192806.05568</x:v>
      </x:c>
      <x:c r="M22" s="37" t="n">
        <x:v>1570</x:v>
      </x:c>
      <x:c r="N22" s="34" t="n">
        <x:v>309.01</x:v>
      </x:c>
      <x:c r="O22" s="34" t="n">
        <x:v>309.37</x:v>
      </x:c>
      <x:c r="P22" s="38" t="n">
        <x:f>IF(OR(N22="",O22="",N22=0,O22=0),"",(O22-N22)/((O22+N22)/2))</x:f>
        <x:v>0.0011643326110159244</x:v>
      </x:c>
      <x:c r="Q22" s="34" t="n">
        <x:v>310.03390597</x:v>
      </x:c>
      <x:c r="R22" s="34" t="n">
        <x:v>311.83</x:v>
      </x:c>
      <x:c r="S22" s="34" t="n">
        <x:v>307.15</x:v>
      </x:c>
      <x:c r="T22" s="32" t="n">
        <x:v>46236.01247329861</x:v>
      </x:c>
      <x:c r="U22" s="32" t="n">
        <x:v>46237.01247329861</x:v>
      </x:c>
      <x:c r="V22" s="34" t="n">
        <x:v>5</x:v>
      </x:c>
      <x:c r="W22" s="34" t="n">
        <x:v>0.001</x:v>
      </x:c>
      <x:c r="X22" s="34" t="n">
        <x:v>0.001</x:v>
      </x:c>
      <x:c r="Y22" s="34" t="n">
        <x:v>0.01</x:v>
      </x:c>
      <x:c r="Z22" s="30" t="str">
        <x:f>IF(AND(D22="TRADING",I22&lt;&gt;"",L22&lt;&gt;"",M22&lt;&gt;"",N22&lt;&gt;"",O22&lt;&gt;""),"Yes","No")</x:f>
        <x:v>Yes</x:v>
      </x:c>
      <x:c r="AA22" s="39" t="str">
        <x:v>https://developers.binance.com/en/docs/catalog/core-trading-spot-trading/api/rest-api</x:v>
      </x:c>
    </x:row>
    <x:row r="23">
      <x:c r="A23" s="30" t="str">
        <x:v>AAVEUSDT</x:v>
      </x:c>
      <x:c r="B23" s="30" t="str">
        <x:v>AAVE</x:v>
      </x:c>
      <x:c r="C23" s="30" t="str">
        <x:v>USDT</x:v>
      </x:c>
      <x:c r="D23" s="30" t="str">
        <x:v>TRADING</x:v>
      </x:c>
      <x:c r="E23" s="31" t="b">
        <x:v>1</x:v>
      </x:c>
      <x:c r="F23" s="32" t="n">
        <x:v>44119</x:v>
      </x:c>
      <x:c r="G23" s="32" t="n">
        <x:v>44119.999999988424</x:v>
      </x:c>
      <x:c r="H23" s="33" t="n">
        <x:f>IF(F23="","",('Summary'!$B$5-F23)/365.25)</x:f>
        <x:v>5.798802166514565</x:v>
      </x:c>
      <x:c r="I23" s="34" t="n">
        <x:v>91.99</x:v>
      </x:c>
      <x:c r="J23" s="35" t="n">
        <x:v>0.015449999999999998</x:v>
      </x:c>
      <x:c r="K23" s="36" t="n">
        <x:v>102936.797</x:v>
      </x:c>
      <x:c r="L23" s="36" t="n">
        <x:v>9471738.96132</x:v>
      </x:c>
      <x:c r="M23" s="37" t="n">
        <x:v>87814</x:v>
      </x:c>
      <x:c r="N23" s="34" t="n">
        <x:v>91.99</x:v>
      </x:c>
      <x:c r="O23" s="34" t="n">
        <x:v>92</x:v>
      </x:c>
      <x:c r="P23" s="38" t="n">
        <x:f>IF(OR(N23="",O23="",N23=0,O23=0),"",(O23-N23)/((O23+N23)/2))</x:f>
        <x:v>0.0001087015598674397</x:v>
      </x:c>
      <x:c r="Q23" s="34" t="n">
        <x:v>92.01509312</x:v>
      </x:c>
      <x:c r="R23" s="34" t="n">
        <x:v>93.5</x:v>
      </x:c>
      <x:c r="S23" s="34" t="n">
        <x:v>90.47</x:v>
      </x:c>
      <x:c r="T23" s="32" t="n">
        <x:v>46236.012442314815</x:v>
      </x:c>
      <x:c r="U23" s="32" t="n">
        <x:v>46237.012442314815</x:v>
      </x:c>
      <x:c r="V23" s="34" t="n">
        <x:v>5</x:v>
      </x:c>
      <x:c r="W23" s="34" t="n">
        <x:v>0.001</x:v>
      </x:c>
      <x:c r="X23" s="34" t="n">
        <x:v>0.001</x:v>
      </x:c>
      <x:c r="Y23" s="34" t="n">
        <x:v>0.01</x:v>
      </x:c>
      <x:c r="Z23" s="30" t="str">
        <x:f>IF(AND(D23="TRADING",I23&lt;&gt;"",L23&lt;&gt;"",M23&lt;&gt;"",N23&lt;&gt;"",O23&lt;&gt;""),"Yes","No")</x:f>
        <x:v>Yes</x:v>
      </x:c>
      <x:c r="AA23" s="39" t="str">
        <x:v>https://developers.binance.com/en/docs/catalog/core-trading-spot-trading/api/rest-api</x:v>
      </x:c>
    </x:row>
    <x:row r="24">
      <x:c r="A24" s="30" t="str">
        <x:v>ACAUSDT</x:v>
      </x:c>
      <x:c r="B24" s="30" t="str">
        <x:v>ACA</x:v>
      </x:c>
      <x:c r="C24" s="30" t="str">
        <x:v>USDT</x:v>
      </x:c>
      <x:c r="D24" s="30" t="str">
        <x:v>BREAK</x:v>
      </x:c>
      <x:c r="E24" s="31" t="b">
        <x:v>1</x:v>
      </x:c>
      <x:c r="F24" s="32" t="n">
        <x:v>44586</x:v>
      </x:c>
      <x:c r="G24" s="32" t="n">
        <x:v>44586.999999988424</x:v>
      </x:c>
      <x:c r="H24" s="33" t="n">
        <x:f>IF(F24="","",('Summary'!$B$5-F24)/365.25)</x:f>
        <x:v>4.520225848923874</x:v>
      </x:c>
      <x:c r="I24" s="34" t="n">
        <x:v>0.0018</x:v>
      </x:c>
      <x:c r="J24" s="35" t="n">
        <x:v>-0.51351</x:v>
      </x:c>
      <x:c r="K24" s="36" t="n">
        <x:v>135352800.72</x:v>
      </x:c>
      <x:c r="L24" s="36" t="n">
        <x:v>371370.826615</x:v>
      </x:c>
      <x:c r="M24" s="37" t="n">
        <x:v>4001</x:v>
      </x:c>
      <x:c r="N24" s="34" t="n">
        <x:v>0</x:v>
      </x:c>
      <x:c r="O24" s="34" t="n">
        <x:v>0</x:v>
      </x:c>
      <x:c r="P24" s="38" t="str">
        <x:f>IF(OR(N24="",O24="",N24=0,O24=0),"",(O24-N24)/((O24+N24)/2))</x:f>
      </x:c>
      <x:c r="Q24" s="34" t="n">
        <x:v>0.00274372</x:v>
      </x:c>
      <x:c r="R24" s="34" t="n">
        <x:v>0.0038</x:v>
      </x:c>
      <x:c r="S24" s="34" t="n">
        <x:v>0.0017</x:v>
      </x:c>
      <x:c r="T24" s="32" t="n">
        <x:v>46209.26112309028</x:v>
      </x:c>
      <x:c r="U24" s="32" t="n">
        <x:v>46210.26112309028</x:v>
      </x:c>
      <x:c r="V24" s="34" t="n">
        <x:v>5</x:v>
      </x:c>
      <x:c r="W24" s="34" t="n">
        <x:v>0.01</x:v>
      </x:c>
      <x:c r="X24" s="34" t="n">
        <x:v>0.01</x:v>
      </x:c>
      <x:c r="Y24" s="34" t="n">
        <x:v>0.0001</x:v>
      </x:c>
      <x:c r="Z24" s="30" t="str">
        <x:f>IF(AND(D24="TRADING",I24&lt;&gt;"",L24&lt;&gt;"",M24&lt;&gt;"",N24&lt;&gt;"",O24&lt;&gt;""),"Yes","No")</x:f>
        <x:v>No</x:v>
      </x:c>
      <x:c r="AA24" s="39" t="str">
        <x:v>https://developers.binance.com/en/docs/catalog/core-trading-spot-trading/api/rest-api</x:v>
      </x:c>
    </x:row>
    <x:row r="25">
      <x:c r="A25" s="30" t="str">
        <x:v>ACEUSDT</x:v>
      </x:c>
      <x:c r="B25" s="30" t="str">
        <x:v>ACE</x:v>
      </x:c>
      <x:c r="C25" s="30" t="str">
        <x:v>USDT</x:v>
      </x:c>
      <x:c r="D25" s="30" t="str">
        <x:v>TRADING</x:v>
      </x:c>
      <x:c r="E25" s="31" t="b">
        <x:v>1</x:v>
      </x:c>
      <x:c r="F25" s="32" t="n">
        <x:v>45278</x:v>
      </x:c>
      <x:c r="G25" s="32" t="n">
        <x:v>45278.999999988424</x:v>
      </x:c>
      <x:c r="H25" s="33" t="n">
        <x:f>IF(F25="","",('Summary'!$B$5-F25)/365.25)</x:f>
        <x:v>2.6256331042284597</x:v>
      </x:c>
      <x:c r="I25" s="34" t="n">
        <x:v>0.0654</x:v>
      </x:c>
      <x:c r="J25" s="35" t="n">
        <x:v>-0.028229999999999998</x:v>
      </x:c>
      <x:c r="K25" s="36" t="n">
        <x:v>12759550.8</x:v>
      </x:c>
      <x:c r="L25" s="36" t="n">
        <x:v>837913.73531</x:v>
      </x:c>
      <x:c r="M25" s="37" t="n">
        <x:v>9210</x:v>
      </x:c>
      <x:c r="N25" s="34" t="n">
        <x:v>0.0653</x:v>
      </x:c>
      <x:c r="O25" s="34" t="n">
        <x:v>0.0654</x:v>
      </x:c>
      <x:c r="P25" s="38" t="n">
        <x:f>IF(OR(N25="",O25="",N25=0,O25=0),"",(O25-N25)/((O25+N25)/2))</x:f>
        <x:v>0.001530221882172959</x:v>
      </x:c>
      <x:c r="Q25" s="34" t="n">
        <x:v>0.06566953</x:v>
      </x:c>
      <x:c r="R25" s="34" t="n">
        <x:v>0.0686</x:v>
      </x:c>
      <x:c r="S25" s="34" t="n">
        <x:v>0.064</x:v>
      </x:c>
      <x:c r="T25" s="32" t="n">
        <x:v>46236.01228789352</x:v>
      </x:c>
      <x:c r="U25" s="32" t="n">
        <x:v>46237.01228789352</x:v>
      </x:c>
      <x:c r="V25" s="34" t="n">
        <x:v>5</x:v>
      </x:c>
      <x:c r="W25" s="34" t="n">
        <x:v>0.1</x:v>
      </x:c>
      <x:c r="X25" s="34" t="n">
        <x:v>0.1</x:v>
      </x:c>
      <x:c r="Y25" s="34" t="n">
        <x:v>0.0001</x:v>
      </x:c>
      <x:c r="Z25" s="30" t="str">
        <x:f>IF(AND(D25="TRADING",I25&lt;&gt;"",L25&lt;&gt;"",M25&lt;&gt;"",N25&lt;&gt;"",O25&lt;&gt;""),"Yes","No")</x:f>
        <x:v>Yes</x:v>
      </x:c>
      <x:c r="AA25" s="39" t="str">
        <x:v>https://developers.binance.com/en/docs/catalog/core-trading-spot-trading/api/rest-api</x:v>
      </x:c>
    </x:row>
    <x:row r="26">
      <x:c r="A26" s="30" t="str">
        <x:v>ACHUSDT</x:v>
      </x:c>
      <x:c r="B26" s="30" t="str">
        <x:v>ACH</x:v>
      </x:c>
      <x:c r="C26" s="30" t="str">
        <x:v>USDT</x:v>
      </x:c>
      <x:c r="D26" s="30" t="str">
        <x:v>TRADING</x:v>
      </x:c>
      <x:c r="E26" s="31" t="b">
        <x:v>1</x:v>
      </x:c>
      <x:c r="F26" s="32" t="n">
        <x:v>44571</x:v>
      </x:c>
      <x:c r="G26" s="32" t="n">
        <x:v>44571.999999988424</x:v>
      </x:c>
      <x:c r="H26" s="33" t="n">
        <x:f>IF(F26="","",('Summary'!$B$5-F26)/365.25)</x:f>
        <x:v>4.561293610730855</x:v>
      </x:c>
      <x:c r="I26" s="34" t="n">
        <x:v>0.00432</x:v>
      </x:c>
      <x:c r="J26" s="35" t="n">
        <x:v>-0.03139</x:v>
      </x:c>
      <x:c r="K26" s="36" t="n">
        <x:v>143089521</x:v>
      </x:c>
      <x:c r="L26" s="36" t="n">
        <x:v>628233.60104</x:v>
      </x:c>
      <x:c r="M26" s="37" t="n">
        <x:v>8075</x:v>
      </x:c>
      <x:c r="N26" s="34" t="n">
        <x:v>0.00431</x:v>
      </x:c>
      <x:c r="O26" s="34" t="n">
        <x:v>0.00432</x:v>
      </x:c>
      <x:c r="P26" s="38" t="n">
        <x:f>IF(OR(N26="",O26="",N26=0,O26=0),"",(O26-N26)/((O26+N26)/2))</x:f>
        <x:v>0.002317497103128728</x:v>
      </x:c>
      <x:c r="Q26" s="34" t="n">
        <x:v>0.00439049</x:v>
      </x:c>
      <x:c r="R26" s="34" t="n">
        <x:v>0.00451</x:v>
      </x:c>
      <x:c r="S26" s="34" t="n">
        <x:v>0.00431</x:v>
      </x:c>
      <x:c r="T26" s="32" t="n">
        <x:v>46236.012239641204</x:v>
      </x:c>
      <x:c r="U26" s="32" t="n">
        <x:v>46237.012239641204</x:v>
      </x:c>
      <x:c r="V26" s="34" t="n">
        <x:v>5</x:v>
      </x:c>
      <x:c r="W26" s="34" t="n">
        <x:v>1</x:v>
      </x:c>
      <x:c r="X26" s="34" t="n">
        <x:v>1</x:v>
      </x:c>
      <x:c r="Y26" s="34" t="n">
        <x:v>0.00001</x:v>
      </x:c>
      <x:c r="Z26" s="30" t="str">
        <x:f>IF(AND(D26="TRADING",I26&lt;&gt;"",L26&lt;&gt;"",M26&lt;&gt;"",N26&lt;&gt;"",O26&lt;&gt;""),"Yes","No")</x:f>
        <x:v>Yes</x:v>
      </x:c>
      <x:c r="AA26" s="39" t="str">
        <x:v>https://developers.binance.com/en/docs/catalog/core-trading-spot-trading/api/rest-api</x:v>
      </x:c>
    </x:row>
    <x:row r="27">
      <x:c r="A27" s="30" t="str">
        <x:v>ACMUSDT</x:v>
      </x:c>
      <x:c r="B27" s="30" t="str">
        <x:v>ACM</x:v>
      </x:c>
      <x:c r="C27" s="30" t="str">
        <x:v>USDT</x:v>
      </x:c>
      <x:c r="D27" s="30" t="str">
        <x:v>TRADING</x:v>
      </x:c>
      <x:c r="E27" s="31" t="b">
        <x:v>1</x:v>
      </x:c>
      <x:c r="F27" s="32" t="n">
        <x:v>44251</x:v>
      </x:c>
      <x:c r="G27" s="32" t="n">
        <x:v>44251.999999988424</x:v>
      </x:c>
      <x:c r="H27" s="33" t="n">
        <x:f>IF(F27="","",('Summary'!$B$5-F27)/365.25)</x:f>
        <x:v>5.437405862613128</x:v>
      </x:c>
      <x:c r="I27" s="34" t="n">
        <x:v>0.268</x:v>
      </x:c>
      <x:c r="J27" s="35" t="n">
        <x:v>-0.0037199999999999998</x:v>
      </x:c>
      <x:c r="K27" s="36" t="n">
        <x:v>418643</x:v>
      </x:c>
      <x:c r="L27" s="36" t="n">
        <x:v>112468.1087</x:v>
      </x:c>
      <x:c r="M27" s="37" t="n">
        <x:v>2007</x:v>
      </x:c>
      <x:c r="N27" s="34" t="n">
        <x:v>0.267</x:v>
      </x:c>
      <x:c r="O27" s="34" t="n">
        <x:v>0.268</x:v>
      </x:c>
      <x:c r="P27" s="38" t="n">
        <x:f>IF(OR(N27="",O27="",N27=0,O27=0),"",(O27-N27)/((O27+N27)/2))</x:f>
        <x:v>0.003738317757009349</x:v>
      </x:c>
      <x:c r="Q27" s="34" t="n">
        <x:v>0.2686492</x:v>
      </x:c>
      <x:c r="R27" s="34" t="n">
        <x:v>0.273</x:v>
      </x:c>
      <x:c r="S27" s="34" t="n">
        <x:v>0.266</x:v>
      </x:c>
      <x:c r="T27" s="32" t="n">
        <x:v>46236.01228908565</x:v>
      </x:c>
      <x:c r="U27" s="32" t="n">
        <x:v>46237.01228908565</x:v>
      </x:c>
      <x:c r="V27" s="34" t="n">
        <x:v>5</x:v>
      </x:c>
      <x:c r="W27" s="34" t="n">
        <x:v>0.1</x:v>
      </x:c>
      <x:c r="X27" s="34" t="n">
        <x:v>0.1</x:v>
      </x:c>
      <x:c r="Y27" s="34" t="n">
        <x:v>0.001</x:v>
      </x:c>
      <x:c r="Z27" s="30" t="str">
        <x:f>IF(AND(D27="TRADING",I27&lt;&gt;"",L27&lt;&gt;"",M27&lt;&gt;"",N27&lt;&gt;"",O27&lt;&gt;""),"Yes","No")</x:f>
        <x:v>Yes</x:v>
      </x:c>
      <x:c r="AA27" s="39" t="str">
        <x:v>https://developers.binance.com/en/docs/catalog/core-trading-spot-trading/api/rest-api</x:v>
      </x:c>
    </x:row>
    <x:row r="28">
      <x:c r="A28" s="30" t="str">
        <x:v>ACTUSDT</x:v>
      </x:c>
      <x:c r="B28" s="30" t="str">
        <x:v>ACT</x:v>
      </x:c>
      <x:c r="C28" s="30" t="str">
        <x:v>USDT</x:v>
      </x:c>
      <x:c r="D28" s="30" t="str">
        <x:v>TRADING</x:v>
      </x:c>
      <x:c r="E28" s="31" t="b">
        <x:v>1</x:v>
      </x:c>
      <x:c r="F28" s="32" t="n">
        <x:v>45607</x:v>
      </x:c>
      <x:c r="G28" s="32" t="n">
        <x:v>45607.999999988424</x:v>
      </x:c>
      <x:c r="H28" s="33" t="n">
        <x:f>IF(F28="","",('Summary'!$B$5-F28)/365.25)</x:f>
        <x:v>1.7248801952619985</x:v>
      </x:c>
      <x:c r="I28" s="34" t="n">
        <x:v>0.00864</x:v>
      </x:c>
      <x:c r="J28" s="35" t="n">
        <x:v>-0.02703</x:v>
      </x:c>
      <x:c r="K28" s="36" t="n">
        <x:v>25997638.8</x:v>
      </x:c>
      <x:c r="L28" s="36" t="n">
        <x:v>229961.46716</x:v>
      </x:c>
      <x:c r="M28" s="37" t="n">
        <x:v>7015</x:v>
      </x:c>
      <x:c r="N28" s="34" t="n">
        <x:v>0.00864</x:v>
      </x:c>
      <x:c r="O28" s="34" t="n">
        <x:v>0.00865</x:v>
      </x:c>
      <x:c r="P28" s="38" t="n">
        <x:f>IF(OR(N28="",O28="",N28=0,O28=0),"",(O28-N28)/((O28+N28)/2))</x:f>
        <x:v>0.0011567379988432149</x:v>
      </x:c>
      <x:c r="Q28" s="34" t="n">
        <x:v>0.00884548</x:v>
      </x:c>
      <x:c r="R28" s="34" t="n">
        <x:v>0.00906</x:v>
      </x:c>
      <x:c r="S28" s="34" t="n">
        <x:v>0.00857</x:v>
      </x:c>
      <x:c r="T28" s="32" t="n">
        <x:v>46236.012460335645</x:v>
      </x:c>
      <x:c r="U28" s="32" t="n">
        <x:v>46237.012460335645</x:v>
      </x:c>
      <x:c r="V28" s="34" t="n">
        <x:v>1</x:v>
      </x:c>
      <x:c r="W28" s="34" t="n">
        <x:v>0.1</x:v>
      </x:c>
      <x:c r="X28" s="34" t="n">
        <x:v>0.1</x:v>
      </x:c>
      <x:c r="Y28" s="34" t="n">
        <x:v>0.00001</x:v>
      </x:c>
      <x:c r="Z28" s="30" t="str">
        <x:f>IF(AND(D28="TRADING",I28&lt;&gt;"",L28&lt;&gt;"",M28&lt;&gt;"",N28&lt;&gt;"",O28&lt;&gt;""),"Yes","No")</x:f>
        <x:v>Yes</x:v>
      </x:c>
      <x:c r="AA28" s="39" t="str">
        <x:v>https://developers.binance.com/en/docs/catalog/core-trading-spot-trading/api/rest-api</x:v>
      </x:c>
    </x:row>
    <x:row r="29">
      <x:c r="A29" s="30" t="str">
        <x:v>ACXUSDT</x:v>
      </x:c>
      <x:c r="B29" s="30" t="str">
        <x:v>ACX</x:v>
      </x:c>
      <x:c r="C29" s="30" t="str">
        <x:v>USDT</x:v>
      </x:c>
      <x:c r="D29" s="30" t="str">
        <x:v>TRADING</x:v>
      </x:c>
      <x:c r="E29" s="31" t="b">
        <x:v>1</x:v>
      </x:c>
      <x:c r="F29" s="32" t="n">
        <x:v>45632</x:v>
      </x:c>
      <x:c r="G29" s="32" t="n">
        <x:v>45632.999999988424</x:v>
      </x:c>
      <x:c r="H29" s="33" t="n">
        <x:f>IF(F29="","",('Summary'!$B$5-F29)/365.25)</x:f>
        <x:v>1.656433925583696</x:v>
      </x:c>
      <x:c r="I29" s="34" t="n">
        <x:v>0.04028</x:v>
      </x:c>
      <x:c r="J29" s="35" t="n">
        <x:v>-0.027290000000000002</x:v>
      </x:c>
      <x:c r="K29" s="36" t="n">
        <x:v>1595027.4</x:v>
      </x:c>
      <x:c r="L29" s="36" t="n">
        <x:v>64719.687804</x:v>
      </x:c>
      <x:c r="M29" s="37" t="n">
        <x:v>861</x:v>
      </x:c>
      <x:c r="N29" s="34" t="n">
        <x:v>0.04009</x:v>
      </x:c>
      <x:c r="O29" s="34" t="n">
        <x:v>0.04017</x:v>
      </x:c>
      <x:c r="P29" s="38" t="n">
        <x:f>IF(OR(N29="",O29="",N29=0,O29=0),"",(O29-N29)/((O29+N29)/2))</x:f>
        <x:v>0.001993521056566079</x:v>
      </x:c>
      <x:c r="Q29" s="34" t="n">
        <x:v>0.04057591</x:v>
      </x:c>
      <x:c r="R29" s="34" t="n">
        <x:v>0.0415</x:v>
      </x:c>
      <x:c r="S29" s="34" t="n">
        <x:v>0.04011</x:v>
      </x:c>
      <x:c r="T29" s="32" t="n">
        <x:v>46236.01248672454</x:v>
      </x:c>
      <x:c r="U29" s="32" t="n">
        <x:v>46237.01248672454</x:v>
      </x:c>
      <x:c r="V29" s="34" t="n">
        <x:v>5</x:v>
      </x:c>
      <x:c r="W29" s="34" t="n">
        <x:v>0.1</x:v>
      </x:c>
      <x:c r="X29" s="34" t="n">
        <x:v>0.1</x:v>
      </x:c>
      <x:c r="Y29" s="34" t="n">
        <x:v>0.00001</x:v>
      </x:c>
      <x:c r="Z29" s="30" t="str">
        <x:f>IF(AND(D29="TRADING",I29&lt;&gt;"",L29&lt;&gt;"",M29&lt;&gt;"",N29&lt;&gt;"",O29&lt;&gt;""),"Yes","No")</x:f>
        <x:v>Yes</x:v>
      </x:c>
      <x:c r="AA29" s="39" t="str">
        <x:v>https://developers.binance.com/en/docs/catalog/core-trading-spot-trading/api/rest-api</x:v>
      </x:c>
    </x:row>
    <x:row r="30">
      <x:c r="A30" s="30" t="str">
        <x:v>ADAUSDT</x:v>
      </x:c>
      <x:c r="B30" s="30" t="str">
        <x:v>ADA</x:v>
      </x:c>
      <x:c r="C30" s="30" t="str">
        <x:v>USDT</x:v>
      </x:c>
      <x:c r="D30" s="30" t="str">
        <x:v>TRADING</x:v>
      </x:c>
      <x:c r="E30" s="31" t="b">
        <x:v>1</x:v>
      </x:c>
      <x:c r="F30" s="32" t="n">
        <x:v>43207</x:v>
      </x:c>
      <x:c r="G30" s="32" t="n">
        <x:v>43207.999999988424</x:v>
      </x:c>
      <x:c r="H30" s="33" t="n">
        <x:f>IF(F30="","",('Summary'!$B$5-F30)/365.25)</x:f>
        <x:v>8.295722084379042</x:v>
      </x:c>
      <x:c r="I30" s="34" t="n">
        <x:v>0.1889</x:v>
      </x:c>
      <x:c r="J30" s="35" t="n">
        <x:v>0.08500999999999999</x:v>
      </x:c>
      <x:c r="K30" s="36" t="n">
        <x:v>243888102.8</x:v>
      </x:c>
      <x:c r="L30" s="36" t="n">
        <x:v>45376349.03051</x:v>
      </x:c>
      <x:c r="M30" s="37" t="n">
        <x:v>189956</x:v>
      </x:c>
      <x:c r="N30" s="34" t="n">
        <x:v>0.1889</x:v>
      </x:c>
      <x:c r="O30" s="34" t="n">
        <x:v>0.189</x:v>
      </x:c>
      <x:c r="P30" s="38" t="n">
        <x:f>IF(OR(N30="",O30="",N30=0,O30=0),"",(O30-N30)/((O30+N30)/2))</x:f>
        <x:v>0.0005292405398252923</x:v>
      </x:c>
      <x:c r="Q30" s="34" t="n">
        <x:v>0.18605397</x:v>
      </x:c>
      <x:c r="R30" s="34" t="n">
        <x:v>0.1922</x:v>
      </x:c>
      <x:c r="S30" s="34" t="n">
        <x:v>0.1728</x:v>
      </x:c>
      <x:c r="T30" s="32" t="n">
        <x:v>46236.01247908565</x:v>
      </x:c>
      <x:c r="U30" s="32" t="n">
        <x:v>46237.01247908565</x:v>
      </x:c>
      <x:c r="V30" s="34" t="n">
        <x:v>5</x:v>
      </x:c>
      <x:c r="W30" s="34" t="n">
        <x:v>0.1</x:v>
      </x:c>
      <x:c r="X30" s="34" t="n">
        <x:v>0.1</x:v>
      </x:c>
      <x:c r="Y30" s="34" t="n">
        <x:v>0.0001</x:v>
      </x:c>
      <x:c r="Z30" s="30" t="str">
        <x:f>IF(AND(D30="TRADING",I30&lt;&gt;"",L30&lt;&gt;"",M30&lt;&gt;"",N30&lt;&gt;"",O30&lt;&gt;""),"Yes","No")</x:f>
        <x:v>Yes</x:v>
      </x:c>
      <x:c r="AA30" s="39" t="str">
        <x:v>https://developers.binance.com/en/docs/catalog/core-trading-spot-trading/api/rest-api</x:v>
      </x:c>
    </x:row>
    <x:row r="31">
      <x:c r="A31" s="30" t="str">
        <x:v>ADXUSDT</x:v>
      </x:c>
      <x:c r="B31" s="30" t="str">
        <x:v>ADX</x:v>
      </x:c>
      <x:c r="C31" s="30" t="str">
        <x:v>USDT</x:v>
      </x:c>
      <x:c r="D31" s="30" t="str">
        <x:v>TRADING</x:v>
      </x:c>
      <x:c r="E31" s="31" t="b">
        <x:v>1</x:v>
      </x:c>
      <x:c r="F31" s="32" t="n">
        <x:v>44498</x:v>
      </x:c>
      <x:c r="G31" s="32" t="n">
        <x:v>44498.999999988424</x:v>
      </x:c>
      <x:c r="H31" s="33" t="n">
        <x:f>IF(F31="","",('Summary'!$B$5-F31)/365.25)</x:f>
        <x:v>4.761156718191499</x:v>
      </x:c>
      <x:c r="I31" s="34" t="n">
        <x:v>0.0565</x:v>
      </x:c>
      <x:c r="J31" s="35" t="n">
        <x:v>0.01254</x:v>
      </x:c>
      <x:c r="K31" s="36" t="n">
        <x:v>3556593</x:v>
      </x:c>
      <x:c r="L31" s="36" t="n">
        <x:v>204811.0257</x:v>
      </x:c>
      <x:c r="M31" s="37" t="n">
        <x:v>2662</x:v>
      </x:c>
      <x:c r="N31" s="34" t="n">
        <x:v>0.0564</x:v>
      </x:c>
      <x:c r="O31" s="34" t="n">
        <x:v>0.0565</x:v>
      </x:c>
      <x:c r="P31" s="38" t="n">
        <x:f>IF(OR(N31="",O31="",N31=0,O31=0),"",(O31-N31)/((O31+N31)/2))</x:f>
        <x:v>0.0017714791851196256</x:v>
      </x:c>
      <x:c r="Q31" s="34" t="n">
        <x:v>0.0575863</x:v>
      </x:c>
      <x:c r="R31" s="34" t="n">
        <x:v>0.059</x:v>
      </x:c>
      <x:c r="S31" s="34" t="n">
        <x:v>0.0557</x:v>
      </x:c>
      <x:c r="T31" s="32" t="n">
        <x:v>46236.012378611114</x:v>
      </x:c>
      <x:c r="U31" s="32" t="n">
        <x:v>46237.012378611114</x:v>
      </x:c>
      <x:c r="V31" s="34" t="n">
        <x:v>5</x:v>
      </x:c>
      <x:c r="W31" s="34" t="n">
        <x:v>1</x:v>
      </x:c>
      <x:c r="X31" s="34" t="n">
        <x:v>1</x:v>
      </x:c>
      <x:c r="Y31" s="34" t="n">
        <x:v>0.0001</x:v>
      </x:c>
      <x:c r="Z31" s="30" t="str">
        <x:f>IF(AND(D31="TRADING",I31&lt;&gt;"",L31&lt;&gt;"",M31&lt;&gt;"",N31&lt;&gt;"",O31&lt;&gt;""),"Yes","No")</x:f>
        <x:v>Yes</x:v>
      </x:c>
      <x:c r="AA31" s="39" t="str">
        <x:v>https://developers.binance.com/en/docs/catalog/core-trading-spot-trading/api/rest-api</x:v>
      </x:c>
    </x:row>
    <x:row r="32">
      <x:c r="A32" s="30" t="str">
        <x:v>AERGOUSDT</x:v>
      </x:c>
      <x:c r="B32" s="30" t="str">
        <x:v>AERGO</x:v>
      </x:c>
      <x:c r="C32" s="30" t="str">
        <x:v>USDT</x:v>
      </x:c>
      <x:c r="D32" s="30" t="str">
        <x:v>BREAK</x:v>
      </x:c>
      <x:c r="E32" s="31" t="b">
        <x:v>1</x:v>
      </x:c>
      <x:c r="F32" s="32" t="n">
        <x:v>45051</x:v>
      </x:c>
      <x:c r="G32" s="32" t="n">
        <x:v>45051.999999988424</x:v>
      </x:c>
      <x:c r="H32" s="33" t="n">
        <x:f>IF(F32="","",('Summary'!$B$5-F32)/365.25)</x:f>
        <x:v>3.2471252329074467</x:v>
      </x:c>
      <x:c r="I32" s="34" t="n">
        <x:v>0.0635</x:v>
      </x:c>
      <x:c r="J32" s="35" t="n">
        <x:v>-0.020059999999999998</x:v>
      </x:c>
      <x:c r="K32" s="36" t="n">
        <x:v>1511928</x:v>
      </x:c>
      <x:c r="L32" s="36" t="n">
        <x:v>96533.1607</x:v>
      </x:c>
      <x:c r="M32" s="37" t="n">
        <x:v>4001</x:v>
      </x:c>
      <x:c r="N32" s="34" t="n">
        <x:v>0</x:v>
      </x:c>
      <x:c r="O32" s="34" t="n">
        <x:v>0</x:v>
      </x:c>
      <x:c r="P32" s="38" t="str">
        <x:f>IF(OR(N32="",O32="",N32=0,O32=0),"",(O32-N32)/((O32+N32)/2))</x:f>
      </x:c>
      <x:c r="Q32" s="34" t="n">
        <x:v>0.06384772</x:v>
      </x:c>
      <x:c r="R32" s="34" t="n">
        <x:v>0.066</x:v>
      </x:c>
      <x:c r="S32" s="34" t="n">
        <x:v>0.0621</x:v>
      </x:c>
      <x:c r="T32" s="32" t="n">
        <x:v>46209.26112309028</x:v>
      </x:c>
      <x:c r="U32" s="32" t="n">
        <x:v>46210.26112309028</x:v>
      </x:c>
      <x:c r="V32" s="34" t="n">
        <x:v>5</x:v>
      </x:c>
      <x:c r="W32" s="34" t="n">
        <x:v>1</x:v>
      </x:c>
      <x:c r="X32" s="34" t="n">
        <x:v>1</x:v>
      </x:c>
      <x:c r="Y32" s="34" t="n">
        <x:v>0.0001</x:v>
      </x:c>
      <x:c r="Z32" s="30" t="str">
        <x:f>IF(AND(D32="TRADING",I32&lt;&gt;"",L32&lt;&gt;"",M32&lt;&gt;"",N32&lt;&gt;"",O32&lt;&gt;""),"Yes","No")</x:f>
        <x:v>No</x:v>
      </x:c>
      <x:c r="AA32" s="39" t="str">
        <x:v>https://developers.binance.com/en/docs/catalog/core-trading-spot-trading/api/rest-api</x:v>
      </x:c>
    </x:row>
    <x:row r="33">
      <x:c r="A33" s="30" t="str">
        <x:v>AEROUSDT</x:v>
      </x:c>
      <x:c r="B33" s="30" t="str">
        <x:v>AERO</x:v>
      </x:c>
      <x:c r="C33" s="30" t="str">
        <x:v>USDT</x:v>
      </x:c>
      <x:c r="D33" s="30" t="str">
        <x:v>TRADING</x:v>
      </x:c>
      <x:c r="E33" s="31" t="b">
        <x:v>1</x:v>
      </x:c>
      <x:c r="F33" s="32" t="n">
        <x:v>46220</x:v>
      </x:c>
      <x:c r="G33" s="32" t="n">
        <x:v>46220.999999988424</x:v>
      </x:c>
      <x:c r="H33" s="33" t="n">
        <x:f>IF(F33="","",('Summary'!$B$5-F33)/365.25)</x:f>
        <x:v>0.04657766275002043</x:v>
      </x:c>
      <x:c r="I33" s="34" t="n">
        <x:v>0.3983</x:v>
      </x:c>
      <x:c r="J33" s="35" t="n">
        <x:v>-0.0097</x:v>
      </x:c>
      <x:c r="K33" s="36" t="n">
        <x:v>6273095.2</x:v>
      </x:c>
      <x:c r="L33" s="36" t="n">
        <x:v>2504722.89721</x:v>
      </x:c>
      <x:c r="M33" s="37" t="n">
        <x:v>23176</x:v>
      </x:c>
      <x:c r="N33" s="34" t="n">
        <x:v>0.3983</x:v>
      </x:c>
      <x:c r="O33" s="34" t="n">
        <x:v>0.3984</x:v>
      </x:c>
      <x:c r="P33" s="38" t="n">
        <x:f>IF(OR(N33="",O33="",N33=0,O33=0),"",(O33-N33)/((O33+N33)/2))</x:f>
        <x:v>0.00025103552152626834</x:v>
      </x:c>
      <x:c r="Q33" s="34" t="n">
        <x:v>0.39928023</x:v>
      </x:c>
      <x:c r="R33" s="34" t="n">
        <x:v>0.4106</x:v>
      </x:c>
      <x:c r="S33" s="34" t="n">
        <x:v>0.39</x:v>
      </x:c>
      <x:c r="T33" s="32" t="n">
        <x:v>46236.01239163194</x:v>
      </x:c>
      <x:c r="U33" s="32" t="n">
        <x:v>46237.01239163194</x:v>
      </x:c>
      <x:c r="V33" s="34" t="n">
        <x:v>5</x:v>
      </x:c>
      <x:c r="W33" s="34" t="n">
        <x:v>0.1</x:v>
      </x:c>
      <x:c r="X33" s="34" t="n">
        <x:v>0.1</x:v>
      </x:c>
      <x:c r="Y33" s="34" t="n">
        <x:v>0.0001</x:v>
      </x:c>
      <x:c r="Z33" s="30" t="str">
        <x:f>IF(AND(D33="TRADING",I33&lt;&gt;"",L33&lt;&gt;"",M33&lt;&gt;"",N33&lt;&gt;"",O33&lt;&gt;""),"Yes","No")</x:f>
        <x:v>Yes</x:v>
      </x:c>
      <x:c r="AA33" s="39" t="str">
        <x:v>https://developers.binance.com/en/docs/catalog/core-trading-spot-trading/api/rest-api</x:v>
      </x:c>
    </x:row>
    <x:row r="34">
      <x:c r="A34" s="30" t="str">
        <x:v>AEURUSDT</x:v>
      </x:c>
      <x:c r="B34" s="30" t="str">
        <x:v>AEUR</x:v>
      </x:c>
      <x:c r="C34" s="30" t="str">
        <x:v>USDT</x:v>
      </x:c>
      <x:c r="D34" s="30" t="str">
        <x:v>BREAK</x:v>
      </x:c>
      <x:c r="E34" s="31" t="b">
        <x:v>1</x:v>
      </x:c>
      <x:c r="F34" s="32" t="n">
        <x:v>45264</x:v>
      </x:c>
      <x:c r="G34" s="32" t="n">
        <x:v>45264.999999988424</x:v>
      </x:c>
      <x:c r="H34" s="33" t="n">
        <x:f>IF(F34="","",('Summary'!$B$5-F34)/365.25)</x:f>
        <x:v>2.663963015248309</x:v>
      </x:c>
      <x:c r="I34" s="34" t="n">
        <x:v>1.1443</x:v>
      </x:c>
      <x:c r="J34" s="35" t="n">
        <x:v>0.00386</x:v>
      </x:c>
      <x:c r="K34" s="36" t="n">
        <x:v>7809.3</x:v>
      </x:c>
      <x:c r="L34" s="36" t="n">
        <x:v>8918.17382</x:v>
      </x:c>
      <x:c r="M34" s="37" t="n">
        <x:v>213</x:v>
      </x:c>
      <x:c r="N34" s="34" t="n">
        <x:v>0</x:v>
      </x:c>
      <x:c r="O34" s="34" t="n">
        <x:v>0</x:v>
      </x:c>
      <x:c r="P34" s="38" t="str">
        <x:f>IF(OR(N34="",O34="",N34=0,O34=0),"",(O34-N34)/((O34+N34)/2))</x:f>
      </x:c>
      <x:c r="Q34" s="34" t="n">
        <x:v>1.14199401</x:v>
      </x:c>
      <x:c r="R34" s="34" t="n">
        <x:v>1.1457</x:v>
      </x:c>
      <x:c r="S34" s="34" t="n">
        <x:v>1.1397</x:v>
      </x:c>
      <x:c r="T34" s="32" t="n">
        <x:v>46233.12502907407</x:v>
      </x:c>
      <x:c r="U34" s="32" t="n">
        <x:v>46234.12502907407</x:v>
      </x:c>
      <x:c r="V34" s="34" t="n">
        <x:v>5</x:v>
      </x:c>
      <x:c r="W34" s="34" t="n">
        <x:v>0.1</x:v>
      </x:c>
      <x:c r="X34" s="34" t="n">
        <x:v>0.1</x:v>
      </x:c>
      <x:c r="Y34" s="34" t="n">
        <x:v>0.0001</x:v>
      </x:c>
      <x:c r="Z34" s="30" t="str">
        <x:f>IF(AND(D34="TRADING",I34&lt;&gt;"",L34&lt;&gt;"",M34&lt;&gt;"",N34&lt;&gt;"",O34&lt;&gt;""),"Yes","No")</x:f>
        <x:v>No</x:v>
      </x:c>
      <x:c r="AA34" s="39" t="str">
        <x:v>https://developers.binance.com/en/docs/catalog/core-trading-spot-trading/api/rest-api</x:v>
      </x:c>
    </x:row>
    <x:row r="35">
      <x:c r="A35" s="30" t="str">
        <x:v>AEVOUSDT</x:v>
      </x:c>
      <x:c r="B35" s="30" t="str">
        <x:v>AEVO</x:v>
      </x:c>
      <x:c r="C35" s="30" t="str">
        <x:v>USDT</x:v>
      </x:c>
      <x:c r="D35" s="30" t="str">
        <x:v>TRADING</x:v>
      </x:c>
      <x:c r="E35" s="31" t="b">
        <x:v>1</x:v>
      </x:c>
      <x:c r="F35" s="32" t="n">
        <x:v>45364</x:v>
      </x:c>
      <x:c r="G35" s="32" t="n">
        <x:v>45364.999999988424</x:v>
      </x:c>
      <x:c r="H35" s="33" t="n">
        <x:f>IF(F35="","",('Summary'!$B$5-F35)/365.25)</x:f>
        <x:v>2.3901779365350992</x:v>
      </x:c>
      <x:c r="I35" s="34" t="n">
        <x:v>0.01913</x:v>
      </x:c>
      <x:c r="J35" s="35" t="n">
        <x:v>-0.0754</x:v>
      </x:c>
      <x:c r="K35" s="36" t="n">
        <x:v>72999949.56</x:v>
      </x:c>
      <x:c r="L35" s="36" t="n">
        <x:v>1461284.604052</x:v>
      </x:c>
      <x:c r="M35" s="37" t="n">
        <x:v>23055</x:v>
      </x:c>
      <x:c r="N35" s="34" t="n">
        <x:v>0.01913</x:v>
      </x:c>
      <x:c r="O35" s="34" t="n">
        <x:v>0.01915</x:v>
      </x:c>
      <x:c r="P35" s="38" t="n">
        <x:f>IF(OR(N35="",O35="",N35=0,O35=0),"",(O35-N35)/((O35+N35)/2))</x:f>
        <x:v>0.0010449320794147954</x:v>
      </x:c>
      <x:c r="Q35" s="34" t="n">
        <x:v>0.02001761</x:v>
      </x:c>
      <x:c r="R35" s="34" t="n">
        <x:v>0.02157</x:v>
      </x:c>
      <x:c r="S35" s="34" t="n">
        <x:v>0.0189</x:v>
      </x:c>
      <x:c r="T35" s="32" t="n">
        <x:v>46236.01241387732</x:v>
      </x:c>
      <x:c r="U35" s="32" t="n">
        <x:v>46237.01241387732</x:v>
      </x:c>
      <x:c r="V35" s="34" t="n">
        <x:v>5</x:v>
      </x:c>
      <x:c r="W35" s="34" t="n">
        <x:v>0.01</x:v>
      </x:c>
      <x:c r="X35" s="34" t="n">
        <x:v>0.01</x:v>
      </x:c>
      <x:c r="Y35" s="34" t="n">
        <x:v>0.00001</x:v>
      </x:c>
      <x:c r="Z35" s="30" t="str">
        <x:f>IF(AND(D35="TRADING",I35&lt;&gt;"",L35&lt;&gt;"",M35&lt;&gt;"",N35&lt;&gt;"",O35&lt;&gt;""),"Yes","No")</x:f>
        <x:v>Yes</x:v>
      </x:c>
      <x:c r="AA35" s="39" t="str">
        <x:v>https://developers.binance.com/en/docs/catalog/core-trading-spot-trading/api/rest-api</x:v>
      </x:c>
    </x:row>
    <x:row r="36">
      <x:c r="A36" s="30" t="str">
        <x:v>AGIXUSDT</x:v>
      </x:c>
      <x:c r="B36" s="30" t="str">
        <x:v>AGIX</x:v>
      </x:c>
      <x:c r="C36" s="30" t="str">
        <x:v>USDT</x:v>
      </x:c>
      <x:c r="D36" s="30" t="str">
        <x:v>BREAK</x:v>
      </x:c>
      <x:c r="E36" s="31" t="b">
        <x:v>1</x:v>
      </x:c>
      <x:c r="F36" s="32" t="n">
        <x:v>44974</x:v>
      </x:c>
      <x:c r="G36" s="32" t="n">
        <x:v>44974.999999988424</x:v>
      </x:c>
      <x:c r="H36" s="33" t="n">
        <x:f>IF(F36="","",('Summary'!$B$5-F36)/365.25)</x:f>
        <x:v>3.4579397435166186</x:v>
      </x:c>
      <x:c r="I36" s="34" t="n">
        <x:v>0.6141</x:v>
      </x:c>
      <x:c r="J36" s="35" t="n">
        <x:v>-0.00373</x:v>
      </x:c>
      <x:c r="K36" s="36" t="n">
        <x:v>1275587</x:v>
      </x:c>
      <x:c r="L36" s="36" t="n">
        <x:v>787207.7244</x:v>
      </x:c>
      <x:c r="M36" s="37" t="n">
        <x:v>4001</x:v>
      </x:c>
      <x:c r="N36" s="34" t="n">
        <x:v>0</x:v>
      </x:c>
      <x:c r="O36" s="34" t="n">
        <x:v>0</x:v>
      </x:c>
      <x:c r="P36" s="38" t="str">
        <x:f>IF(OR(N36="",O36="",N36=0,O36=0),"",(O36-N36)/((O36+N36)/2))</x:f>
      </x:c>
      <x:c r="Q36" s="34" t="n">
        <x:v>0.6171337</x:v>
      </x:c>
      <x:c r="R36" s="34" t="n">
        <x:v>0.6248</x:v>
      </x:c>
      <x:c r="S36" s="34" t="n">
        <x:v>0.6119</x:v>
      </x:c>
      <x:c r="T36" s="32" t="n">
        <x:v>46209.26112309028</x:v>
      </x:c>
      <x:c r="U36" s="32" t="n">
        <x:v>46210.26112309028</x:v>
      </x:c>
      <x:c r="V36" s="34" t="n">
        <x:v>5</x:v>
      </x:c>
      <x:c r="W36" s="34" t="n">
        <x:v>1</x:v>
      </x:c>
      <x:c r="X36" s="34" t="n">
        <x:v>1</x:v>
      </x:c>
      <x:c r="Y36" s="34" t="n">
        <x:v>0.0001</x:v>
      </x:c>
      <x:c r="Z36" s="30" t="str">
        <x:f>IF(AND(D36="TRADING",I36&lt;&gt;"",L36&lt;&gt;"",M36&lt;&gt;"",N36&lt;&gt;"",O36&lt;&gt;""),"Yes","No")</x:f>
        <x:v>No</x:v>
      </x:c>
      <x:c r="AA36" s="39" t="str">
        <x:v>https://developers.binance.com/en/docs/catalog/core-trading-spot-trading/api/rest-api</x:v>
      </x:c>
    </x:row>
    <x:row r="37">
      <x:c r="A37" s="30" t="str">
        <x:v>AGLDUSDT</x:v>
      </x:c>
      <x:c r="B37" s="30" t="str">
        <x:v>AGLD</x:v>
      </x:c>
      <x:c r="C37" s="30" t="str">
        <x:v>USDT</x:v>
      </x:c>
      <x:c r="D37" s="30" t="str">
        <x:v>TRADING</x:v>
      </x:c>
      <x:c r="E37" s="31" t="b">
        <x:v>1</x:v>
      </x:c>
      <x:c r="F37" s="32" t="n">
        <x:v>44474</x:v>
      </x:c>
      <x:c r="G37" s="32" t="n">
        <x:v>44474.999999988424</x:v>
      </x:c>
      <x:c r="H37" s="33" t="n">
        <x:f>IF(F37="","",('Summary'!$B$5-F37)/365.25)</x:f>
        <x:v>4.826865137082669</x:v>
      </x:c>
      <x:c r="I37" s="34" t="n">
        <x:v>0.1472</x:v>
      </x:c>
      <x:c r="J37" s="35" t="n">
        <x:v>-0.00942</x:v>
      </x:c>
      <x:c r="K37" s="36" t="n">
        <x:v>890670.6</x:v>
      </x:c>
      <x:c r="L37" s="36" t="n">
        <x:v>132081.55397</x:v>
      </x:c>
      <x:c r="M37" s="37" t="n">
        <x:v>1916</x:v>
      </x:c>
      <x:c r="N37" s="34" t="n">
        <x:v>0.147</x:v>
      </x:c>
      <x:c r="O37" s="34" t="n">
        <x:v>0.1472</x:v>
      </x:c>
      <x:c r="P37" s="38" t="n">
        <x:f>IF(OR(N37="",O37="",N37=0,O37=0),"",(O37-N37)/((O37+N37)/2))</x:f>
        <x:v>0.0013596193065941926</x:v>
      </x:c>
      <x:c r="Q37" s="34" t="n">
        <x:v>0.1482945</x:v>
      </x:c>
      <x:c r="R37" s="34" t="n">
        <x:v>0.1505</x:v>
      </x:c>
      <x:c r="S37" s="34" t="n">
        <x:v>0.1463</x:v>
      </x:c>
      <x:c r="T37" s="32" t="n">
        <x:v>46236.012355162035</x:v>
      </x:c>
      <x:c r="U37" s="32" t="n">
        <x:v>46237.012355162035</x:v>
      </x:c>
      <x:c r="V37" s="34" t="n">
        <x:v>5</x:v>
      </x:c>
      <x:c r="W37" s="34" t="n">
        <x:v>0.1</x:v>
      </x:c>
      <x:c r="X37" s="34" t="n">
        <x:v>0.1</x:v>
      </x:c>
      <x:c r="Y37" s="34" t="n">
        <x:v>0.0001</x:v>
      </x:c>
      <x:c r="Z37" s="30" t="str">
        <x:f>IF(AND(D37="TRADING",I37&lt;&gt;"",L37&lt;&gt;"",M37&lt;&gt;"",N37&lt;&gt;"",O37&lt;&gt;""),"Yes","No")</x:f>
        <x:v>Yes</x:v>
      </x:c>
      <x:c r="AA37" s="39" t="str">
        <x:v>https://developers.binance.com/en/docs/catalog/core-trading-spot-trading/api/rest-api</x:v>
      </x:c>
    </x:row>
    <x:row r="38">
      <x:c r="A38" s="30" t="str">
        <x:v>AIGENSYNUSDT</x:v>
      </x:c>
      <x:c r="B38" s="30" t="str">
        <x:v>AIGENSYN</x:v>
      </x:c>
      <x:c r="C38" s="30" t="str">
        <x:v>USDT</x:v>
      </x:c>
      <x:c r="D38" s="30" t="str">
        <x:v>TRADING</x:v>
      </x:c>
      <x:c r="E38" s="31" t="b">
        <x:v>1</x:v>
      </x:c>
      <x:c r="F38" s="32" t="n">
        <x:v>46156</x:v>
      </x:c>
      <x:c r="G38" s="32" t="n">
        <x:v>46156.999999988424</x:v>
      </x:c>
      <x:c r="H38" s="33" t="n">
        <x:f>IF(F38="","",('Summary'!$B$5-F38)/365.25)</x:f>
        <x:v>0.2218001131264749</x:v>
      </x:c>
      <x:c r="I38" s="34" t="n">
        <x:v>0.02284</x:v>
      </x:c>
      <x:c r="J38" s="35" t="n">
        <x:v>-0.012110000000000001</x:v>
      </x:c>
      <x:c r="K38" s="36" t="n">
        <x:v>19419194</x:v>
      </x:c>
      <x:c r="L38" s="36" t="n">
        <x:v>443770.03244</x:v>
      </x:c>
      <x:c r="M38" s="37" t="n">
        <x:v>10504</x:v>
      </x:c>
      <x:c r="N38" s="34" t="n">
        <x:v>0.02283</x:v>
      </x:c>
      <x:c r="O38" s="34" t="n">
        <x:v>0.02284</x:v>
      </x:c>
      <x:c r="P38" s="38" t="n">
        <x:f>IF(OR(N38="",O38="",N38=0,O38=0),"",(O38-N38)/((O38+N38)/2))</x:f>
        <x:v>0.0004379242391066167</x:v>
      </x:c>
      <x:c r="Q38" s="34" t="n">
        <x:v>0.02285213</x:v>
      </x:c>
      <x:c r="R38" s="34" t="n">
        <x:v>0.02331</x:v>
      </x:c>
      <x:c r="S38" s="34" t="n">
        <x:v>0.02255</x:v>
      </x:c>
      <x:c r="T38" s="32" t="n">
        <x:v>46236.01247969907</x:v>
      </x:c>
      <x:c r="U38" s="32" t="n">
        <x:v>46237.01247969907</x:v>
      </x:c>
      <x:c r="V38" s="34" t="n">
        <x:v>5</x:v>
      </x:c>
      <x:c r="W38" s="34" t="n">
        <x:v>1</x:v>
      </x:c>
      <x:c r="X38" s="34" t="n">
        <x:v>1</x:v>
      </x:c>
      <x:c r="Y38" s="34" t="n">
        <x:v>0.00001</x:v>
      </x:c>
      <x:c r="Z38" s="30" t="str">
        <x:f>IF(AND(D38="TRADING",I38&lt;&gt;"",L38&lt;&gt;"",M38&lt;&gt;"",N38&lt;&gt;"",O38&lt;&gt;""),"Yes","No")</x:f>
        <x:v>Yes</x:v>
      </x:c>
      <x:c r="AA38" s="39" t="str">
        <x:v>https://developers.binance.com/en/docs/catalog/core-trading-spot-trading/api/rest-api</x:v>
      </x:c>
    </x:row>
    <x:row r="39">
      <x:c r="A39" s="30" t="str">
        <x:v>AIONUSDT</x:v>
      </x:c>
      <x:c r="B39" s="30" t="str">
        <x:v>AION</x:v>
      </x:c>
      <x:c r="C39" s="30" t="str">
        <x:v>USDT</x:v>
      </x:c>
      <x:c r="D39" s="30" t="str">
        <x:v>BREAK</x:v>
      </x:c>
      <x:c r="E39" s="31" t="b">
        <x:v>1</x:v>
      </x:c>
      <x:c r="F39" s="32" t="n">
        <x:v>43880</x:v>
      </x:c>
      <x:c r="G39" s="32" t="n">
        <x:v>43880.999999988424</x:v>
      </x:c>
      <x:c r="H39" s="33" t="n">
        <x:f>IF(F39="","",('Summary'!$B$5-F39)/365.25)</x:f>
        <x:v>6.453148504639137</x:v>
      </x:c>
      <x:c r="I39" s="34" t="n">
        <x:v>0.00943</x:v>
      </x:c>
      <x:c r="J39" s="35" t="n">
        <x:v>-0.10189999999999999</x:v>
      </x:c>
      <x:c r="K39" s="36" t="n">
        <x:v>55771436</x:v>
      </x:c>
      <x:c r="L39" s="36" t="n">
        <x:v>569915.46452</x:v>
      </x:c>
      <x:c r="M39" s="37" t="n">
        <x:v>4001</x:v>
      </x:c>
      <x:c r="N39" s="34" t="n">
        <x:v>0</x:v>
      </x:c>
      <x:c r="O39" s="34" t="n">
        <x:v>0</x:v>
      </x:c>
      <x:c r="P39" s="38" t="str">
        <x:f>IF(OR(N39="",O39="",N39=0,O39=0),"",(O39-N39)/((O39+N39)/2))</x:f>
      </x:c>
      <x:c r="Q39" s="34" t="n">
        <x:v>0.01021877</x:v>
      </x:c>
      <x:c r="R39" s="34" t="n">
        <x:v>0.0108</x:v>
      </x:c>
      <x:c r="S39" s="34" t="n">
        <x:v>0.00919</x:v>
      </x:c>
      <x:c r="T39" s="32" t="n">
        <x:v>46209.26112309028</x:v>
      </x:c>
      <x:c r="U39" s="32" t="n">
        <x:v>46210.26112309028</x:v>
      </x:c>
      <x:c r="V39" s="34" t="n">
        <x:v>10</x:v>
      </x:c>
      <x:c r="W39" s="34" t="n">
        <x:v>1</x:v>
      </x:c>
      <x:c r="X39" s="34" t="n">
        <x:v>1</x:v>
      </x:c>
      <x:c r="Y39" s="34" t="n">
        <x:v>0.00001</x:v>
      </x:c>
      <x:c r="Z39" s="30" t="str">
        <x:f>IF(AND(D39="TRADING",I39&lt;&gt;"",L39&lt;&gt;"",M39&lt;&gt;"",N39&lt;&gt;"",O39&lt;&gt;""),"Yes","No")</x:f>
        <x:v>No</x:v>
      </x:c>
      <x:c r="AA39" s="39" t="str">
        <x:v>https://developers.binance.com/en/docs/catalog/core-trading-spot-trading/api/rest-api</x:v>
      </x:c>
    </x:row>
    <x:row r="40">
      <x:c r="A40" s="30" t="str">
        <x:v>AIUSDT</x:v>
      </x:c>
      <x:c r="B40" s="30" t="str">
        <x:v>AI</x:v>
      </x:c>
      <x:c r="C40" s="30" t="str">
        <x:v>USDT</x:v>
      </x:c>
      <x:c r="D40" s="30" t="str">
        <x:v>TRADING</x:v>
      </x:c>
      <x:c r="E40" s="31" t="b">
        <x:v>1</x:v>
      </x:c>
      <x:c r="F40" s="32" t="n">
        <x:v>45295</x:v>
      </x:c>
      <x:c r="G40" s="32" t="n">
        <x:v>45295.999999988424</x:v>
      </x:c>
      <x:c r="H40" s="33" t="n">
        <x:f>IF(F40="","",('Summary'!$B$5-F40)/365.25)</x:f>
        <x:v>2.579089640847214</x:v>
      </x:c>
      <x:c r="I40" s="34" t="n">
        <x:v>0.0175</x:v>
      </x:c>
      <x:c r="J40" s="35" t="n">
        <x:v>0</x:v>
      </x:c>
      <x:c r="K40" s="36" t="n">
        <x:v>7831473.4</x:v>
      </x:c>
      <x:c r="L40" s="36" t="n">
        <x:v>136746.99994</x:v>
      </x:c>
      <x:c r="M40" s="37" t="n">
        <x:v>2491</x:v>
      </x:c>
      <x:c r="N40" s="34" t="n">
        <x:v>0.0174</x:v>
      </x:c>
      <x:c r="O40" s="34" t="n">
        <x:v>0.0175</x:v>
      </x:c>
      <x:c r="P40" s="38" t="n">
        <x:f>IF(OR(N40="",O40="",N40=0,O40=0),"",(O40-N40)/((O40+N40)/2))</x:f>
        <x:v>0.005730659025788129</x:v>
      </x:c>
      <x:c r="Q40" s="34" t="n">
        <x:v>0.01746121</x:v>
      </x:c>
      <x:c r="R40" s="34" t="n">
        <x:v>0.0177</x:v>
      </x:c>
      <x:c r="S40" s="34" t="n">
        <x:v>0.0172</x:v>
      </x:c>
      <x:c r="T40" s="32" t="n">
        <x:v>46236.012427939815</x:v>
      </x:c>
      <x:c r="U40" s="32" t="n">
        <x:v>46237.012427939815</x:v>
      </x:c>
      <x:c r="V40" s="34" t="n">
        <x:v>5</x:v>
      </x:c>
      <x:c r="W40" s="34" t="n">
        <x:v>0.1</x:v>
      </x:c>
      <x:c r="X40" s="34" t="n">
        <x:v>0.1</x:v>
      </x:c>
      <x:c r="Y40" s="34" t="n">
        <x:v>0.0001</x:v>
      </x:c>
      <x:c r="Z40" s="30" t="str">
        <x:f>IF(AND(D40="TRADING",I40&lt;&gt;"",L40&lt;&gt;"",M40&lt;&gt;"",N40&lt;&gt;"",O40&lt;&gt;""),"Yes","No")</x:f>
        <x:v>Yes</x:v>
      </x:c>
      <x:c r="AA40" s="39" t="str">
        <x:v>https://developers.binance.com/en/docs/catalog/core-trading-spot-trading/api/rest-api</x:v>
      </x:c>
    </x:row>
    <x:row r="41">
      <x:c r="A41" s="30" t="str">
        <x:v>AIXBTUSDT</x:v>
      </x:c>
      <x:c r="B41" s="30" t="str">
        <x:v>AIXBT</x:v>
      </x:c>
      <x:c r="C41" s="30" t="str">
        <x:v>USDT</x:v>
      </x:c>
      <x:c r="D41" s="30" t="str">
        <x:v>TRADING</x:v>
      </x:c>
      <x:c r="E41" s="31" t="b">
        <x:v>1</x:v>
      </x:c>
      <x:c r="F41" s="32" t="n">
        <x:v>45667</x:v>
      </x:c>
      <x:c r="G41" s="32" t="n">
        <x:v>45667.999999988424</x:v>
      </x:c>
      <x:c r="H41" s="33" t="n">
        <x:f>IF(F41="","",('Summary'!$B$5-F41)/365.25)</x:f>
        <x:v>1.5606091480340725</x:v>
      </x:c>
      <x:c r="I41" s="34" t="n">
        <x:v>0.01771</x:v>
      </x:c>
      <x:c r="J41" s="35" t="n">
        <x:v>0.03085</x:v>
      </x:c>
      <x:c r="K41" s="36" t="n">
        <x:v>25834744.2</x:v>
      </x:c>
      <x:c r="L41" s="36" t="n">
        <x:v>459023.063583</x:v>
      </x:c>
      <x:c r="M41" s="37" t="n">
        <x:v>4960</x:v>
      </x:c>
      <x:c r="N41" s="34" t="n">
        <x:v>0.01771</x:v>
      </x:c>
      <x:c r="O41" s="34" t="n">
        <x:v>0.01773</x:v>
      </x:c>
      <x:c r="P41" s="38" t="n">
        <x:f>IF(OR(N41="",O41="",N41=0,O41=0),"",(O41-N41)/((O41+N41)/2))</x:f>
        <x:v>0.001128668171557516</x:v>
      </x:c>
      <x:c r="Q41" s="34" t="n">
        <x:v>0.01776766</x:v>
      </x:c>
      <x:c r="R41" s="34" t="n">
        <x:v>0.0181</x:v>
      </x:c>
      <x:c r="S41" s="34" t="n">
        <x:v>0.01711</x:v>
      </x:c>
      <x:c r="T41" s="32" t="n">
        <x:v>46236.012073564816</x:v>
      </x:c>
      <x:c r="U41" s="32" t="n">
        <x:v>46237.012073564816</x:v>
      </x:c>
      <x:c r="V41" s="34" t="n">
        <x:v>5</x:v>
      </x:c>
      <x:c r="W41" s="34" t="n">
        <x:v>0.1</x:v>
      </x:c>
      <x:c r="X41" s="34" t="n">
        <x:v>0.1</x:v>
      </x:c>
      <x:c r="Y41" s="34" t="n">
        <x:v>0.00001</x:v>
      </x:c>
      <x:c r="Z41" s="30" t="str">
        <x:f>IF(AND(D41="TRADING",I41&lt;&gt;"",L41&lt;&gt;"",M41&lt;&gt;"",N41&lt;&gt;"",O41&lt;&gt;""),"Yes","No")</x:f>
        <x:v>Yes</x:v>
      </x:c>
      <x:c r="AA41" s="39" t="str">
        <x:v>https://developers.binance.com/en/docs/catalog/core-trading-spot-trading/api/rest-api</x:v>
      </x:c>
    </x:row>
    <x:row r="42">
      <x:c r="A42" s="30" t="str">
        <x:v>AKROUSDT</x:v>
      </x:c>
      <x:c r="B42" s="30" t="str">
        <x:v>AKRO</x:v>
      </x:c>
      <x:c r="C42" s="30" t="str">
        <x:v>USDT</x:v>
      </x:c>
      <x:c r="D42" s="30" t="str">
        <x:v>BREAK</x:v>
      </x:c>
      <x:c r="E42" s="31" t="b">
        <x:v>1</x:v>
      </x:c>
      <x:c r="F42" s="32" t="n">
        <x:v>44137</x:v>
      </x:c>
      <x:c r="G42" s="32" t="n">
        <x:v>44137.999999988424</x:v>
      </x:c>
      <x:c r="H42" s="33" t="n">
        <x:f>IF(F42="","",('Summary'!$B$5-F42)/365.25)</x:f>
        <x:v>5.749520852346188</x:v>
      </x:c>
      <x:c r="I42" s="34" t="n">
        <x:v>0.000981</x:v>
      </x:c>
      <x:c r="J42" s="35" t="n">
        <x:v>-0.10574</x:v>
      </x:c>
      <x:c r="K42" s="36" t="n">
        <x:v>196396908</x:v>
      </x:c>
      <x:c r="L42" s="36" t="n">
        <x:v>204099.220468</x:v>
      </x:c>
      <x:c r="M42" s="37" t="n">
        <x:v>4001</x:v>
      </x:c>
      <x:c r="N42" s="34" t="n">
        <x:v>0</x:v>
      </x:c>
      <x:c r="O42" s="34" t="n">
        <x:v>0</x:v>
      </x:c>
      <x:c r="P42" s="38" t="str">
        <x:f>IF(OR(N42="",O42="",N42=0,O42=0),"",(O42-N42)/((O42+N42)/2))</x:f>
      </x:c>
      <x:c r="Q42" s="34" t="n">
        <x:v>0.00103922</x:v>
      </x:c>
      <x:c r="R42" s="34" t="n">
        <x:v>0.00112</x:v>
      </x:c>
      <x:c r="S42" s="34" t="n">
        <x:v>0.000906</x:v>
      </x:c>
      <x:c r="T42" s="32" t="n">
        <x:v>46209.26112309028</x:v>
      </x:c>
      <x:c r="U42" s="32" t="n">
        <x:v>46210.26112309028</x:v>
      </x:c>
      <x:c r="V42" s="34" t="n">
        <x:v>1</x:v>
      </x:c>
      <x:c r="W42" s="34" t="n">
        <x:v>1</x:v>
      </x:c>
      <x:c r="X42" s="34" t="n">
        <x:v>1</x:v>
      </x:c>
      <x:c r="Y42" s="34" t="n">
        <x:v>0.000001</x:v>
      </x:c>
      <x:c r="Z42" s="30" t="str">
        <x:f>IF(AND(D42="TRADING",I42&lt;&gt;"",L42&lt;&gt;"",M42&lt;&gt;"",N42&lt;&gt;"",O42&lt;&gt;""),"Yes","No")</x:f>
        <x:v>No</x:v>
      </x:c>
      <x:c r="AA42" s="39" t="str">
        <x:v>https://developers.binance.com/en/docs/catalog/core-trading-spot-trading/api/rest-api</x:v>
      </x:c>
    </x:row>
    <x:row r="43">
      <x:c r="A43" s="30" t="str">
        <x:v>ALCXUSDT</x:v>
      </x:c>
      <x:c r="B43" s="30" t="str">
        <x:v>ALCX</x:v>
      </x:c>
      <x:c r="C43" s="30" t="str">
        <x:v>USDT</x:v>
      </x:c>
      <x:c r="D43" s="30" t="str">
        <x:v>BREAK</x:v>
      </x:c>
      <x:c r="E43" s="31" t="b">
        <x:v>1</x:v>
      </x:c>
      <x:c r="F43" s="32" t="n">
        <x:v>44530</x:v>
      </x:c>
      <x:c r="G43" s="32" t="n">
        <x:v>44530.999999988424</x:v>
      </x:c>
      <x:c r="H43" s="33" t="n">
        <x:f>IF(F43="","",('Summary'!$B$5-F43)/365.25)</x:f>
        <x:v>4.673545493003272</x:v>
      </x:c>
      <x:c r="I43" s="34" t="n">
        <x:v>1.91</x:v>
      </x:c>
      <x:c r="J43" s="35" t="n">
        <x:v>-0.054459999999999995</x:v>
      </x:c>
      <x:c r="K43" s="36" t="n">
        <x:v>142780.8109</x:v>
      </x:c>
      <x:c r="L43" s="36" t="n">
        <x:v>277340.495905</x:v>
      </x:c>
      <x:c r="M43" s="37" t="n">
        <x:v>7017</x:v>
      </x:c>
      <x:c r="N43" s="34" t="n">
        <x:v>0</x:v>
      </x:c>
      <x:c r="O43" s="34" t="n">
        <x:v>0</x:v>
      </x:c>
      <x:c r="P43" s="38" t="str">
        <x:f>IF(OR(N43="",O43="",N43=0,O43=0),"",(O43-N43)/((O43+N43)/2))</x:f>
      </x:c>
      <x:c r="Q43" s="34" t="n">
        <x:v>1.94242135</x:v>
      </x:c>
      <x:c r="R43" s="34" t="n">
        <x:v>2.39</x:v>
      </x:c>
      <x:c r="S43" s="34" t="n">
        <x:v>1.8</x:v>
      </x:c>
      <x:c r="T43" s="32" t="n">
        <x:v>46212.12502930556</x:v>
      </x:c>
      <x:c r="U43" s="32" t="n">
        <x:v>46213.12502930556</x:v>
      </x:c>
      <x:c r="V43" s="34" t="n">
        <x:v>5</x:v>
      </x:c>
      <x:c r="W43" s="34" t="n">
        <x:v>0.0001</x:v>
      </x:c>
      <x:c r="X43" s="34" t="n">
        <x:v>0.0001</x:v>
      </x:c>
      <x:c r="Y43" s="34" t="n">
        <x:v>0.01</x:v>
      </x:c>
      <x:c r="Z43" s="30" t="str">
        <x:f>IF(AND(D43="TRADING",I43&lt;&gt;"",L43&lt;&gt;"",M43&lt;&gt;"",N43&lt;&gt;"",O43&lt;&gt;""),"Yes","No")</x:f>
        <x:v>No</x:v>
      </x:c>
      <x:c r="AA43" s="39" t="str">
        <x:v>https://developers.binance.com/en/docs/catalog/core-trading-spot-trading/api/rest-api</x:v>
      </x:c>
    </x:row>
    <x:row r="44">
      <x:c r="A44" s="30" t="str">
        <x:v>ALGOUSDT</x:v>
      </x:c>
      <x:c r="B44" s="30" t="str">
        <x:v>ALGO</x:v>
      </x:c>
      <x:c r="C44" s="30" t="str">
        <x:v>USDT</x:v>
      </x:c>
      <x:c r="D44" s="30" t="str">
        <x:v>TRADING</x:v>
      </x:c>
      <x:c r="E44" s="31" t="b">
        <x:v>1</x:v>
      </x:c>
      <x:c r="F44" s="32" t="n">
        <x:v>43638</x:v>
      </x:c>
      <x:c r="G44" s="32" t="n">
        <x:v>43638.999999988424</x:v>
      </x:c>
      <x:c r="H44" s="33" t="n">
        <x:f>IF(F44="","",('Summary'!$B$5-F44)/365.25)</x:f>
        <x:v>7.115708395125106</x:v>
      </x:c>
      <x:c r="I44" s="34" t="n">
        <x:v>0.0864</x:v>
      </x:c>
      <x:c r="J44" s="35" t="n">
        <x:v>0.09229</x:v>
      </x:c>
      <x:c r="K44" s="36" t="n">
        <x:v>28550098</x:v>
      </x:c>
      <x:c r="L44" s="36" t="n">
        <x:v>2385901.0681</x:v>
      </x:c>
      <x:c r="M44" s="37" t="n">
        <x:v>22337</x:v>
      </x:c>
      <x:c r="N44" s="34" t="n">
        <x:v>0.0864</x:v>
      </x:c>
      <x:c r="O44" s="34" t="n">
        <x:v>0.0865</x:v>
      </x:c>
      <x:c r="P44" s="38" t="n">
        <x:f>IF(OR(N44="",O44="",N44=0,O44=0),"",(O44-N44)/((O44+N44)/2))</x:f>
        <x:v>0.0011567379988431346</x:v>
      </x:c>
      <x:c r="Q44" s="34" t="n">
        <x:v>0.08356893</x:v>
      </x:c>
      <x:c r="R44" s="34" t="n">
        <x:v>0.0872</x:v>
      </x:c>
      <x:c r="S44" s="34" t="n">
        <x:v>0.0786</x:v>
      </x:c>
      <x:c r="T44" s="32" t="n">
        <x:v>46236.012482743055</x:v>
      </x:c>
      <x:c r="U44" s="32" t="n">
        <x:v>46237.012482743055</x:v>
      </x:c>
      <x:c r="V44" s="34" t="n">
        <x:v>5</x:v>
      </x:c>
      <x:c r="W44" s="34" t="n">
        <x:v>1</x:v>
      </x:c>
      <x:c r="X44" s="34" t="n">
        <x:v>1</x:v>
      </x:c>
      <x:c r="Y44" s="34" t="n">
        <x:v>0.0001</x:v>
      </x:c>
      <x:c r="Z44" s="30" t="str">
        <x:f>IF(AND(D44="TRADING",I44&lt;&gt;"",L44&lt;&gt;"",M44&lt;&gt;"",N44&lt;&gt;"",O44&lt;&gt;""),"Yes","No")</x:f>
        <x:v>Yes</x:v>
      </x:c>
      <x:c r="AA44" s="39" t="str">
        <x:v>https://developers.binance.com/en/docs/catalog/core-trading-spot-trading/api/rest-api</x:v>
      </x:c>
    </x:row>
    <x:row r="45">
      <x:c r="A45" s="30" t="str">
        <x:v>ALICEUSDT</x:v>
      </x:c>
      <x:c r="B45" s="30" t="str">
        <x:v>ALICE</x:v>
      </x:c>
      <x:c r="C45" s="30" t="str">
        <x:v>USDT</x:v>
      </x:c>
      <x:c r="D45" s="30" t="str">
        <x:v>TRADING</x:v>
      </x:c>
      <x:c r="E45" s="31" t="b">
        <x:v>1</x:v>
      </x:c>
      <x:c r="F45" s="32" t="n">
        <x:v>44270</x:v>
      </x:c>
      <x:c r="G45" s="32" t="n">
        <x:v>44270.999999988424</x:v>
      </x:c>
      <x:c r="H45" s="33" t="n">
        <x:f>IF(F45="","",('Summary'!$B$5-F45)/365.25)</x:f>
        <x:v>5.385386697657618</x:v>
      </x:c>
      <x:c r="I45" s="34" t="n">
        <x:v>0.1158</x:v>
      </x:c>
      <x:c r="J45" s="35" t="n">
        <x:v>0.02751</x:v>
      </x:c>
      <x:c r="K45" s="36" t="n">
        <x:v>2788587.28</x:v>
      </x:c>
      <x:c r="L45" s="36" t="n">
        <x:v>323350.539327</x:v>
      </x:c>
      <x:c r="M45" s="37" t="n">
        <x:v>3417</x:v>
      </x:c>
      <x:c r="N45" s="34" t="n">
        <x:v>0.1157</x:v>
      </x:c>
      <x:c r="O45" s="34" t="n">
        <x:v>0.1158</x:v>
      </x:c>
      <x:c r="P45" s="38" t="n">
        <x:f>IF(OR(N45="",O45="",N45=0,O45=0),"",(O45-N45)/((O45+N45)/2))</x:f>
        <x:v>0.0008639308855291825</x:v>
      </x:c>
      <x:c r="Q45" s="34" t="n">
        <x:v>0.11595496</x:v>
      </x:c>
      <x:c r="R45" s="34" t="n">
        <x:v>0.118</x:v>
      </x:c>
      <x:c r="S45" s="34" t="n">
        <x:v>0.1127</x:v>
      </x:c>
      <x:c r="T45" s="32" t="n">
        <x:v>46236.01230042824</x:v>
      </x:c>
      <x:c r="U45" s="32" t="n">
        <x:v>46237.01230042824</x:v>
      </x:c>
      <x:c r="V45" s="34" t="n">
        <x:v>5</x:v>
      </x:c>
      <x:c r="W45" s="34" t="n">
        <x:v>0.01</x:v>
      </x:c>
      <x:c r="X45" s="34" t="n">
        <x:v>0.01</x:v>
      </x:c>
      <x:c r="Y45" s="34" t="n">
        <x:v>0.0001</x:v>
      </x:c>
      <x:c r="Z45" s="30" t="str">
        <x:f>IF(AND(D45="TRADING",I45&lt;&gt;"",L45&lt;&gt;"",M45&lt;&gt;"",N45&lt;&gt;"",O45&lt;&gt;""),"Yes","No")</x:f>
        <x:v>Yes</x:v>
      </x:c>
      <x:c r="AA45" s="39" t="str">
        <x:v>https://developers.binance.com/en/docs/catalog/core-trading-spot-trading/api/rest-api</x:v>
      </x:c>
    </x:row>
    <x:row r="46">
      <x:c r="A46" s="30" t="str">
        <x:v>ALLOUSDT</x:v>
      </x:c>
      <x:c r="B46" s="30" t="str">
        <x:v>ALLO</x:v>
      </x:c>
      <x:c r="C46" s="30" t="str">
        <x:v>USDT</x:v>
      </x:c>
      <x:c r="D46" s="30" t="str">
        <x:v>TRADING</x:v>
      </x:c>
      <x:c r="E46" s="31" t="b">
        <x:v>1</x:v>
      </x:c>
      <x:c r="F46" s="32" t="n">
        <x:v>45972</x:v>
      </x:c>
      <x:c r="G46" s="32" t="n">
        <x:v>45972.999999988424</x:v>
      </x:c>
      <x:c r="H46" s="33" t="n">
        <x:f>IF(F46="","",('Summary'!$B$5-F46)/365.25)</x:f>
        <x:v>0.7255646579587816</x:v>
      </x:c>
      <x:c r="I46" s="34" t="n">
        <x:v>0.2529</x:v>
      </x:c>
      <x:c r="J46" s="35" t="n">
        <x:v>-0.052809999999999996</x:v>
      </x:c>
      <x:c r="K46" s="36" t="n">
        <x:v>6289151</x:v>
      </x:c>
      <x:c r="L46" s="36" t="n">
        <x:v>1621576.92363</x:v>
      </x:c>
      <x:c r="M46" s="37" t="n">
        <x:v>48671</x:v>
      </x:c>
      <x:c r="N46" s="34" t="n">
        <x:v>0.2528</x:v>
      </x:c>
      <x:c r="O46" s="34" t="n">
        <x:v>0.2529</x:v>
      </x:c>
      <x:c r="P46" s="38" t="n">
        <x:f>IF(OR(N46="",O46="",N46=0,O46=0),"",(O46-N46)/((O46+N46)/2))</x:f>
        <x:v>0.0003954913980620486</x:v>
      </x:c>
      <x:c r="Q46" s="34" t="n">
        <x:v>0.25783717</x:v>
      </x:c>
      <x:c r="R46" s="34" t="n">
        <x:v>0.2756</x:v>
      </x:c>
      <x:c r="S46" s="34" t="n">
        <x:v>0.2494</x:v>
      </x:c>
      <x:c r="T46" s="32" t="n">
        <x:v>46236.01244244213</x:v>
      </x:c>
      <x:c r="U46" s="32" t="n">
        <x:v>46237.01244244213</x:v>
      </x:c>
      <x:c r="V46" s="34" t="n">
        <x:v>5</x:v>
      </x:c>
      <x:c r="W46" s="34" t="n">
        <x:v>0.1</x:v>
      </x:c>
      <x:c r="X46" s="34" t="n">
        <x:v>0.1</x:v>
      </x:c>
      <x:c r="Y46" s="34" t="n">
        <x:v>0.0001</x:v>
      </x:c>
      <x:c r="Z46" s="30" t="str">
        <x:f>IF(AND(D46="TRADING",I46&lt;&gt;"",L46&lt;&gt;"",M46&lt;&gt;"",N46&lt;&gt;"",O46&lt;&gt;""),"Yes","No")</x:f>
        <x:v>Yes</x:v>
      </x:c>
      <x:c r="AA46" s="39" t="str">
        <x:v>https://developers.binance.com/en/docs/catalog/core-trading-spot-trading/api/rest-api</x:v>
      </x:c>
    </x:row>
    <x:row r="47">
      <x:c r="A47" s="30" t="str">
        <x:v>ALPACAUSDT</x:v>
      </x:c>
      <x:c r="B47" s="30" t="str">
        <x:v>ALPACA</x:v>
      </x:c>
      <x:c r="C47" s="30" t="str">
        <x:v>USDT</x:v>
      </x:c>
      <x:c r="D47" s="30" t="str">
        <x:v>BREAK</x:v>
      </x:c>
      <x:c r="E47" s="31" t="b">
        <x:v>1</x:v>
      </x:c>
      <x:c r="F47" s="32" t="n">
        <x:v>44419</x:v>
      </x:c>
      <x:c r="G47" s="32" t="n">
        <x:v>44419.999999988424</x:v>
      </x:c>
      <x:c r="H47" s="33" t="n">
        <x:f>IF(F47="","",('Summary'!$B$5-F47)/365.25)</x:f>
        <x:v>4.977446930374935</x:v>
      </x:c>
      <x:c r="I47" s="34" t="n">
        <x:v>0.2244</x:v>
      </x:c>
      <x:c r="J47" s="35" t="n">
        <x:v>-0.05396</x:v>
      </x:c>
      <x:c r="K47" s="36" t="n">
        <x:v>1179708.9</x:v>
      </x:c>
      <x:c r="L47" s="36" t="n">
        <x:v>274900.36652</x:v>
      </x:c>
      <x:c r="M47" s="37" t="n">
        <x:v>4001</x:v>
      </x:c>
      <x:c r="N47" s="34" t="n">
        <x:v>0</x:v>
      </x:c>
      <x:c r="O47" s="34" t="n">
        <x:v>0</x:v>
      </x:c>
      <x:c r="P47" s="38" t="str">
        <x:f>IF(OR(N47="",O47="",N47=0,O47=0),"",(O47-N47)/((O47+N47)/2))</x:f>
      </x:c>
      <x:c r="Q47" s="34" t="n">
        <x:v>0.2330239</x:v>
      </x:c>
      <x:c r="R47" s="34" t="n">
        <x:v>0.2548</x:v>
      </x:c>
      <x:c r="S47" s="34" t="n">
        <x:v>0.214</x:v>
      </x:c>
      <x:c r="T47" s="32" t="n">
        <x:v>46209.26112309028</x:v>
      </x:c>
      <x:c r="U47" s="32" t="n">
        <x:v>46210.26112309028</x:v>
      </x:c>
      <x:c r="V47" s="34" t="n">
        <x:v>5</x:v>
      </x:c>
      <x:c r="W47" s="34" t="n">
        <x:v>0.1</x:v>
      </x:c>
      <x:c r="X47" s="34" t="n">
        <x:v>0.1</x:v>
      </x:c>
      <x:c r="Y47" s="34" t="n">
        <x:v>0.0001</x:v>
      </x:c>
      <x:c r="Z47" s="30" t="str">
        <x:f>IF(AND(D47="TRADING",I47&lt;&gt;"",L47&lt;&gt;"",M47&lt;&gt;"",N47&lt;&gt;"",O47&lt;&gt;""),"Yes","No")</x:f>
        <x:v>No</x:v>
      </x:c>
      <x:c r="AA47" s="39" t="str">
        <x:v>https://developers.binance.com/en/docs/catalog/core-trading-spot-trading/api/rest-api</x:v>
      </x:c>
    </x:row>
    <x:row r="48">
      <x:c r="A48" s="30" t="str">
        <x:v>ALPHAUSDT</x:v>
      </x:c>
      <x:c r="B48" s="30" t="str">
        <x:v>ALPHA</x:v>
      </x:c>
      <x:c r="C48" s="30" t="str">
        <x:v>USDT</x:v>
      </x:c>
      <x:c r="D48" s="30" t="str">
        <x:v>BREAK</x:v>
      </x:c>
      <x:c r="E48" s="31" t="b">
        <x:v>1</x:v>
      </x:c>
      <x:c r="F48" s="32" t="n">
        <x:v>44114</x:v>
      </x:c>
      <x:c r="G48" s="32" t="n">
        <x:v>44114.999999988424</x:v>
      </x:c>
      <x:c r="H48" s="33" t="n">
        <x:f>IF(F48="","",('Summary'!$B$5-F48)/365.25)</x:f>
        <x:v>5.812491420450225</x:v>
      </x:c>
      <x:c r="I48" s="34" t="n">
        <x:v>0.0097</x:v>
      </x:c>
      <x:c r="J48" s="35" t="n">
        <x:v>-0.03</x:v>
      </x:c>
      <x:c r="K48" s="36" t="n">
        <x:v>42436198</x:v>
      </x:c>
      <x:c r="L48" s="36" t="n">
        <x:v>420453.1765</x:v>
      </x:c>
      <x:c r="M48" s="37" t="n">
        <x:v>4001</x:v>
      </x:c>
      <x:c r="N48" s="34" t="n">
        <x:v>0</x:v>
      </x:c>
      <x:c r="O48" s="34" t="n">
        <x:v>0</x:v>
      </x:c>
      <x:c r="P48" s="38" t="str">
        <x:f>IF(OR(N48="",O48="",N48=0,O48=0),"",(O48-N48)/((O48+N48)/2))</x:f>
      </x:c>
      <x:c r="Q48" s="34" t="n">
        <x:v>0.00990789</x:v>
      </x:c>
      <x:c r="R48" s="34" t="n">
        <x:v>0.0103</x:v>
      </x:c>
      <x:c r="S48" s="34" t="n">
        <x:v>0.0092</x:v>
      </x:c>
      <x:c r="T48" s="32" t="n">
        <x:v>46209.26112309028</x:v>
      </x:c>
      <x:c r="U48" s="32" t="n">
        <x:v>46210.26112309028</x:v>
      </x:c>
      <x:c r="V48" s="34" t="n">
        <x:v>5</x:v>
      </x:c>
      <x:c r="W48" s="34" t="n">
        <x:v>1</x:v>
      </x:c>
      <x:c r="X48" s="34" t="n">
        <x:v>1</x:v>
      </x:c>
      <x:c r="Y48" s="34" t="n">
        <x:v>0.0001</x:v>
      </x:c>
      <x:c r="Z48" s="30" t="str">
        <x:f>IF(AND(D48="TRADING",I48&lt;&gt;"",L48&lt;&gt;"",M48&lt;&gt;"",N48&lt;&gt;"",O48&lt;&gt;""),"Yes","No")</x:f>
        <x:v>No</x:v>
      </x:c>
      <x:c r="AA48" s="39" t="str">
        <x:v>https://developers.binance.com/en/docs/catalog/core-trading-spot-trading/api/rest-api</x:v>
      </x:c>
    </x:row>
    <x:row r="49">
      <x:c r="A49" s="30" t="str">
        <x:v>ALPINEUSDT</x:v>
      </x:c>
      <x:c r="B49" s="30" t="str">
        <x:v>ALPINE</x:v>
      </x:c>
      <x:c r="C49" s="30" t="str">
        <x:v>USDT</x:v>
      </x:c>
      <x:c r="D49" s="30" t="str">
        <x:v>TRADING</x:v>
      </x:c>
      <x:c r="E49" s="31" t="b">
        <x:v>1</x:v>
      </x:c>
      <x:c r="F49" s="32" t="n">
        <x:v>44613</x:v>
      </x:c>
      <x:c r="G49" s="32" t="n">
        <x:v>44613.999999988424</x:v>
      </x:c>
      <x:c r="H49" s="33" t="n">
        <x:f>IF(F49="","",('Summary'!$B$5-F49)/365.25)</x:f>
        <x:v>4.4463038776713075</x:v>
      </x:c>
      <x:c r="I49" s="34" t="n">
        <x:v>0.315</x:v>
      </x:c>
      <x:c r="J49" s="35" t="n">
        <x:v>-0.015629999999999998</x:v>
      </x:c>
      <x:c r="K49" s="36" t="n">
        <x:v>303255.86</x:v>
      </x:c>
      <x:c r="L49" s="36" t="n">
        <x:v>96362.66022</x:v>
      </x:c>
      <x:c r="M49" s="37" t="n">
        <x:v>3244</x:v>
      </x:c>
      <x:c r="N49" s="34" t="n">
        <x:v>0.315</x:v>
      </x:c>
      <x:c r="O49" s="34" t="n">
        <x:v>0.316</x:v>
      </x:c>
      <x:c r="P49" s="38" t="n">
        <x:f>IF(OR(N49="",O49="",N49=0,O49=0),"",(O49-N49)/((O49+N49)/2))</x:f>
        <x:v>0.0031695721077654544</x:v>
      </x:c>
      <x:c r="Q49" s="34" t="n">
        <x:v>0.31776026</x:v>
      </x:c>
      <x:c r="R49" s="34" t="n">
        <x:v>0.322</x:v>
      </x:c>
      <x:c r="S49" s="34" t="n">
        <x:v>0.314</x:v>
      </x:c>
      <x:c r="T49" s="32" t="n">
        <x:v>46236.01236623843</x:v>
      </x:c>
      <x:c r="U49" s="32" t="n">
        <x:v>46237.01236623843</x:v>
      </x:c>
      <x:c r="V49" s="34" t="n">
        <x:v>5</x:v>
      </x:c>
      <x:c r="W49" s="34" t="n">
        <x:v>0.01</x:v>
      </x:c>
      <x:c r="X49" s="34" t="n">
        <x:v>0.01</x:v>
      </x:c>
      <x:c r="Y49" s="34" t="n">
        <x:v>0.001</x:v>
      </x:c>
      <x:c r="Z49" s="30" t="str">
        <x:f>IF(AND(D49="TRADING",I49&lt;&gt;"",L49&lt;&gt;"",M49&lt;&gt;"",N49&lt;&gt;"",O49&lt;&gt;""),"Yes","No")</x:f>
        <x:v>Yes</x:v>
      </x:c>
      <x:c r="AA49" s="39" t="str">
        <x:v>https://developers.binance.com/en/docs/catalog/core-trading-spot-trading/api/rest-api</x:v>
      </x:c>
    </x:row>
    <x:row r="50">
      <x:c r="A50" s="30" t="str">
        <x:v>ALTUSDT</x:v>
      </x:c>
      <x:c r="B50" s="30" t="str">
        <x:v>ALT</x:v>
      </x:c>
      <x:c r="C50" s="30" t="str">
        <x:v>USDT</x:v>
      </x:c>
      <x:c r="D50" s="30" t="str">
        <x:v>TRADING</x:v>
      </x:c>
      <x:c r="E50" s="31" t="b">
        <x:v>1</x:v>
      </x:c>
      <x:c r="F50" s="32" t="n">
        <x:v>45316</x:v>
      </x:c>
      <x:c r="G50" s="32" t="n">
        <x:v>45316.999999988424</x:v>
      </x:c>
      <x:c r="H50" s="33" t="n">
        <x:f>IF(F50="","",('Summary'!$B$5-F50)/365.25)</x:f>
        <x:v>2.52159477431744</x:v>
      </x:c>
      <x:c r="I50" s="34" t="n">
        <x:v>0.00573</x:v>
      </x:c>
      <x:c r="J50" s="35" t="n">
        <x:v>-0.027160000000000004</x:v>
      </x:c>
      <x:c r="K50" s="36" t="n">
        <x:v>20189445</x:v>
      </x:c>
      <x:c r="L50" s="36" t="n">
        <x:v>117189.78373</x:v>
      </x:c>
      <x:c r="M50" s="37" t="n">
        <x:v>1746</x:v>
      </x:c>
      <x:c r="N50" s="34" t="n">
        <x:v>0.00573</x:v>
      </x:c>
      <x:c r="O50" s="34" t="n">
        <x:v>0.00574</x:v>
      </x:c>
      <x:c r="P50" s="38" t="n">
        <x:f>IF(OR(N50="",O50="",N50=0,O50=0),"",(O50-N50)/((O50+N50)/2))</x:f>
        <x:v>0.0017436791630340818</x:v>
      </x:c>
      <x:c r="Q50" s="34" t="n">
        <x:v>0.00580451</x:v>
      </x:c>
      <x:c r="R50" s="34" t="n">
        <x:v>0.00596</x:v>
      </x:c>
      <x:c r="S50" s="34" t="n">
        <x:v>0.00571</x:v>
      </x:c>
      <x:c r="T50" s="32" t="n">
        <x:v>46236.012388344905</x:v>
      </x:c>
      <x:c r="U50" s="32" t="n">
        <x:v>46237.012388344905</x:v>
      </x:c>
      <x:c r="V50" s="34" t="n">
        <x:v>5</x:v>
      </x:c>
      <x:c r="W50" s="34" t="n">
        <x:v>1</x:v>
      </x:c>
      <x:c r="X50" s="34" t="n">
        <x:v>1</x:v>
      </x:c>
      <x:c r="Y50" s="34" t="n">
        <x:v>0.00001</x:v>
      </x:c>
      <x:c r="Z50" s="30" t="str">
        <x:f>IF(AND(D50="TRADING",I50&lt;&gt;"",L50&lt;&gt;"",M50&lt;&gt;"",N50&lt;&gt;"",O50&lt;&gt;""),"Yes","No")</x:f>
        <x:v>Yes</x:v>
      </x:c>
      <x:c r="AA50" s="39" t="str">
        <x:v>https://developers.binance.com/en/docs/catalog/core-trading-spot-trading/api/rest-api</x:v>
      </x:c>
    </x:row>
    <x:row r="51">
      <x:c r="A51" s="30" t="str">
        <x:v>AMATBUSDT</x:v>
      </x:c>
      <x:c r="B51" s="30" t="str">
        <x:v>AMATB</x:v>
      </x:c>
      <x:c r="C51" s="30" t="str">
        <x:v>USDT</x:v>
      </x:c>
      <x:c r="D51" s="30" t="str">
        <x:v>TRADING</x:v>
      </x:c>
      <x:c r="E51" s="31" t="b">
        <x:v>1</x:v>
      </x:c>
      <x:c r="F51" s="32" t="n">
        <x:v>46232</x:v>
      </x:c>
      <x:c r="G51" s="32" t="n">
        <x:v>46232.999999988424</x:v>
      </x:c>
      <x:c r="H51" s="33" t="n">
        <x:f>IF(F51="","",('Summary'!$B$5-F51)/365.25)</x:f>
        <x:v>0.013723453304435213</x:v>
      </x:c>
      <x:c r="I51" s="34" t="n">
        <x:v>515.86</x:v>
      </x:c>
      <x:c r="J51" s="35" t="n">
        <x:v>0.00432</x:v>
      </x:c>
      <x:c r="K51" s="36" t="n">
        <x:v>47.806</x:v>
      </x:c>
      <x:c r="L51" s="36" t="n">
        <x:v>24684.66955</x:v>
      </x:c>
      <x:c r="M51" s="37" t="n">
        <x:v>1025</x:v>
      </x:c>
      <x:c r="N51" s="34" t="n">
        <x:v>515.8</x:v>
      </x:c>
      <x:c r="O51" s="34" t="n">
        <x:v>517.31</x:v>
      </x:c>
      <x:c r="P51" s="38" t="n">
        <x:f>IF(OR(N51="",O51="",N51=0,O51=0),"",(O51-N51)/((O51+N51)/2))</x:f>
        <x:v>0.0029232124362362014</x:v>
      </x:c>
      <x:c r="Q51" s="34" t="n">
        <x:v>516.35086705</x:v>
      </x:c>
      <x:c r="R51" s="34" t="n">
        <x:v>519.99</x:v>
      </x:c>
      <x:c r="S51" s="34" t="n">
        <x:v>507.19</x:v>
      </x:c>
      <x:c r="T51" s="32" t="n">
        <x:v>46236.012484837964</x:v>
      </x:c>
      <x:c r="U51" s="32" t="n">
        <x:v>46237.012484837964</x:v>
      </x:c>
      <x:c r="V51" s="34" t="n">
        <x:v>5</x:v>
      </x:c>
      <x:c r="W51" s="34" t="n">
        <x:v>0.001</x:v>
      </x:c>
      <x:c r="X51" s="34" t="n">
        <x:v>0.001</x:v>
      </x:c>
      <x:c r="Y51" s="34" t="n">
        <x:v>0.01</x:v>
      </x:c>
      <x:c r="Z51" s="30" t="str">
        <x:f>IF(AND(D51="TRADING",I51&lt;&gt;"",L51&lt;&gt;"",M51&lt;&gt;"",N51&lt;&gt;"",O51&lt;&gt;""),"Yes","No")</x:f>
        <x:v>Yes</x:v>
      </x:c>
      <x:c r="AA51" s="39" t="str">
        <x:v>https://developers.binance.com/en/docs/catalog/core-trading-spot-trading/api/rest-api</x:v>
      </x:c>
    </x:row>
    <x:row r="52">
      <x:c r="A52" s="30" t="str">
        <x:v>AMBUSDT</x:v>
      </x:c>
      <x:c r="B52" s="30" t="str">
        <x:v>AMB</x:v>
      </x:c>
      <x:c r="C52" s="30" t="str">
        <x:v>USDT</x:v>
      </x:c>
      <x:c r="D52" s="30" t="str">
        <x:v>BREAK</x:v>
      </x:c>
      <x:c r="E52" s="31" t="b">
        <x:v>1</x:v>
      </x:c>
      <x:c r="F52" s="32" t="n">
        <x:v>44988</x:v>
      </x:c>
      <x:c r="G52" s="32" t="n">
        <x:v>44988.999999988424</x:v>
      </x:c>
      <x:c r="H52" s="33" t="n">
        <x:f>IF(F52="","",('Summary'!$B$5-F52)/365.25)</x:f>
        <x:v>3.419609832496769</x:v>
      </x:c>
      <x:c r="I52" s="34" t="n">
        <x:v>0.00032</x:v>
      </x:c>
      <x:c r="J52" s="35" t="n">
        <x:v>-0.11111</x:v>
      </x:c>
      <x:c r="K52" s="36" t="n">
        <x:v>1122634366</x:v>
      </x:c>
      <x:c r="L52" s="36" t="n">
        <x:v>369169.95853</x:v>
      </x:c>
      <x:c r="M52" s="37" t="n">
        <x:v>4001</x:v>
      </x:c>
      <x:c r="N52" s="34" t="n">
        <x:v>0</x:v>
      </x:c>
      <x:c r="O52" s="34" t="n">
        <x:v>0</x:v>
      </x:c>
      <x:c r="P52" s="38" t="str">
        <x:f>IF(OR(N52="",O52="",N52=0,O52=0),"",(O52-N52)/((O52+N52)/2))</x:f>
      </x:c>
      <x:c r="Q52" s="34" t="n">
        <x:v>0.00032884</x:v>
      </x:c>
      <x:c r="R52" s="34" t="n">
        <x:v>0.00041</x:v>
      </x:c>
      <x:c r="S52" s="34" t="n">
        <x:v>0.00026</x:v>
      </x:c>
      <x:c r="T52" s="32" t="n">
        <x:v>46209.26112309028</x:v>
      </x:c>
      <x:c r="U52" s="32" t="n">
        <x:v>46210.26112309028</x:v>
      </x:c>
      <x:c r="V52" s="34" t="n">
        <x:v>5</x:v>
      </x:c>
      <x:c r="W52" s="34" t="n">
        <x:v>1</x:v>
      </x:c>
      <x:c r="X52" s="34" t="n">
        <x:v>1</x:v>
      </x:c>
      <x:c r="Y52" s="34" t="n">
        <x:v>0.00001</x:v>
      </x:c>
      <x:c r="Z52" s="30" t="str">
        <x:f>IF(AND(D52="TRADING",I52&lt;&gt;"",L52&lt;&gt;"",M52&lt;&gt;"",N52&lt;&gt;"",O52&lt;&gt;""),"Yes","No")</x:f>
        <x:v>No</x:v>
      </x:c>
      <x:c r="AA52" s="39" t="str">
        <x:v>https://developers.binance.com/en/docs/catalog/core-trading-spot-trading/api/rest-api</x:v>
      </x:c>
    </x:row>
    <x:row r="53">
      <x:c r="A53" s="30" t="str">
        <x:v>AMDBUSDT</x:v>
      </x:c>
      <x:c r="B53" s="30" t="str">
        <x:v>AMDB</x:v>
      </x:c>
      <x:c r="C53" s="30" t="str">
        <x:v>USDT</x:v>
      </x:c>
      <x:c r="D53" s="30" t="str">
        <x:v>TRADING</x:v>
      </x:c>
      <x:c r="E53" s="31" t="b">
        <x:v>1</x:v>
      </x:c>
      <x:c r="F53" s="32" t="n">
        <x:v>46196</x:v>
      </x:c>
      <x:c r="G53" s="32" t="n">
        <x:v>46196.999999988424</x:v>
      </x:c>
      <x:c r="H53" s="33" t="n">
        <x:f>IF(F53="","",('Summary'!$B$5-F53)/365.25)</x:f>
        <x:v>0.11228608164119086</x:v>
      </x:c>
      <x:c r="I53" s="34" t="n">
        <x:v>485.9</x:v>
      </x:c>
      <x:c r="J53" s="35" t="n">
        <x:v>0.02306</x:v>
      </x:c>
      <x:c r="K53" s="36" t="n">
        <x:v>1704.853</x:v>
      </x:c>
      <x:c r="L53" s="36" t="n">
        <x:v>826745.57487</x:v>
      </x:c>
      <x:c r="M53" s="37" t="n">
        <x:v>11615</x:v>
      </x:c>
      <x:c r="N53" s="34" t="n">
        <x:v>485.91</x:v>
      </x:c>
      <x:c r="O53" s="34" t="n">
        <x:v>486.26</x:v>
      </x:c>
      <x:c r="P53" s="38" t="n">
        <x:f>IF(OR(N53="",O53="",N53=0,O53=0),"",(O53-N53)/((O53+N53)/2))</x:f>
        <x:v>0.0007200386763631173</x:v>
      </x:c>
      <x:c r="Q53" s="34" t="n">
        <x:v>484.9365751</x:v>
      </x:c>
      <x:c r="R53" s="34" t="n">
        <x:v>494.35</x:v>
      </x:c>
      <x:c r="S53" s="34" t="n">
        <x:v>474.84</x:v>
      </x:c>
      <x:c r="T53" s="32" t="n">
        <x:v>46236.01247908565</x:v>
      </x:c>
      <x:c r="U53" s="32" t="n">
        <x:v>46237.01247908565</x:v>
      </x:c>
      <x:c r="V53" s="34" t="n">
        <x:v>5</x:v>
      </x:c>
      <x:c r="W53" s="34" t="n">
        <x:v>0.001</x:v>
      </x:c>
      <x:c r="X53" s="34" t="n">
        <x:v>0.001</x:v>
      </x:c>
      <x:c r="Y53" s="34" t="n">
        <x:v>0.01</x:v>
      </x:c>
      <x:c r="Z53" s="30" t="str">
        <x:f>IF(AND(D53="TRADING",I53&lt;&gt;"",L53&lt;&gt;"",M53&lt;&gt;"",N53&lt;&gt;"",O53&lt;&gt;""),"Yes","No")</x:f>
        <x:v>Yes</x:v>
      </x:c>
      <x:c r="AA53" s="39" t="str">
        <x:v>https://developers.binance.com/en/docs/catalog/core-trading-spot-trading/api/rest-api</x:v>
      </x:c>
    </x:row>
    <x:row r="54">
      <x:c r="A54" s="30" t="str">
        <x:v>AMPUSDT</x:v>
      </x:c>
      <x:c r="B54" s="30" t="str">
        <x:v>AMP</x:v>
      </x:c>
      <x:c r="C54" s="30" t="str">
        <x:v>USDT</x:v>
      </x:c>
      <x:c r="D54" s="30" t="str">
        <x:v>TRADING</x:v>
      </x:c>
      <x:c r="E54" s="31" t="b">
        <x:v>1</x:v>
      </x:c>
      <x:c r="F54" s="32" t="n">
        <x:v>44523</x:v>
      </x:c>
      <x:c r="G54" s="32" t="n">
        <x:v>44523.999999988424</x:v>
      </x:c>
      <x:c r="H54" s="33" t="n">
        <x:f>IF(F54="","",('Summary'!$B$5-F54)/365.25)</x:f>
        <x:v>4.692710448513196</x:v>
      </x:c>
      <x:c r="I54" s="34" t="n">
        <x:v>0.000394</x:v>
      </x:c>
      <x:c r="J54" s="35" t="n">
        <x:v>0.012849999999999999</x:v>
      </x:c>
      <x:c r="K54" s="36" t="n">
        <x:v>366948089</x:v>
      </x:c>
      <x:c r="L54" s="36" t="n">
        <x:v>144351.854177</x:v>
      </x:c>
      <x:c r="M54" s="37" t="n">
        <x:v>2669</x:v>
      </x:c>
      <x:c r="N54" s="34" t="n">
        <x:v>0.000394</x:v>
      </x:c>
      <x:c r="O54" s="34" t="n">
        <x:v>0.000395</x:v>
      </x:c>
      <x:c r="P54" s="38" t="n">
        <x:f>IF(OR(N54="",O54="",N54=0,O54=0),"",(O54-N54)/((O54+N54)/2))</x:f>
        <x:v>0.0025348542458809237</x:v>
      </x:c>
      <x:c r="Q54" s="34" t="n">
        <x:v>0.00039338</x:v>
      </x:c>
      <x:c r="R54" s="34" t="n">
        <x:v>0.0004</x:v>
      </x:c>
      <x:c r="S54" s="34" t="n">
        <x:v>0.000388</x:v>
      </x:c>
      <x:c r="T54" s="32" t="n">
        <x:v>46236.01165340278</x:v>
      </x:c>
      <x:c r="U54" s="32" t="n">
        <x:v>46237.01165340278</x:v>
      </x:c>
      <x:c r="V54" s="34" t="n">
        <x:v>5</x:v>
      </x:c>
      <x:c r="W54" s="34" t="n">
        <x:v>1</x:v>
      </x:c>
      <x:c r="X54" s="34" t="n">
        <x:v>1</x:v>
      </x:c>
      <x:c r="Y54" s="34" t="n">
        <x:v>0.000001</x:v>
      </x:c>
      <x:c r="Z54" s="30" t="str">
        <x:f>IF(AND(D54="TRADING",I54&lt;&gt;"",L54&lt;&gt;"",M54&lt;&gt;"",N54&lt;&gt;"",O54&lt;&gt;""),"Yes","No")</x:f>
        <x:v>Yes</x:v>
      </x:c>
      <x:c r="AA54" s="39" t="str">
        <x:v>https://developers.binance.com/en/docs/catalog/core-trading-spot-trading/api/rest-api</x:v>
      </x:c>
    </x:row>
    <x:row r="55">
      <x:c r="A55" s="30" t="str">
        <x:v>AMZNBUSDT</x:v>
      </x:c>
      <x:c r="B55" s="30" t="str">
        <x:v>AMZNB</x:v>
      </x:c>
      <x:c r="C55" s="30" t="str">
        <x:v>USDT</x:v>
      </x:c>
      <x:c r="D55" s="30" t="str">
        <x:v>TRADING</x:v>
      </x:c>
      <x:c r="E55" s="31" t="b">
        <x:v>1</x:v>
      </x:c>
      <x:c r="F55" s="32" t="n">
        <x:v>46232</x:v>
      </x:c>
      <x:c r="G55" s="32" t="n">
        <x:v>46232.999999988424</x:v>
      </x:c>
      <x:c r="H55" s="33" t="n">
        <x:f>IF(F55="","",('Summary'!$B$5-F55)/365.25)</x:f>
        <x:v>0.013723453304435213</x:v>
      </x:c>
      <x:c r="I55" s="34" t="n">
        <x:v>274.37</x:v>
      </x:c>
      <x:c r="J55" s="35" t="n">
        <x:v>0.01543</x:v>
      </x:c>
      <x:c r="K55" s="36" t="n">
        <x:v>222.524</x:v>
      </x:c>
      <x:c r="L55" s="36" t="n">
        <x:v>60849.23105</x:v>
      </x:c>
      <x:c r="M55" s="37" t="n">
        <x:v>784</x:v>
      </x:c>
      <x:c r="N55" s="34" t="n">
        <x:v>274.44</x:v>
      </x:c>
      <x:c r="O55" s="34" t="n">
        <x:v>275</x:v>
      </x:c>
      <x:c r="P55" s="38" t="n">
        <x:f>IF(OR(N55="",O55="",N55=0,O55=0),"",(O55-N55)/((O55+N55)/2))</x:f>
        <x:v>0.002038439138031458</x:v>
      </x:c>
      <x:c r="Q55" s="34" t="n">
        <x:v>273.45019436</x:v>
      </x:c>
      <x:c r="R55" s="34" t="n">
        <x:v>275.87</x:v>
      </x:c>
      <x:c r="S55" s="34" t="n">
        <x:v>269.34</x:v>
      </x:c>
      <x:c r="T55" s="32" t="n">
        <x:v>46236.012484837964</x:v>
      </x:c>
      <x:c r="U55" s="32" t="n">
        <x:v>46237.012484837964</x:v>
      </x:c>
      <x:c r="V55" s="34" t="n">
        <x:v>5</x:v>
      </x:c>
      <x:c r="W55" s="34" t="n">
        <x:v>0.001</x:v>
      </x:c>
      <x:c r="X55" s="34" t="n">
        <x:v>0.001</x:v>
      </x:c>
      <x:c r="Y55" s="34" t="n">
        <x:v>0.01</x:v>
      </x:c>
      <x:c r="Z55" s="30" t="str">
        <x:f>IF(AND(D55="TRADING",I55&lt;&gt;"",L55&lt;&gt;"",M55&lt;&gt;"",N55&lt;&gt;"",O55&lt;&gt;""),"Yes","No")</x:f>
        <x:v>Yes</x:v>
      </x:c>
      <x:c r="AA55" s="39" t="str">
        <x:v>https://developers.binance.com/en/docs/catalog/core-trading-spot-trading/api/rest-api</x:v>
      </x:c>
    </x:row>
    <x:row r="56">
      <x:c r="A56" s="30" t="str">
        <x:v>ANCUSDT</x:v>
      </x:c>
      <x:c r="B56" s="30" t="str">
        <x:v>ANC</x:v>
      </x:c>
      <x:c r="C56" s="30" t="str">
        <x:v>USDT</x:v>
      </x:c>
      <x:c r="D56" s="30" t="str">
        <x:v>BREAK</x:v>
      </x:c>
      <x:c r="E56" s="31" t="b">
        <x:v>1</x:v>
      </x:c>
      <x:c r="F56" s="32" t="n">
        <x:v>44586</x:v>
      </x:c>
      <x:c r="G56" s="32" t="n">
        <x:v>44586.999999988424</x:v>
      </x:c>
      <x:c r="H56" s="33" t="n">
        <x:f>IF(F56="","",('Summary'!$B$5-F56)/365.25)</x:f>
        <x:v>4.520225848923874</x:v>
      </x:c>
      <x:c r="I56" s="34" t="n">
        <x:v>0.03151</x:v>
      </x:c>
      <x:c r="J56" s="35" t="n">
        <x:v>-0.07731</x:v>
      </x:c>
      <x:c r="K56" s="36" t="n">
        <x:v>19984596.8</x:v>
      </x:c>
      <x:c r="L56" s="36" t="n">
        <x:v>653323.4820719</x:v>
      </x:c>
      <x:c r="M56" s="37" t="n">
        <x:v>4001</x:v>
      </x:c>
      <x:c r="N56" s="34" t="n">
        <x:v>0</x:v>
      </x:c>
      <x:c r="O56" s="34" t="n">
        <x:v>0</x:v>
      </x:c>
      <x:c r="P56" s="38" t="str">
        <x:f>IF(OR(N56="",O56="",N56=0,O56=0),"",(O56-N56)/((O56+N56)/2))</x:f>
      </x:c>
      <x:c r="Q56" s="34" t="n">
        <x:v>0.03269135</x:v>
      </x:c>
      <x:c r="R56" s="34" t="n">
        <x:v>0.03518</x:v>
      </x:c>
      <x:c r="S56" s="34" t="n">
        <x:v>0.03101</x:v>
      </x:c>
      <x:c r="T56" s="32" t="n">
        <x:v>46209.26112309028</x:v>
      </x:c>
      <x:c r="U56" s="32" t="n">
        <x:v>46210.26112309028</x:v>
      </x:c>
      <x:c r="V56" s="34" t="n">
        <x:v>10</x:v>
      </x:c>
      <x:c r="W56" s="34" t="n">
        <x:v>0.01</x:v>
      </x:c>
      <x:c r="X56" s="34" t="n">
        <x:v>0.01</x:v>
      </x:c>
      <x:c r="Y56" s="34" t="n">
        <x:v>0.00001</x:v>
      </x:c>
      <x:c r="Z56" s="30" t="str">
        <x:f>IF(AND(D56="TRADING",I56&lt;&gt;"",L56&lt;&gt;"",M56&lt;&gt;"",N56&lt;&gt;"",O56&lt;&gt;""),"Yes","No")</x:f>
        <x:v>No</x:v>
      </x:c>
      <x:c r="AA56" s="39" t="str">
        <x:v>https://developers.binance.com/en/docs/catalog/core-trading-spot-trading/api/rest-api</x:v>
      </x:c>
    </x:row>
    <x:row r="57">
      <x:c r="A57" s="30" t="str">
        <x:v>ANIMEUSDT</x:v>
      </x:c>
      <x:c r="B57" s="30" t="str">
        <x:v>ANIME</x:v>
      </x:c>
      <x:c r="C57" s="30" t="str">
        <x:v>USDT</x:v>
      </x:c>
      <x:c r="D57" s="30" t="str">
        <x:v>TRADING</x:v>
      </x:c>
      <x:c r="E57" s="31" t="b">
        <x:v>1</x:v>
      </x:c>
      <x:c r="F57" s="32" t="n">
        <x:v>45680</x:v>
      </x:c>
      <x:c r="G57" s="32" t="n">
        <x:v>45680.999999988424</x:v>
      </x:c>
      <x:c r="H57" s="33" t="n">
        <x:f>IF(F57="","",('Summary'!$B$5-F57)/365.25)</x:f>
        <x:v>1.5250170878013551</x:v>
      </x:c>
      <x:c r="I57" s="34" t="n">
        <x:v>0.00243</x:v>
      </x:c>
      <x:c r="J57" s="35" t="n">
        <x:v>0</x:v>
      </x:c>
      <x:c r="K57" s="36" t="n">
        <x:v>19188603.1</x:v>
      </x:c>
      <x:c r="L57" s="36" t="n">
        <x:v>46711.572758</x:v>
      </x:c>
      <x:c r="M57" s="37" t="n">
        <x:v>1147</x:v>
      </x:c>
      <x:c r="N57" s="34" t="n">
        <x:v>0.00242</x:v>
      </x:c>
      <x:c r="O57" s="34" t="n">
        <x:v>0.00243</x:v>
      </x:c>
      <x:c r="P57" s="38" t="n">
        <x:f>IF(OR(N57="",O57="",N57=0,O57=0),"",(O57-N57)/((O57+N57)/2))</x:f>
        <x:v>0.004123711340206196</x:v>
      </x:c>
      <x:c r="Q57" s="34" t="n">
        <x:v>0.00243434</x:v>
      </x:c>
      <x:c r="R57" s="34" t="n">
        <x:v>0.00246</x:v>
      </x:c>
      <x:c r="S57" s="34" t="n">
        <x:v>0.00241</x:v>
      </x:c>
      <x:c r="T57" s="32" t="n">
        <x:v>46236.01223774305</x:v>
      </x:c>
      <x:c r="U57" s="32" t="n">
        <x:v>46237.01223774305</x:v>
      </x:c>
      <x:c r="V57" s="34" t="n">
        <x:v>5</x:v>
      </x:c>
      <x:c r="W57" s="34" t="n">
        <x:v>0.1</x:v>
      </x:c>
      <x:c r="X57" s="34" t="n">
        <x:v>0.1</x:v>
      </x:c>
      <x:c r="Y57" s="34" t="n">
        <x:v>0.00001</x:v>
      </x:c>
      <x:c r="Z57" s="30" t="str">
        <x:f>IF(AND(D57="TRADING",I57&lt;&gt;"",L57&lt;&gt;"",M57&lt;&gt;"",N57&lt;&gt;"",O57&lt;&gt;""),"Yes","No")</x:f>
        <x:v>Yes</x:v>
      </x:c>
      <x:c r="AA57" s="39" t="str">
        <x:v>https://developers.binance.com/en/docs/catalog/core-trading-spot-trading/api/rest-api</x:v>
      </x:c>
    </x:row>
    <x:row r="58">
      <x:c r="A58" s="30" t="str">
        <x:v>ANKRUSDT</x:v>
      </x:c>
      <x:c r="B58" s="30" t="str">
        <x:v>ANKR</x:v>
      </x:c>
      <x:c r="C58" s="30" t="str">
        <x:v>USDT</x:v>
      </x:c>
      <x:c r="D58" s="30" t="str">
        <x:v>TRADING</x:v>
      </x:c>
      <x:c r="E58" s="31" t="b">
        <x:v>1</x:v>
      </x:c>
      <x:c r="F58" s="32" t="n">
        <x:v>43669</x:v>
      </x:c>
      <x:c r="G58" s="32" t="n">
        <x:v>43669.999999988424</x:v>
      </x:c>
      <x:c r="H58" s="33" t="n">
        <x:f>IF(F58="","",('Summary'!$B$5-F58)/365.25)</x:f>
        <x:v>7.030835020724011</x:v>
      </x:c>
      <x:c r="I58" s="34" t="n">
        <x:v>0.0034</x:v>
      </x:c>
      <x:c r="J58" s="35" t="n">
        <x:v>-0.00293</x:v>
      </x:c>
      <x:c r="K58" s="36" t="n">
        <x:v>35449111.3</x:v>
      </x:c>
      <x:c r="L58" s="36" t="n">
        <x:v>121755.342872</x:v>
      </x:c>
      <x:c r="M58" s="37" t="n">
        <x:v>1400</x:v>
      </x:c>
      <x:c r="N58" s="34" t="n">
        <x:v>0.00339</x:v>
      </x:c>
      <x:c r="O58" s="34" t="n">
        <x:v>0.0034</x:v>
      </x:c>
      <x:c r="P58" s="38" t="n">
        <x:f>IF(OR(N58="",O58="",N58=0,O58=0),"",(O58-N58)/((O58+N58)/2))</x:f>
        <x:v>0.0029455081001472836</x:v>
      </x:c>
      <x:c r="Q58" s="34" t="n">
        <x:v>0.00343465</x:v>
      </x:c>
      <x:c r="R58" s="34" t="n">
        <x:v>0.00364</x:v>
      </x:c>
      <x:c r="S58" s="34" t="n">
        <x:v>0.00339</x:v>
      </x:c>
      <x:c r="T58" s="32" t="n">
        <x:v>46236.012439872684</x:v>
      </x:c>
      <x:c r="U58" s="32" t="n">
        <x:v>46237.012439872684</x:v>
      </x:c>
      <x:c r="V58" s="34" t="n">
        <x:v>5</x:v>
      </x:c>
      <x:c r="W58" s="34" t="n">
        <x:v>0.1</x:v>
      </x:c>
      <x:c r="X58" s="34" t="n">
        <x:v>0.1</x:v>
      </x:c>
      <x:c r="Y58" s="34" t="n">
        <x:v>0.00001</x:v>
      </x:c>
      <x:c r="Z58" s="30" t="str">
        <x:f>IF(AND(D58="TRADING",I58&lt;&gt;"",L58&lt;&gt;"",M58&lt;&gt;"",N58&lt;&gt;"",O58&lt;&gt;""),"Yes","No")</x:f>
        <x:v>Yes</x:v>
      </x:c>
      <x:c r="AA58" s="39" t="str">
        <x:v>https://developers.binance.com/en/docs/catalog/core-trading-spot-trading/api/rest-api</x:v>
      </x:c>
    </x:row>
    <x:row r="59">
      <x:c r="A59" s="30" t="str">
        <x:v>ANTUSDT</x:v>
      </x:c>
      <x:c r="B59" s="30" t="str">
        <x:v>ANT</x:v>
      </x:c>
      <x:c r="C59" s="30" t="str">
        <x:v>USDT</x:v>
      </x:c>
      <x:c r="D59" s="30" t="str">
        <x:v>BREAK</x:v>
      </x:c>
      <x:c r="E59" s="31" t="b">
        <x:v>1</x:v>
      </x:c>
      <x:c r="F59" s="32" t="n">
        <x:v>44056</x:v>
      </x:c>
      <x:c r="G59" s="32" t="n">
        <x:v>44056.999999988424</x:v>
      </x:c>
      <x:c r="H59" s="33" t="n">
        <x:f>IF(F59="","",('Summary'!$B$5-F59)/365.25)</x:f>
        <x:v>5.971286766103888</x:v>
      </x:c>
      <x:c r="I59" s="34" t="n">
        <x:v>7.407</x:v>
      </x:c>
      <x:c r="J59" s="35" t="n">
        <x:v>-0.00377</x:v>
      </x:c>
      <x:c r="K59" s="36" t="n">
        <x:v>74121.7</x:v>
      </x:c>
      <x:c r="L59" s="36" t="n">
        <x:v>549957.8717</x:v>
      </x:c>
      <x:c r="M59" s="37" t="n">
        <x:v>4001</x:v>
      </x:c>
      <x:c r="N59" s="34" t="n">
        <x:v>0</x:v>
      </x:c>
      <x:c r="O59" s="34" t="n">
        <x:v>0</x:v>
      </x:c>
      <x:c r="P59" s="38" t="str">
        <x:f>IF(OR(N59="",O59="",N59=0,O59=0),"",(O59-N59)/((O59+N59)/2))</x:f>
      </x:c>
      <x:c r="Q59" s="34" t="n">
        <x:v>7.4196608</x:v>
      </x:c>
      <x:c r="R59" s="34" t="n">
        <x:v>7.589</x:v>
      </x:c>
      <x:c r="S59" s="34" t="n">
        <x:v>7.162</x:v>
      </x:c>
      <x:c r="T59" s="32" t="n">
        <x:v>46209.26112309028</x:v>
      </x:c>
      <x:c r="U59" s="32" t="n">
        <x:v>46210.26112309028</x:v>
      </x:c>
      <x:c r="V59" s="34" t="n">
        <x:v>5</x:v>
      </x:c>
      <x:c r="W59" s="34" t="n">
        <x:v>0.1</x:v>
      </x:c>
      <x:c r="X59" s="34" t="n">
        <x:v>0.1</x:v>
      </x:c>
      <x:c r="Y59" s="34" t="n">
        <x:v>0.001</x:v>
      </x:c>
      <x:c r="Z59" s="30" t="str">
        <x:f>IF(AND(D59="TRADING",I59&lt;&gt;"",L59&lt;&gt;"",M59&lt;&gt;"",N59&lt;&gt;"",O59&lt;&gt;""),"Yes","No")</x:f>
        <x:v>No</x:v>
      </x:c>
      <x:c r="AA59" s="39" t="str">
        <x:v>https://developers.binance.com/en/docs/catalog/core-trading-spot-trading/api/rest-api</x:v>
      </x:c>
    </x:row>
    <x:row r="60">
      <x:c r="A60" s="30" t="str">
        <x:v>ANYUSDT</x:v>
      </x:c>
      <x:c r="B60" s="30" t="str">
        <x:v>ANY</x:v>
      </x:c>
      <x:c r="C60" s="30" t="str">
        <x:v>USDT</x:v>
      </x:c>
      <x:c r="D60" s="30" t="str">
        <x:v>BREAK</x:v>
      </x:c>
      <x:c r="E60" s="31" t="b">
        <x:v>1</x:v>
      </x:c>
      <x:c r="F60" s="32" t="n">
        <x:v>44534</x:v>
      </x:c>
      <x:c r="G60" s="32" t="n">
        <x:v>44534.999999988424</x:v>
      </x:c>
      <x:c r="H60" s="33" t="n">
        <x:f>IF(F60="","",('Summary'!$B$5-F60)/365.25)</x:f>
        <x:v>4.6625940898547436</x:v>
      </x:c>
      <x:c r="I60" s="34" t="n">
        <x:v>0</x:v>
      </x:c>
      <x:c r="J60" s="35" t="n">
        <x:v>0</x:v>
      </x:c>
      <x:c r="K60" s="36" t="n">
        <x:v>0</x:v>
      </x:c>
      <x:c r="L60" s="36" t="n">
        <x:v>0</x:v>
      </x:c>
      <x:c r="M60" s="37" t="n">
        <x:v>0</x:v>
      </x:c>
      <x:c r="N60" s="34" t="n">
        <x:v>0</x:v>
      </x:c>
      <x:c r="O60" s="34" t="n">
        <x:v>0</x:v>
      </x:c>
      <x:c r="P60" s="38" t="str">
        <x:f>IF(OR(N60="",O60="",N60=0,O60=0),"",(O60-N60)/((O60+N60)/2))</x:f>
      </x:c>
      <x:c r="Q60" s="34" t="n">
        <x:v>0</x:v>
      </x:c>
      <x:c r="R60" s="34" t="n">
        <x:v>0</x:v>
      </x:c>
      <x:c r="S60" s="34" t="n">
        <x:v>0</x:v>
      </x:c>
      <x:c r="T60" s="32" t="n">
        <x:v>46209.26112309028</x:v>
      </x:c>
      <x:c r="U60" s="32" t="n">
        <x:v>46210.26112309028</x:v>
      </x:c>
      <x:c r="V60" s="34" t="n">
        <x:v>10</x:v>
      </x:c>
      <x:c r="W60" s="34" t="n">
        <x:v>0.01</x:v>
      </x:c>
      <x:c r="X60" s="34" t="n">
        <x:v>0.01</x:v>
      </x:c>
      <x:c r="Y60" s="34" t="n">
        <x:v>0.01</x:v>
      </x:c>
      <x:c r="Z60" s="30" t="str">
        <x:f>IF(AND(D60="TRADING",I60&lt;&gt;"",L60&lt;&gt;"",M60&lt;&gt;"",N60&lt;&gt;"",O60&lt;&gt;""),"Yes","No")</x:f>
        <x:v>No</x:v>
      </x:c>
      <x:c r="AA60" s="39" t="str">
        <x:v>https://developers.binance.com/en/docs/catalog/core-trading-spot-trading/api/rest-api</x:v>
      </x:c>
    </x:row>
    <x:row r="61">
      <x:c r="A61" s="30" t="str">
        <x:v>APEUSDT</x:v>
      </x:c>
      <x:c r="B61" s="30" t="str">
        <x:v>APE</x:v>
      </x:c>
      <x:c r="C61" s="30" t="str">
        <x:v>USDT</x:v>
      </x:c>
      <x:c r="D61" s="30" t="str">
        <x:v>TRADING</x:v>
      </x:c>
      <x:c r="E61" s="31" t="b">
        <x:v>1</x:v>
      </x:c>
      <x:c r="F61" s="32" t="n">
        <x:v>44637</x:v>
      </x:c>
      <x:c r="G61" s="32" t="n">
        <x:v>44637.999999988424</x:v>
      </x:c>
      <x:c r="H61" s="33" t="n">
        <x:f>IF(F61="","",('Summary'!$B$5-F61)/365.25)</x:f>
        <x:v>4.380595458780137</x:v>
      </x:c>
      <x:c r="I61" s="34" t="n">
        <x:v>0.1304</x:v>
      </x:c>
      <x:c r="J61" s="35" t="n">
        <x:v>0</x:v>
      </x:c>
      <x:c r="K61" s="36" t="n">
        <x:v>3205963.05</x:v>
      </x:c>
      <x:c r="L61" s="36" t="n">
        <x:v>420951.970917</x:v>
      </x:c>
      <x:c r="M61" s="37" t="n">
        <x:v>4642</x:v>
      </x:c>
      <x:c r="N61" s="34" t="n">
        <x:v>0.1303</x:v>
      </x:c>
      <x:c r="O61" s="34" t="n">
        <x:v>0.1304</x:v>
      </x:c>
      <x:c r="P61" s="38" t="n">
        <x:f>IF(OR(N61="",O61="",N61=0,O61=0),"",(O61-N61)/((O61+N61)/2))</x:f>
        <x:v>0.000767165324127265</x:v>
      </x:c>
      <x:c r="Q61" s="34" t="n">
        <x:v>0.13130281</x:v>
      </x:c>
      <x:c r="R61" s="34" t="n">
        <x:v>0.1328</x:v>
      </x:c>
      <x:c r="S61" s="34" t="n">
        <x:v>0.1299</x:v>
      </x:c>
      <x:c r="T61" s="32" t="n">
        <x:v>46236.01115918982</x:v>
      </x:c>
      <x:c r="U61" s="32" t="n">
        <x:v>46237.01115918982</x:v>
      </x:c>
      <x:c r="V61" s="34" t="n">
        <x:v>5</x:v>
      </x:c>
      <x:c r="W61" s="34" t="n">
        <x:v>0.01</x:v>
      </x:c>
      <x:c r="X61" s="34" t="n">
        <x:v>0.01</x:v>
      </x:c>
      <x:c r="Y61" s="34" t="n">
        <x:v>0.0001</x:v>
      </x:c>
      <x:c r="Z61" s="30" t="str">
        <x:f>IF(AND(D61="TRADING",I61&lt;&gt;"",L61&lt;&gt;"",M61&lt;&gt;"",N61&lt;&gt;"",O61&lt;&gt;""),"Yes","No")</x:f>
        <x:v>Yes</x:v>
      </x:c>
      <x:c r="AA61" s="39" t="str">
        <x:v>https://developers.binance.com/en/docs/catalog/core-trading-spot-trading/api/rest-api</x:v>
      </x:c>
    </x:row>
    <x:row r="62">
      <x:c r="A62" s="30" t="str">
        <x:v>API3USDT</x:v>
      </x:c>
      <x:c r="B62" s="30" t="str">
        <x:v>API3</x:v>
      </x:c>
      <x:c r="C62" s="30" t="str">
        <x:v>USDT</x:v>
      </x:c>
      <x:c r="D62" s="30" t="str">
        <x:v>TRADING</x:v>
      </x:c>
      <x:c r="E62" s="31" t="b">
        <x:v>1</x:v>
      </x:c>
      <x:c r="F62" s="32" t="n">
        <x:v>44582</x:v>
      </x:c>
      <x:c r="G62" s="32" t="n">
        <x:v>44582.999999988424</x:v>
      </x:c>
      <x:c r="H62" s="33" t="n">
        <x:f>IF(F62="","",('Summary'!$B$5-F62)/365.25)</x:f>
        <x:v>4.5311772520724025</x:v>
      </x:c>
      <x:c r="I62" s="34" t="n">
        <x:v>0.1885</x:v>
      </x:c>
      <x:c r="J62" s="35" t="n">
        <x:v>-0.02027</x:v>
      </x:c>
      <x:c r="K62" s="36" t="n">
        <x:v>1017940.92</x:v>
      </x:c>
      <x:c r="L62" s="36" t="n">
        <x:v>194175.660462</x:v>
      </x:c>
      <x:c r="M62" s="37" t="n">
        <x:v>3996</x:v>
      </x:c>
      <x:c r="N62" s="34" t="n">
        <x:v>0.1884</x:v>
      </x:c>
      <x:c r="O62" s="34" t="n">
        <x:v>0.1885</x:v>
      </x:c>
      <x:c r="P62" s="38" t="n">
        <x:f>IF(OR(N62="",O62="",N62=0,O62=0),"",(O62-N62)/((O62+N62)/2))</x:f>
        <x:v>0.000530644733350963</x:v>
      </x:c>
      <x:c r="Q62" s="34" t="n">
        <x:v>0.19075337</x:v>
      </x:c>
      <x:c r="R62" s="34" t="n">
        <x:v>0.1934</x:v>
      </x:c>
      <x:c r="S62" s="34" t="n">
        <x:v>0.1882</x:v>
      </x:c>
      <x:c r="T62" s="32" t="n">
        <x:v>46236.01245324074</x:v>
      </x:c>
      <x:c r="U62" s="32" t="n">
        <x:v>46237.01245324074</x:v>
      </x:c>
      <x:c r="V62" s="34" t="n">
        <x:v>5</x:v>
      </x:c>
      <x:c r="W62" s="34" t="n">
        <x:v>0.01</x:v>
      </x:c>
      <x:c r="X62" s="34" t="n">
        <x:v>0.01</x:v>
      </x:c>
      <x:c r="Y62" s="34" t="n">
        <x:v>0.0001</x:v>
      </x:c>
      <x:c r="Z62" s="30" t="str">
        <x:f>IF(AND(D62="TRADING",I62&lt;&gt;"",L62&lt;&gt;"",M62&lt;&gt;"",N62&lt;&gt;"",O62&lt;&gt;""),"Yes","No")</x:f>
        <x:v>Yes</x:v>
      </x:c>
      <x:c r="AA62" s="39" t="str">
        <x:v>https://developers.binance.com/en/docs/catalog/core-trading-spot-trading/api/rest-api</x:v>
      </x:c>
    </x:row>
    <x:row r="63">
      <x:c r="A63" s="30" t="str">
        <x:v>APTUSDT</x:v>
      </x:c>
      <x:c r="B63" s="30" t="str">
        <x:v>APT</x:v>
      </x:c>
      <x:c r="C63" s="30" t="str">
        <x:v>USDT</x:v>
      </x:c>
      <x:c r="D63" s="30" t="str">
        <x:v>TRADING</x:v>
      </x:c>
      <x:c r="E63" s="31" t="b">
        <x:v>1</x:v>
      </x:c>
      <x:c r="F63" s="32" t="n">
        <x:v>44853</x:v>
      </x:c>
      <x:c r="G63" s="32" t="n">
        <x:v>44853.999999988424</x:v>
      </x:c>
      <x:c r="H63" s="33" t="n">
        <x:f>IF(F63="","",('Summary'!$B$5-F63)/365.25)</x:f>
        <x:v>3.789219688759603</x:v>
      </x:c>
      <x:c r="I63" s="34" t="n">
        <x:v>0.562</x:v>
      </x:c>
      <x:c r="J63" s="35" t="n">
        <x:v>0.01261</x:v>
      </x:c>
      <x:c r="K63" s="36" t="n">
        <x:v>3956270.62</x:v>
      </x:c>
      <x:c r="L63" s="36" t="n">
        <x:v>2232673.94479</x:v>
      </x:c>
      <x:c r="M63" s="37" t="n">
        <x:v>12751</x:v>
      </x:c>
      <x:c r="N63" s="34" t="n">
        <x:v>0.561</x:v>
      </x:c>
      <x:c r="O63" s="34" t="n">
        <x:v>0.562</x:v>
      </x:c>
      <x:c r="P63" s="38" t="n">
        <x:f>IF(OR(N63="",O63="",N63=0,O63=0),"",(O63-N63)/((O63+N63)/2))</x:f>
        <x:v>0.0017809439002671428</x:v>
      </x:c>
      <x:c r="Q63" s="34" t="n">
        <x:v>0.56433802</x:v>
      </x:c>
      <x:c r="R63" s="34" t="n">
        <x:v>0.572</x:v>
      </x:c>
      <x:c r="S63" s="34" t="n">
        <x:v>0.552</x:v>
      </x:c>
      <x:c r="T63" s="32" t="n">
        <x:v>46236.01247582176</x:v>
      </x:c>
      <x:c r="U63" s="32" t="n">
        <x:v>46237.01247582176</x:v>
      </x:c>
      <x:c r="V63" s="34" t="n">
        <x:v>5</x:v>
      </x:c>
      <x:c r="W63" s="34" t="n">
        <x:v>0.01</x:v>
      </x:c>
      <x:c r="X63" s="34" t="n">
        <x:v>0.01</x:v>
      </x:c>
      <x:c r="Y63" s="34" t="n">
        <x:v>0.001</x:v>
      </x:c>
      <x:c r="Z63" s="30" t="str">
        <x:f>IF(AND(D63="TRADING",I63&lt;&gt;"",L63&lt;&gt;"",M63&lt;&gt;"",N63&lt;&gt;"",O63&lt;&gt;""),"Yes","No")</x:f>
        <x:v>Yes</x:v>
      </x:c>
      <x:c r="AA63" s="39" t="str">
        <x:v>https://developers.binance.com/en/docs/catalog/core-trading-spot-trading/api/rest-api</x:v>
      </x:c>
    </x:row>
    <x:row r="64">
      <x:c r="A64" s="30" t="str">
        <x:v>ARBUSDT</x:v>
      </x:c>
      <x:c r="B64" s="30" t="str">
        <x:v>ARB</x:v>
      </x:c>
      <x:c r="C64" s="30" t="str">
        <x:v>USDT</x:v>
      </x:c>
      <x:c r="D64" s="30" t="str">
        <x:v>TRADING</x:v>
      </x:c>
      <x:c r="E64" s="31" t="b">
        <x:v>1</x:v>
      </x:c>
      <x:c r="F64" s="32" t="n">
        <x:v>45008</x:v>
      </x:c>
      <x:c r="G64" s="32" t="n">
        <x:v>45008.999999988424</x:v>
      </x:c>
      <x:c r="H64" s="33" t="n">
        <x:f>IF(F64="","",('Summary'!$B$5-F64)/365.25)</x:f>
        <x:v>3.3648528167541274</x:v>
      </x:c>
      <x:c r="I64" s="34" t="n">
        <x:v>0.0817</x:v>
      </x:c>
      <x:c r="J64" s="35" t="n">
        <x:v>0.03026</x:v>
      </x:c>
      <x:c r="K64" s="36" t="n">
        <x:v>52178323.4</x:v>
      </x:c>
      <x:c r="L64" s="36" t="n">
        <x:v>4227837.13644</x:v>
      </x:c>
      <x:c r="M64" s="37" t="n">
        <x:v>19898</x:v>
      </x:c>
      <x:c r="N64" s="34" t="n">
        <x:v>0.0816</x:v>
      </x:c>
      <x:c r="O64" s="34" t="n">
        <x:v>0.0817</x:v>
      </x:c>
      <x:c r="P64" s="38" t="n">
        <x:f>IF(OR(N64="",O64="",N64=0,O64=0),"",(O64-N64)/((O64+N64)/2))</x:f>
        <x:v>0.0012247397428045191</x:v>
      </x:c>
      <x:c r="Q64" s="34" t="n">
        <x:v>0.0810267</x:v>
      </x:c>
      <x:c r="R64" s="34" t="n">
        <x:v>0.0823</x:v>
      </x:c>
      <x:c r="S64" s="34" t="n">
        <x:v>0.0789</x:v>
      </x:c>
      <x:c r="T64" s="32" t="n">
        <x:v>46236.01249</x:v>
      </x:c>
      <x:c r="U64" s="32" t="n">
        <x:v>46237.01249</x:v>
      </x:c>
      <x:c r="V64" s="34" t="n">
        <x:v>5</x:v>
      </x:c>
      <x:c r="W64" s="34" t="n">
        <x:v>0.1</x:v>
      </x:c>
      <x:c r="X64" s="34" t="n">
        <x:v>0.1</x:v>
      </x:c>
      <x:c r="Y64" s="34" t="n">
        <x:v>0.0001</x:v>
      </x:c>
      <x:c r="Z64" s="30" t="str">
        <x:f>IF(AND(D64="TRADING",I64&lt;&gt;"",L64&lt;&gt;"",M64&lt;&gt;"",N64&lt;&gt;"",O64&lt;&gt;""),"Yes","No")</x:f>
        <x:v>Yes</x:v>
      </x:c>
      <x:c r="AA64" s="39" t="str">
        <x:v>https://developers.binance.com/en/docs/catalog/core-trading-spot-trading/api/rest-api</x:v>
      </x:c>
    </x:row>
    <x:row r="65">
      <x:c r="A65" s="30" t="str">
        <x:v>ARDRUSDT</x:v>
      </x:c>
      <x:c r="B65" s="30" t="str">
        <x:v>ARDR</x:v>
      </x:c>
      <x:c r="C65" s="30" t="str">
        <x:v>USDT</x:v>
      </x:c>
      <x:c r="D65" s="30" t="str">
        <x:v>BREAK</x:v>
      </x:c>
      <x:c r="E65" s="31" t="b">
        <x:v>1</x:v>
      </x:c>
      <x:c r="F65" s="32" t="n">
        <x:v>43966</x:v>
      </x:c>
      <x:c r="G65" s="32" t="n">
        <x:v>43966.999999988424</x:v>
      </x:c>
      <x:c r="H65" s="33" t="n">
        <x:f>IF(F65="","",('Summary'!$B$5-F65)/365.25)</x:f>
        <x:v>6.217693336945777</x:v>
      </x:c>
      <x:c r="I65" s="34" t="n">
        <x:v>0.02096</x:v>
      </x:c>
      <x:c r="J65" s="35" t="n">
        <x:v>-0.00522</x:v>
      </x:c>
      <x:c r="K65" s="36" t="n">
        <x:v>11927697</x:v>
      </x:c>
      <x:c r="L65" s="36" t="n">
        <x:v>247854.18449</x:v>
      </x:c>
      <x:c r="M65" s="37" t="n">
        <x:v>10138</x:v>
      </x:c>
      <x:c r="N65" s="34" t="n">
        <x:v>0</x:v>
      </x:c>
      <x:c r="O65" s="34" t="n">
        <x:v>0</x:v>
      </x:c>
      <x:c r="P65" s="38" t="str">
        <x:f>IF(OR(N65="",O65="",N65=0,O65=0),"",(O65-N65)/((O65+N65)/2))</x:f>
      </x:c>
      <x:c r="Q65" s="34" t="n">
        <x:v>0.02077972</x:v>
      </x:c>
      <x:c r="R65" s="34" t="n">
        <x:v>0.02279</x:v>
      </x:c>
      <x:c r="S65" s="34" t="n">
        <x:v>0.01929</x:v>
      </x:c>
      <x:c r="T65" s="32" t="n">
        <x:v>46212.125053634256</x:v>
      </x:c>
      <x:c r="U65" s="32" t="n">
        <x:v>46213.125053634256</x:v>
      </x:c>
      <x:c r="V65" s="34" t="n">
        <x:v>5</x:v>
      </x:c>
      <x:c r="W65" s="34" t="n">
        <x:v>1</x:v>
      </x:c>
      <x:c r="X65" s="34" t="n">
        <x:v>1</x:v>
      </x:c>
      <x:c r="Y65" s="34" t="n">
        <x:v>0.00001</x:v>
      </x:c>
      <x:c r="Z65" s="30" t="str">
        <x:f>IF(AND(D65="TRADING",I65&lt;&gt;"",L65&lt;&gt;"",M65&lt;&gt;"",N65&lt;&gt;"",O65&lt;&gt;""),"Yes","No")</x:f>
        <x:v>No</x:v>
      </x:c>
      <x:c r="AA65" s="39" t="str">
        <x:v>https://developers.binance.com/en/docs/catalog/core-trading-spot-trading/api/rest-api</x:v>
      </x:c>
    </x:row>
    <x:row r="66">
      <x:c r="A66" s="30" t="str">
        <x:v>ARKMUSDT</x:v>
      </x:c>
      <x:c r="B66" s="30" t="str">
        <x:v>ARKM</x:v>
      </x:c>
      <x:c r="C66" s="30" t="str">
        <x:v>USDT</x:v>
      </x:c>
      <x:c r="D66" s="30" t="str">
        <x:v>TRADING</x:v>
      </x:c>
      <x:c r="E66" s="31" t="b">
        <x:v>1</x:v>
      </x:c>
      <x:c r="F66" s="32" t="n">
        <x:v>45125</x:v>
      </x:c>
      <x:c r="G66" s="32" t="n">
        <x:v>45125.999999988424</x:v>
      </x:c>
      <x:c r="H66" s="33" t="n">
        <x:f>IF(F66="","",('Summary'!$B$5-F66)/365.25)</x:f>
        <x:v>3.0445242746596715</x:v>
      </x:c>
      <x:c r="I66" s="34" t="n">
        <x:v>0.0939</x:v>
      </x:c>
      <x:c r="J66" s="35" t="n">
        <x:v>0.00968</x:v>
      </x:c>
      <x:c r="K66" s="36" t="n">
        <x:v>2623316.2</x:v>
      </x:c>
      <x:c r="L66" s="36" t="n">
        <x:v>247651.11903</x:v>
      </x:c>
      <x:c r="M66" s="37" t="n">
        <x:v>4051</x:v>
      </x:c>
      <x:c r="N66" s="34" t="n">
        <x:v>0.0938</x:v>
      </x:c>
      <x:c r="O66" s="34" t="n">
        <x:v>0.0939</x:v>
      </x:c>
      <x:c r="P66" s="38" t="n">
        <x:f>IF(OR(N66="",O66="",N66=0,O66=0),"",(O66-N66)/((O66+N66)/2))</x:f>
        <x:v>0.0010655301012253903</x:v>
      </x:c>
      <x:c r="Q66" s="34" t="n">
        <x:v>0.09440384</x:v>
      </x:c>
      <x:c r="R66" s="34" t="n">
        <x:v>0.0957</x:v>
      </x:c>
      <x:c r="S66" s="34" t="n">
        <x:v>0.0929</x:v>
      </x:c>
      <x:c r="T66" s="32" t="n">
        <x:v>46236.012421377316</x:v>
      </x:c>
      <x:c r="U66" s="32" t="n">
        <x:v>46237.012421377316</x:v>
      </x:c>
      <x:c r="V66" s="34" t="n">
        <x:v>5</x:v>
      </x:c>
      <x:c r="W66" s="34" t="n">
        <x:v>0.1</x:v>
      </x:c>
      <x:c r="X66" s="34" t="n">
        <x:v>0.1</x:v>
      </x:c>
      <x:c r="Y66" s="34" t="n">
        <x:v>0.0001</x:v>
      </x:c>
      <x:c r="Z66" s="30" t="str">
        <x:f>IF(AND(D66="TRADING",I66&lt;&gt;"",L66&lt;&gt;"",M66&lt;&gt;"",N66&lt;&gt;"",O66&lt;&gt;""),"Yes","No")</x:f>
        <x:v>Yes</x:v>
      </x:c>
      <x:c r="AA66" s="39" t="str">
        <x:v>https://developers.binance.com/en/docs/catalog/core-trading-spot-trading/api/rest-api</x:v>
      </x:c>
    </x:row>
    <x:row r="67">
      <x:c r="A67" s="30" t="str">
        <x:v>ARKUSDT</x:v>
      </x:c>
      <x:c r="B67" s="30" t="str">
        <x:v>ARK</x:v>
      </x:c>
      <x:c r="C67" s="30" t="str">
        <x:v>USDT</x:v>
      </x:c>
      <x:c r="D67" s="30" t="str">
        <x:v>TRADING</x:v>
      </x:c>
      <x:c r="E67" s="31" t="b">
        <x:v>1</x:v>
      </x:c>
      <x:c r="F67" s="32" t="n">
        <x:v>45191</x:v>
      </x:c>
      <x:c r="G67" s="32" t="n">
        <x:v>45191.999999988424</x:v>
      </x:c>
      <x:c r="H67" s="33" t="n">
        <x:f>IF(F67="","",('Summary'!$B$5-F67)/365.25)</x:f>
        <x:v>2.8638261227089528</x:v>
      </x:c>
      <x:c r="I67" s="34" t="n">
        <x:v>0.093</x:v>
      </x:c>
      <x:c r="J67" s="35" t="n">
        <x:v>-0.00428</x:v>
      </x:c>
      <x:c r="K67" s="36" t="n">
        <x:v>405216</x:v>
      </x:c>
      <x:c r="L67" s="36" t="n">
        <x:v>37762.8065</x:v>
      </x:c>
      <x:c r="M67" s="37" t="n">
        <x:v>653</x:v>
      </x:c>
      <x:c r="N67" s="34" t="n">
        <x:v>0.0929</x:v>
      </x:c>
      <x:c r="O67" s="34" t="n">
        <x:v>0.0931</x:v>
      </x:c>
      <x:c r="P67" s="38" t="n">
        <x:f>IF(OR(N67="",O67="",N67=0,O67=0),"",(O67-N67)/((O67+N67)/2))</x:f>
        <x:v>0.0021505376344086637</x:v>
      </x:c>
      <x:c r="Q67" s="34" t="n">
        <x:v>0.0931918</x:v>
      </x:c>
      <x:c r="R67" s="34" t="n">
        <x:v>0.0941</x:v>
      </x:c>
      <x:c r="S67" s="34" t="n">
        <x:v>0.0923</x:v>
      </x:c>
      <x:c r="T67" s="32" t="n">
        <x:v>46236.01247618056</x:v>
      </x:c>
      <x:c r="U67" s="32" t="n">
        <x:v>46237.01247618056</x:v>
      </x:c>
      <x:c r="V67" s="34" t="n">
        <x:v>5</x:v>
      </x:c>
      <x:c r="W67" s="34" t="n">
        <x:v>1</x:v>
      </x:c>
      <x:c r="X67" s="34" t="n">
        <x:v>1</x:v>
      </x:c>
      <x:c r="Y67" s="34" t="n">
        <x:v>0.0001</x:v>
      </x:c>
      <x:c r="Z67" s="30" t="str">
        <x:f>IF(AND(D67="TRADING",I67&lt;&gt;"",L67&lt;&gt;"",M67&lt;&gt;"",N67&lt;&gt;"",O67&lt;&gt;""),"Yes","No")</x:f>
        <x:v>Yes</x:v>
      </x:c>
      <x:c r="AA67" s="39" t="str">
        <x:v>https://developers.binance.com/en/docs/catalog/core-trading-spot-trading/api/rest-api</x:v>
      </x:c>
    </x:row>
    <x:row r="68">
      <x:c r="A68" s="30" t="str">
        <x:v>ARMBUSDT</x:v>
      </x:c>
      <x:c r="B68" s="30" t="str">
        <x:v>ARMB</x:v>
      </x:c>
      <x:c r="C68" s="30" t="str">
        <x:v>USDT</x:v>
      </x:c>
      <x:c r="D68" s="30" t="str">
        <x:v>TRADING</x:v>
      </x:c>
      <x:c r="E68" s="31" t="b">
        <x:v>1</x:v>
      </x:c>
      <x:c r="F68" s="32" t="n">
        <x:v>46218</x:v>
      </x:c>
      <x:c r="G68" s="32" t="n">
        <x:v>46218.999999988424</x:v>
      </x:c>
      <x:c r="H68" s="33" t="n">
        <x:f>IF(F68="","",('Summary'!$B$5-F68)/365.25)</x:f>
        <x:v>0.05205336432428463</x:v>
      </x:c>
      <x:c r="I68" s="34" t="n">
        <x:v>244.63</x:v>
      </x:c>
      <x:c r="J68" s="35" t="n">
        <x:v>0.03455</x:v>
      </x:c>
      <x:c r="K68" s="36" t="n">
        <x:v>343.571</x:v>
      </x:c>
      <x:c r="L68" s="36" t="n">
        <x:v>82376.75631</x:v>
      </x:c>
      <x:c r="M68" s="37" t="n">
        <x:v>4868</x:v>
      </x:c>
      <x:c r="N68" s="34" t="n">
        <x:v>244.29</x:v>
      </x:c>
      <x:c r="O68" s="34" t="n">
        <x:v>245.1</x:v>
      </x:c>
      <x:c r="P68" s="38" t="n">
        <x:f>IF(OR(N68="",O68="",N68=0,O68=0),"",(O68-N68)/((O68+N68)/2))</x:f>
        <x:v>0.0033102433641880803</x:v>
      </x:c>
      <x:c r="Q68" s="34" t="n">
        <x:v>239.76632577</x:v>
      </x:c>
      <x:c r="R68" s="34" t="n">
        <x:v>245.11</x:v>
      </x:c>
      <x:c r="S68" s="34" t="n">
        <x:v>236.18</x:v>
      </x:c>
      <x:c r="T68" s="32" t="n">
        <x:v>46236.012483136576</x:v>
      </x:c>
      <x:c r="U68" s="32" t="n">
        <x:v>46237.012483136576</x:v>
      </x:c>
      <x:c r="V68" s="34" t="n">
        <x:v>5</x:v>
      </x:c>
      <x:c r="W68" s="34" t="n">
        <x:v>0.001</x:v>
      </x:c>
      <x:c r="X68" s="34" t="n">
        <x:v>0.001</x:v>
      </x:c>
      <x:c r="Y68" s="34" t="n">
        <x:v>0.01</x:v>
      </x:c>
      <x:c r="Z68" s="30" t="str">
        <x:f>IF(AND(D68="TRADING",I68&lt;&gt;"",L68&lt;&gt;"",M68&lt;&gt;"",N68&lt;&gt;"",O68&lt;&gt;""),"Yes","No")</x:f>
        <x:v>Yes</x:v>
      </x:c>
      <x:c r="AA68" s="39" t="str">
        <x:v>https://developers.binance.com/en/docs/catalog/core-trading-spot-trading/api/rest-api</x:v>
      </x:c>
    </x:row>
    <x:row r="69">
      <x:c r="A69" s="30" t="str">
        <x:v>ARPAUSDT</x:v>
      </x:c>
      <x:c r="B69" s="30" t="str">
        <x:v>ARPA</x:v>
      </x:c>
      <x:c r="C69" s="30" t="str">
        <x:v>USDT</x:v>
      </x:c>
      <x:c r="D69" s="30" t="str">
        <x:v>TRADING</x:v>
      </x:c>
      <x:c r="E69" s="31" t="b">
        <x:v>1</x:v>
      </x:c>
      <x:c r="F69" s="32" t="n">
        <x:v>43775</x:v>
      </x:c>
      <x:c r="G69" s="32" t="n">
        <x:v>43775.999999988424</x:v>
      </x:c>
      <x:c r="H69" s="33" t="n">
        <x:f>IF(F69="","",('Summary'!$B$5-F69)/365.25)</x:f>
        <x:v>6.740622837288008</x:v>
      </x:c>
      <x:c r="I69" s="34" t="n">
        <x:v>0.00839</x:v>
      </x:c>
      <x:c r="J69" s="35" t="n">
        <x:v>0.0023899999999999998</x:v>
      </x:c>
      <x:c r="K69" s="36" t="n">
        <x:v>26152598.9</x:v>
      </x:c>
      <x:c r="L69" s="36" t="n">
        <x:v>218405.518206</x:v>
      </x:c>
      <x:c r="M69" s="37" t="n">
        <x:v>3360</x:v>
      </x:c>
      <x:c r="N69" s="34" t="n">
        <x:v>0.00839</x:v>
      </x:c>
      <x:c r="O69" s="34" t="n">
        <x:v>0.0084</x:v>
      </x:c>
      <x:c r="P69" s="38" t="n">
        <x:f>IF(OR(N69="",O69="",N69=0,O69=0),"",(O69-N69)/((O69+N69)/2))</x:f>
        <x:v>0.0011911852293031082</x:v>
      </x:c>
      <x:c r="Q69" s="34" t="n">
        <x:v>0.0083512</x:v>
      </x:c>
      <x:c r="R69" s="34" t="n">
        <x:v>0.00843</x:v>
      </x:c>
      <x:c r="S69" s="34" t="n">
        <x:v>0.0082</x:v>
      </x:c>
      <x:c r="T69" s="32" t="n">
        <x:v>46236.01247978009</x:v>
      </x:c>
      <x:c r="U69" s="32" t="n">
        <x:v>46237.01247978009</x:v>
      </x:c>
      <x:c r="V69" s="34" t="n">
        <x:v>5</x:v>
      </x:c>
      <x:c r="W69" s="34" t="n">
        <x:v>0.1</x:v>
      </x:c>
      <x:c r="X69" s="34" t="n">
        <x:v>0.1</x:v>
      </x:c>
      <x:c r="Y69" s="34" t="n">
        <x:v>0.00001</x:v>
      </x:c>
      <x:c r="Z69" s="30" t="str">
        <x:f>IF(AND(D69="TRADING",I69&lt;&gt;"",L69&lt;&gt;"",M69&lt;&gt;"",N69&lt;&gt;"",O69&lt;&gt;""),"Yes","No")</x:f>
        <x:v>Yes</x:v>
      </x:c>
      <x:c r="AA69" s="39" t="str">
        <x:v>https://developers.binance.com/en/docs/catalog/core-trading-spot-trading/api/rest-api</x:v>
      </x:c>
    </x:row>
    <x:row r="70">
      <x:c r="A70" s="30" t="str">
        <x:v>ARUSDT</x:v>
      </x:c>
      <x:c r="B70" s="30" t="str">
        <x:v>AR</x:v>
      </x:c>
      <x:c r="C70" s="30" t="str">
        <x:v>USDT</x:v>
      </x:c>
      <x:c r="D70" s="30" t="str">
        <x:v>TRADING</x:v>
      </x:c>
      <x:c r="E70" s="31" t="b">
        <x:v>1</x:v>
      </x:c>
      <x:c r="F70" s="32" t="n">
        <x:v>44330</x:v>
      </x:c>
      <x:c r="G70" s="32" t="n">
        <x:v>44330.999999988424</x:v>
      </x:c>
      <x:c r="H70" s="33" t="n">
        <x:f>IF(F70="","",('Summary'!$B$5-F70)/365.25)</x:f>
        <x:v>5.221115650429692</x:v>
      </x:c>
      <x:c r="I70" s="34" t="n">
        <x:v>1.751</x:v>
      </x:c>
      <x:c r="J70" s="35" t="n">
        <x:v>0.01155</x:v>
      </x:c>
      <x:c r="K70" s="36" t="n">
        <x:v>230089.62</x:v>
      </x:c>
      <x:c r="L70" s="36" t="n">
        <x:v>402265.39217</x:v>
      </x:c>
      <x:c r="M70" s="37" t="n">
        <x:v>6782</x:v>
      </x:c>
      <x:c r="N70" s="34" t="n">
        <x:v>1.751</x:v>
      </x:c>
      <x:c r="O70" s="34" t="n">
        <x:v>1.752</x:v>
      </x:c>
      <x:c r="P70" s="38" t="n">
        <x:f>IF(OR(N70="",O70="",N70=0,O70=0),"",(O70-N70)/((O70+N70)/2))</x:f>
        <x:v>0.000570939194975799</x:v>
      </x:c>
      <x:c r="Q70" s="34" t="n">
        <x:v>1.74829874</x:v>
      </x:c>
      <x:c r="R70" s="34" t="n">
        <x:v>1.768</x:v>
      </x:c>
      <x:c r="S70" s="34" t="n">
        <x:v>1.728</x:v>
      </x:c>
      <x:c r="T70" s="32" t="n">
        <x:v>46236.01247835648</x:v>
      </x:c>
      <x:c r="U70" s="32" t="n">
        <x:v>46237.01247835648</x:v>
      </x:c>
      <x:c r="V70" s="34" t="n">
        <x:v>5</x:v>
      </x:c>
      <x:c r="W70" s="34" t="n">
        <x:v>0.01</x:v>
      </x:c>
      <x:c r="X70" s="34" t="n">
        <x:v>0.01</x:v>
      </x:c>
      <x:c r="Y70" s="34" t="n">
        <x:v>0.001</x:v>
      </x:c>
      <x:c r="Z70" s="30" t="str">
        <x:f>IF(AND(D70="TRADING",I70&lt;&gt;"",L70&lt;&gt;"",M70&lt;&gt;"",N70&lt;&gt;"",O70&lt;&gt;""),"Yes","No")</x:f>
        <x:v>Yes</x:v>
      </x:c>
      <x:c r="AA70" s="39" t="str">
        <x:v>https://developers.binance.com/en/docs/catalog/core-trading-spot-trading/api/rest-api</x:v>
      </x:c>
    </x:row>
    <x:row r="71">
      <x:c r="A71" s="30" t="str">
        <x:v>ASRUSDT</x:v>
      </x:c>
      <x:c r="B71" s="30" t="str">
        <x:v>ASR</x:v>
      </x:c>
      <x:c r="C71" s="30" t="str">
        <x:v>USDT</x:v>
      </x:c>
      <x:c r="D71" s="30" t="str">
        <x:v>TRADING</x:v>
      </x:c>
      <x:c r="E71" s="31" t="b">
        <x:v>1</x:v>
      </x:c>
      <x:c r="F71" s="32" t="n">
        <x:v>44195</x:v>
      </x:c>
      <x:c r="G71" s="32" t="n">
        <x:v>44195.999999988424</x:v>
      </x:c>
      <x:c r="H71" s="33" t="n">
        <x:f>IF(F71="","",('Summary'!$B$5-F71)/365.25)</x:f>
        <x:v>5.590725506692525</x:v>
      </x:c>
      <x:c r="I71" s="34" t="n">
        <x:v>0.859</x:v>
      </x:c>
      <x:c r="J71" s="35" t="n">
        <x:v>0.005849999999999999</x:v>
      </x:c>
      <x:c r="K71" s="36" t="n">
        <x:v>86014.7</x:v>
      </x:c>
      <x:c r="L71" s="36" t="n">
        <x:v>73922.037</x:v>
      </x:c>
      <x:c r="M71" s="37" t="n">
        <x:v>1312</x:v>
      </x:c>
      <x:c r="N71" s="34" t="n">
        <x:v>0.858</x:v>
      </x:c>
      <x:c r="O71" s="34" t="n">
        <x:v>0.859</x:v>
      </x:c>
      <x:c r="P71" s="38" t="n">
        <x:f>IF(OR(N71="",O71="",N71=0,O71=0),"",(O71-N71)/((O71+N71)/2))</x:f>
        <x:v>0.001164822364589401</x:v>
      </x:c>
      <x:c r="Q71" s="34" t="n">
        <x:v>0.85941167</x:v>
      </x:c>
      <x:c r="R71" s="34" t="n">
        <x:v>0.866</x:v>
      </x:c>
      <x:c r="S71" s="34" t="n">
        <x:v>0.853</x:v>
      </x:c>
      <x:c r="T71" s="32" t="n">
        <x:v>46236.01182774305</x:v>
      </x:c>
      <x:c r="U71" s="32" t="n">
        <x:v>46237.01182774305</x:v>
      </x:c>
      <x:c r="V71" s="34" t="n">
        <x:v>5</x:v>
      </x:c>
      <x:c r="W71" s="34" t="n">
        <x:v>0.1</x:v>
      </x:c>
      <x:c r="X71" s="34" t="n">
        <x:v>0.1</x:v>
      </x:c>
      <x:c r="Y71" s="34" t="n">
        <x:v>0.001</x:v>
      </x:c>
      <x:c r="Z71" s="30" t="str">
        <x:f>IF(AND(D71="TRADING",I71&lt;&gt;"",L71&lt;&gt;"",M71&lt;&gt;"",N71&lt;&gt;"",O71&lt;&gt;""),"Yes","No")</x:f>
        <x:v>Yes</x:v>
      </x:c>
      <x:c r="AA71" s="39" t="str">
        <x:v>https://developers.binance.com/en/docs/catalog/core-trading-spot-trading/api/rest-api</x:v>
      </x:c>
    </x:row>
    <x:row r="72">
      <x:c r="A72" s="30" t="str">
        <x:v>ASTERUSDT</x:v>
      </x:c>
      <x:c r="B72" s="30" t="str">
        <x:v>ASTER</x:v>
      </x:c>
      <x:c r="C72" s="30" t="str">
        <x:v>USDT</x:v>
      </x:c>
      <x:c r="D72" s="30" t="str">
        <x:v>TRADING</x:v>
      </x:c>
      <x:c r="E72" s="31" t="b">
        <x:v>1</x:v>
      </x:c>
      <x:c r="F72" s="32" t="n">
        <x:v>45936</x:v>
      </x:c>
      <x:c r="G72" s="32" t="n">
        <x:v>45936.999999988424</x:v>
      </x:c>
      <x:c r="H72" s="33" t="n">
        <x:f>IF(F72="","",('Summary'!$B$5-F72)/365.25)</x:f>
        <x:v>0.8241272862955372</x:v>
      </x:c>
      <x:c r="I72" s="34" t="n">
        <x:v>0.603</x:v>
      </x:c>
      <x:c r="J72" s="35" t="n">
        <x:v>0</x:v>
      </x:c>
      <x:c r="K72" s="36" t="n">
        <x:v>2280178.58</x:v>
      </x:c>
      <x:c r="L72" s="36" t="n">
        <x:v>1376655.49499</x:v>
      </x:c>
      <x:c r="M72" s="37" t="n">
        <x:v>6563</x:v>
      </x:c>
      <x:c r="N72" s="34" t="n">
        <x:v>0.602</x:v>
      </x:c>
      <x:c r="O72" s="34" t="n">
        <x:v>0.603</x:v>
      </x:c>
      <x:c r="P72" s="38" t="n">
        <x:f>IF(OR(N72="",O72="",N72=0,O72=0),"",(O72-N72)/((O72+N72)/2))</x:f>
        <x:v>0.0016597510373443998</x:v>
      </x:c>
      <x:c r="Q72" s="34" t="n">
        <x:v>0.60374898</x:v>
      </x:c>
      <x:c r="R72" s="34" t="n">
        <x:v>0.608</x:v>
      </x:c>
      <x:c r="S72" s="34" t="n">
        <x:v>0.6</x:v>
      </x:c>
      <x:c r="T72" s="32" t="n">
        <x:v>46236.01247770833</x:v>
      </x:c>
      <x:c r="U72" s="32" t="n">
        <x:v>46237.01247770833</x:v>
      </x:c>
      <x:c r="V72" s="34" t="n">
        <x:v>5</x:v>
      </x:c>
      <x:c r="W72" s="34" t="n">
        <x:v>0.01</x:v>
      </x:c>
      <x:c r="X72" s="34" t="n">
        <x:v>0.01</x:v>
      </x:c>
      <x:c r="Y72" s="34" t="n">
        <x:v>0.001</x:v>
      </x:c>
      <x:c r="Z72" s="30" t="str">
        <x:f>IF(AND(D72="TRADING",I72&lt;&gt;"",L72&lt;&gt;"",M72&lt;&gt;"",N72&lt;&gt;"",O72&lt;&gt;""),"Yes","No")</x:f>
        <x:v>Yes</x:v>
      </x:c>
      <x:c r="AA72" s="39" t="str">
        <x:v>https://developers.binance.com/en/docs/catalog/core-trading-spot-trading/api/rest-api</x:v>
      </x:c>
    </x:row>
    <x:row r="73">
      <x:c r="A73" s="30" t="str">
        <x:v>ASTRUSDT</x:v>
      </x:c>
      <x:c r="B73" s="30" t="str">
        <x:v>ASTR</x:v>
      </x:c>
      <x:c r="C73" s="30" t="str">
        <x:v>USDT</x:v>
      </x:c>
      <x:c r="D73" s="30" t="str">
        <x:v>TRADING</x:v>
      </x:c>
      <x:c r="E73" s="31" t="b">
        <x:v>1</x:v>
      </x:c>
      <x:c r="F73" s="32" t="n">
        <x:v>44620</x:v>
      </x:c>
      <x:c r="G73" s="32" t="n">
        <x:v>44620.999999988424</x:v>
      </x:c>
      <x:c r="H73" s="33" t="n">
        <x:f>IF(F73="","",('Summary'!$B$5-F73)/365.25)</x:f>
        <x:v>4.427138922161382</x:v>
      </x:c>
      <x:c r="I73" s="34" t="n">
        <x:v>0.004817</x:v>
      </x:c>
      <x:c r="J73" s="35" t="n">
        <x:v>-0.0018599999999999999</x:v>
      </x:c>
      <x:c r="K73" s="36" t="n">
        <x:v>14946347.5</x:v>
      </x:c>
      <x:c r="L73" s="36" t="n">
        <x:v>72411.300552</x:v>
      </x:c>
      <x:c r="M73" s="37" t="n">
        <x:v>2035</x:v>
      </x:c>
      <x:c r="N73" s="34" t="n">
        <x:v>0.004812</x:v>
      </x:c>
      <x:c r="O73" s="34" t="n">
        <x:v>0.004815</x:v>
      </x:c>
      <x:c r="P73" s="38" t="n">
        <x:f>IF(OR(N73="",O73="",N73=0,O73=0),"",(O73-N73)/((O73+N73)/2))</x:f>
        <x:v>0.0006232471174819842</x:v>
      </x:c>
      <x:c r="Q73" s="34" t="n">
        <x:v>0.00484475</x:v>
      </x:c>
      <x:c r="R73" s="34" t="n">
        <x:v>0.004881</x:v>
      </x:c>
      <x:c r="S73" s="34" t="n">
        <x:v>0.00481</x:v>
      </x:c>
      <x:c r="T73" s="32" t="n">
        <x:v>46236.012260752315</x:v>
      </x:c>
      <x:c r="U73" s="32" t="n">
        <x:v>46237.012260752315</x:v>
      </x:c>
      <x:c r="V73" s="34" t="n">
        <x:v>5</x:v>
      </x:c>
      <x:c r="W73" s="34" t="n">
        <x:v>0.1</x:v>
      </x:c>
      <x:c r="X73" s="34" t="n">
        <x:v>0.1</x:v>
      </x:c>
      <x:c r="Y73" s="34" t="n">
        <x:v>0.000001</x:v>
      </x:c>
      <x:c r="Z73" s="30" t="str">
        <x:f>IF(AND(D73="TRADING",I73&lt;&gt;"",L73&lt;&gt;"",M73&lt;&gt;"",N73&lt;&gt;"",O73&lt;&gt;""),"Yes","No")</x:f>
        <x:v>Yes</x:v>
      </x:c>
      <x:c r="AA73" s="39" t="str">
        <x:v>https://developers.binance.com/en/docs/catalog/core-trading-spot-trading/api/rest-api</x:v>
      </x:c>
    </x:row>
    <x:row r="74">
      <x:c r="A74" s="30" t="str">
        <x:v>ASTUSDT</x:v>
      </x:c>
      <x:c r="B74" s="30" t="str">
        <x:v>AST</x:v>
      </x:c>
      <x:c r="C74" s="30" t="str">
        <x:v>USDT</x:v>
      </x:c>
      <x:c r="D74" s="30" t="str">
        <x:v>BREAK</x:v>
      </x:c>
      <x:c r="E74" s="31" t="b">
        <x:v>1</x:v>
      </x:c>
      <x:c r="F74" s="32" t="n">
        <x:v>45065</x:v>
      </x:c>
      <x:c r="G74" s="32" t="n">
        <x:v>45065.999999988424</x:v>
      </x:c>
      <x:c r="H74" s="33" t="n">
        <x:f>IF(F74="","",('Summary'!$B$5-F74)/365.25)</x:f>
        <x:v>3.2087953218875973</x:v>
      </x:c>
      <x:c r="I74" s="34" t="n">
        <x:v>0.0261</x:v>
      </x:c>
      <x:c r="J74" s="35" t="n">
        <x:v>-0.05776</x:v>
      </x:c>
      <x:c r="K74" s="36" t="n">
        <x:v>3856728</x:v>
      </x:c>
      <x:c r="L74" s="36" t="n">
        <x:v>105362.9768</x:v>
      </x:c>
      <x:c r="M74" s="37" t="n">
        <x:v>4001</x:v>
      </x:c>
      <x:c r="N74" s="34" t="n">
        <x:v>0</x:v>
      </x:c>
      <x:c r="O74" s="34" t="n">
        <x:v>0</x:v>
      </x:c>
      <x:c r="P74" s="38" t="str">
        <x:f>IF(OR(N74="",O74="",N74=0,O74=0),"",(O74-N74)/((O74+N74)/2))</x:f>
      </x:c>
      <x:c r="Q74" s="34" t="n">
        <x:v>0.02731927</x:v>
      </x:c>
      <x:c r="R74" s="34" t="n">
        <x:v>0.0284</x:v>
      </x:c>
      <x:c r="S74" s="34" t="n">
        <x:v>0.0258</x:v>
      </x:c>
      <x:c r="T74" s="32" t="n">
        <x:v>46209.26112309028</x:v>
      </x:c>
      <x:c r="U74" s="32" t="n">
        <x:v>46210.26112309028</x:v>
      </x:c>
      <x:c r="V74" s="34" t="n">
        <x:v>5</x:v>
      </x:c>
      <x:c r="W74" s="34" t="n">
        <x:v>1</x:v>
      </x:c>
      <x:c r="X74" s="34" t="n">
        <x:v>1</x:v>
      </x:c>
      <x:c r="Y74" s="34" t="n">
        <x:v>0.0001</x:v>
      </x:c>
      <x:c r="Z74" s="30" t="str">
        <x:f>IF(AND(D74="TRADING",I74&lt;&gt;"",L74&lt;&gt;"",M74&lt;&gt;"",N74&lt;&gt;"",O74&lt;&gt;""),"Yes","No")</x:f>
        <x:v>No</x:v>
      </x:c>
      <x:c r="AA74" s="39" t="str">
        <x:v>https://developers.binance.com/en/docs/catalog/core-trading-spot-trading/api/rest-api</x:v>
      </x:c>
    </x:row>
    <x:row r="75">
      <x:c r="A75" s="30" t="str">
        <x:v>ATAUSDT</x:v>
      </x:c>
      <x:c r="B75" s="30" t="str">
        <x:v>ATA</x:v>
      </x:c>
      <x:c r="C75" s="30" t="str">
        <x:v>USDT</x:v>
      </x:c>
      <x:c r="D75" s="30" t="str">
        <x:v>BREAK</x:v>
      </x:c>
      <x:c r="E75" s="31" t="b">
        <x:v>1</x:v>
      </x:c>
      <x:c r="F75" s="32" t="n">
        <x:v>44354</x:v>
      </x:c>
      <x:c r="G75" s="32" t="n">
        <x:v>44354.999999988424</x:v>
      </x:c>
      <x:c r="H75" s="33" t="n">
        <x:f>IF(F75="","",('Summary'!$B$5-F75)/365.25)</x:f>
        <x:v>5.155407231538521</x:v>
      </x:c>
      <x:c r="I75" s="34" t="n">
        <x:v>0.0012</x:v>
      </x:c>
      <x:c r="J75" s="35" t="n">
        <x:v>-0.5384599999999999</x:v>
      </x:c>
      <x:c r="K75" s="36" t="n">
        <x:v>499299488</x:v>
      </x:c>
      <x:c r="L75" s="36" t="n">
        <x:v>1027614.017</x:v>
      </x:c>
      <x:c r="M75" s="37" t="n">
        <x:v>8502</x:v>
      </x:c>
      <x:c r="N75" s="34" t="n">
        <x:v>0</x:v>
      </x:c>
      <x:c r="O75" s="34" t="n">
        <x:v>0</x:v>
      </x:c>
      <x:c r="P75" s="38" t="str">
        <x:f>IF(OR(N75="",O75="",N75=0,O75=0),"",(O75-N75)/((O75+N75)/2))</x:f>
      </x:c>
      <x:c r="Q75" s="34" t="n">
        <x:v>0.00205811</x:v>
      </x:c>
      <x:c r="R75" s="34" t="n">
        <x:v>0.003</x:v>
      </x:c>
      <x:c r="S75" s="34" t="n">
        <x:v>0.0012</x:v>
      </x:c>
      <x:c r="T75" s="32" t="n">
        <x:v>46209.26112309028</x:v>
      </x:c>
      <x:c r="U75" s="32" t="n">
        <x:v>46210.26112309028</x:v>
      </x:c>
      <x:c r="V75" s="34" t="n">
        <x:v>5</x:v>
      </x:c>
      <x:c r="W75" s="34" t="n">
        <x:v>1</x:v>
      </x:c>
      <x:c r="X75" s="34" t="n">
        <x:v>1</x:v>
      </x:c>
      <x:c r="Y75" s="34" t="n">
        <x:v>0.0001</x:v>
      </x:c>
      <x:c r="Z75" s="30" t="str">
        <x:f>IF(AND(D75="TRADING",I75&lt;&gt;"",L75&lt;&gt;"",M75&lt;&gt;"",N75&lt;&gt;"",O75&lt;&gt;""),"Yes","No")</x:f>
        <x:v>No</x:v>
      </x:c>
      <x:c r="AA75" s="39" t="str">
        <x:v>https://developers.binance.com/en/docs/catalog/core-trading-spot-trading/api/rest-api</x:v>
      </x:c>
    </x:row>
    <x:row r="76">
      <x:c r="A76" s="30" t="str">
        <x:v>ATMUSDT</x:v>
      </x:c>
      <x:c r="B76" s="30" t="str">
        <x:v>ATM</x:v>
      </x:c>
      <x:c r="C76" s="30" t="str">
        <x:v>USDT</x:v>
      </x:c>
      <x:c r="D76" s="30" t="str">
        <x:v>TRADING</x:v>
      </x:c>
      <x:c r="E76" s="31" t="b">
        <x:v>1</x:v>
      </x:c>
      <x:c r="F76" s="32" t="n">
        <x:v>44195</x:v>
      </x:c>
      <x:c r="G76" s="32" t="n">
        <x:v>44195.999999988424</x:v>
      </x:c>
      <x:c r="H76" s="33" t="n">
        <x:f>IF(F76="","",('Summary'!$B$5-F76)/365.25)</x:f>
        <x:v>5.590725506692525</x:v>
      </x:c>
      <x:c r="I76" s="34" t="n">
        <x:v>1.653</x:v>
      </x:c>
      <x:c r="J76" s="35" t="n">
        <x:v>0.00486</x:v>
      </x:c>
      <x:c r="K76" s="36" t="n">
        <x:v>132825.15</x:v>
      </x:c>
      <x:c r="L76" s="36" t="n">
        <x:v>219128.52234</x:v>
      </x:c>
      <x:c r="M76" s="37" t="n">
        <x:v>3933</x:v>
      </x:c>
      <x:c r="N76" s="34" t="n">
        <x:v>1.651</x:v>
      </x:c>
      <x:c r="O76" s="34" t="n">
        <x:v>1.653</x:v>
      </x:c>
      <x:c r="P76" s="38" t="n">
        <x:f>IF(OR(N76="",O76="",N76=0,O76=0),"",(O76-N76)/((O76+N76)/2))</x:f>
        <x:v>0.0012106537530266353</x:v>
      </x:c>
      <x:c r="Q76" s="34" t="n">
        <x:v>1.64975174</x:v>
      </x:c>
      <x:c r="R76" s="34" t="n">
        <x:v>1.684</x:v>
      </x:c>
      <x:c r="S76" s="34" t="n">
        <x:v>1.627</x:v>
      </x:c>
      <x:c r="T76" s="32" t="n">
        <x:v>46236.012478703706</x:v>
      </x:c>
      <x:c r="U76" s="32" t="n">
        <x:v>46237.012478703706</x:v>
      </x:c>
      <x:c r="V76" s="34" t="n">
        <x:v>5</x:v>
      </x:c>
      <x:c r="W76" s="34" t="n">
        <x:v>0.01</x:v>
      </x:c>
      <x:c r="X76" s="34" t="n">
        <x:v>0.01</x:v>
      </x:c>
      <x:c r="Y76" s="34" t="n">
        <x:v>0.001</x:v>
      </x:c>
      <x:c r="Z76" s="30" t="str">
        <x:f>IF(AND(D76="TRADING",I76&lt;&gt;"",L76&lt;&gt;"",M76&lt;&gt;"",N76&lt;&gt;"",O76&lt;&gt;""),"Yes","No")</x:f>
        <x:v>Yes</x:v>
      </x:c>
      <x:c r="AA76" s="39" t="str">
        <x:v>https://developers.binance.com/en/docs/catalog/core-trading-spot-trading/api/rest-api</x:v>
      </x:c>
    </x:row>
    <x:row r="77">
      <x:c r="A77" s="30" t="str">
        <x:v>ATOMUSDT</x:v>
      </x:c>
      <x:c r="B77" s="30" t="str">
        <x:v>ATOM</x:v>
      </x:c>
      <x:c r="C77" s="30" t="str">
        <x:v>USDT</x:v>
      </x:c>
      <x:c r="D77" s="30" t="str">
        <x:v>TRADING</x:v>
      </x:c>
      <x:c r="E77" s="31" t="b">
        <x:v>1</x:v>
      </x:c>
      <x:c r="F77" s="32" t="n">
        <x:v>43584</x:v>
      </x:c>
      <x:c r="G77" s="32" t="n">
        <x:v>43584.999999988424</x:v>
      </x:c>
      <x:c r="H77" s="33" t="n">
        <x:f>IF(F77="","",('Summary'!$B$5-F77)/365.25)</x:f>
        <x:v>7.263552337630239</x:v>
      </x:c>
      <x:c r="I77" s="34" t="n">
        <x:v>1.269</x:v>
      </x:c>
      <x:c r="J77" s="35" t="n">
        <x:v>0.034230000000000003</x:v>
      </x:c>
      <x:c r="K77" s="36" t="n">
        <x:v>1213667.38</x:v>
      </x:c>
      <x:c r="L77" s="36" t="n">
        <x:v>1519723.77365</x:v>
      </x:c>
      <x:c r="M77" s="37" t="n">
        <x:v>10399</x:v>
      </x:c>
      <x:c r="N77" s="34" t="n">
        <x:v>1.268</x:v>
      </x:c>
      <x:c r="O77" s="34" t="n">
        <x:v>1.27</x:v>
      </x:c>
      <x:c r="P77" s="38" t="n">
        <x:f>IF(OR(N77="",O77="",N77=0,O77=0),"",(O77-N77)/((O77+N77)/2))</x:f>
        <x:v>0.0015760441292356198</x:v>
      </x:c>
      <x:c r="Q77" s="34" t="n">
        <x:v>1.25217485</x:v>
      </x:c>
      <x:c r="R77" s="34" t="n">
        <x:v>1.273</x:v>
      </x:c>
      <x:c r="S77" s="34" t="n">
        <x:v>1.222</x:v>
      </x:c>
      <x:c r="T77" s="32" t="n">
        <x:v>46236.01240280092</x:v>
      </x:c>
      <x:c r="U77" s="32" t="n">
        <x:v>46237.01240280092</x:v>
      </x:c>
      <x:c r="V77" s="34" t="n">
        <x:v>5</x:v>
      </x:c>
      <x:c r="W77" s="34" t="n">
        <x:v>0.01</x:v>
      </x:c>
      <x:c r="X77" s="34" t="n">
        <x:v>0.01</x:v>
      </x:c>
      <x:c r="Y77" s="34" t="n">
        <x:v>0.001</x:v>
      </x:c>
      <x:c r="Z77" s="30" t="str">
        <x:f>IF(AND(D77="TRADING",I77&lt;&gt;"",L77&lt;&gt;"",M77&lt;&gt;"",N77&lt;&gt;"",O77&lt;&gt;""),"Yes","No")</x:f>
        <x:v>Yes</x:v>
      </x:c>
      <x:c r="AA77" s="39" t="str">
        <x:v>https://developers.binance.com/en/docs/catalog/core-trading-spot-trading/api/rest-api</x:v>
      </x:c>
    </x:row>
    <x:row r="78">
      <x:c r="A78" s="30" t="str">
        <x:v>ATUSDT</x:v>
      </x:c>
      <x:c r="B78" s="30" t="str">
        <x:v>AT</x:v>
      </x:c>
      <x:c r="C78" s="30" t="str">
        <x:v>USDT</x:v>
      </x:c>
      <x:c r="D78" s="30" t="str">
        <x:v>TRADING</x:v>
      </x:c>
      <x:c r="E78" s="31" t="b">
        <x:v>1</x:v>
      </x:c>
      <x:c r="F78" s="32" t="n">
        <x:v>45988</x:v>
      </x:c>
      <x:c r="G78" s="32" t="n">
        <x:v>45988.999999988424</x:v>
      </x:c>
      <x:c r="H78" s="33" t="n">
        <x:f>IF(F78="","",('Summary'!$B$5-F78)/365.25)</x:f>
        <x:v>0.6817590453646679</x:v>
      </x:c>
      <x:c r="I78" s="34" t="n">
        <x:v>0.1352</x:v>
      </x:c>
      <x:c r="J78" s="35" t="n">
        <x:v>-0.05388</x:v>
      </x:c>
      <x:c r="K78" s="36" t="n">
        <x:v>1392529.1</x:v>
      </x:c>
      <x:c r="L78" s="36" t="n">
        <x:v>192963.81549</x:v>
      </x:c>
      <x:c r="M78" s="37" t="n">
        <x:v>5001</x:v>
      </x:c>
      <x:c r="N78" s="34" t="n">
        <x:v>0.1349</x:v>
      </x:c>
      <x:c r="O78" s="34" t="n">
        <x:v>0.1351</x:v>
      </x:c>
      <x:c r="P78" s="38" t="n">
        <x:f>IF(OR(N78="",O78="",N78=0,O78=0),"",(O78-N78)/((O78+N78)/2))</x:f>
        <x:v>0.001481481481481524</x:v>
      </x:c>
      <x:c r="Q78" s="34" t="n">
        <x:v>0.13857076</x:v>
      </x:c>
      <x:c r="R78" s="34" t="n">
        <x:v>0.1434</x:v>
      </x:c>
      <x:c r="S78" s="34" t="n">
        <x:v>0.1348</x:v>
      </x:c>
      <x:c r="T78" s="32" t="n">
        <x:v>46236.01241604167</x:v>
      </x:c>
      <x:c r="U78" s="32" t="n">
        <x:v>46237.01241604167</x:v>
      </x:c>
      <x:c r="V78" s="34" t="n">
        <x:v>5</x:v>
      </x:c>
      <x:c r="W78" s="34" t="n">
        <x:v>0.1</x:v>
      </x:c>
      <x:c r="X78" s="34" t="n">
        <x:v>0.1</x:v>
      </x:c>
      <x:c r="Y78" s="34" t="n">
        <x:v>0.0001</x:v>
      </x:c>
      <x:c r="Z78" s="30" t="str">
        <x:f>IF(AND(D78="TRADING",I78&lt;&gt;"",L78&lt;&gt;"",M78&lt;&gt;"",N78&lt;&gt;"",O78&lt;&gt;""),"Yes","No")</x:f>
        <x:v>Yes</x:v>
      </x:c>
      <x:c r="AA78" s="39" t="str">
        <x:v>https://developers.binance.com/en/docs/catalog/core-trading-spot-trading/api/rest-api</x:v>
      </x:c>
    </x:row>
    <x:row r="79">
      <x:c r="A79" s="30" t="str">
        <x:v>AUCTIONUSDT</x:v>
      </x:c>
      <x:c r="B79" s="30" t="str">
        <x:v>AUCTION</x:v>
      </x:c>
      <x:c r="C79" s="30" t="str">
        <x:v>USDT</x:v>
      </x:c>
      <x:c r="D79" s="30" t="str">
        <x:v>TRADING</x:v>
      </x:c>
      <x:c r="E79" s="31" t="b">
        <x:v>1</x:v>
      </x:c>
      <x:c r="F79" s="32" t="n">
        <x:v>44498</x:v>
      </x:c>
      <x:c r="G79" s="32" t="n">
        <x:v>44498.999999988424</x:v>
      </x:c>
      <x:c r="H79" s="33" t="n">
        <x:f>IF(F79="","",('Summary'!$B$5-F79)/365.25)</x:f>
        <x:v>4.761156718191499</x:v>
      </x:c>
      <x:c r="I79" s="34" t="n">
        <x:v>2.991</x:v>
      </x:c>
      <x:c r="J79" s="35" t="n">
        <x:v>-0.00565</x:v>
      </x:c>
      <x:c r="K79" s="36" t="n">
        <x:v>28738.55</x:v>
      </x:c>
      <x:c r="L79" s="36" t="n">
        <x:v>86048.31853</x:v>
      </x:c>
      <x:c r="M79" s="37" t="n">
        <x:v>1579</x:v>
      </x:c>
      <x:c r="N79" s="34" t="n">
        <x:v>2.993</x:v>
      </x:c>
      <x:c r="O79" s="34" t="n">
        <x:v>2.994</x:v>
      </x:c>
      <x:c r="P79" s="38" t="n">
        <x:f>IF(OR(N79="",O79="",N79=0,O79=0),"",(O79-N79)/((O79+N79)/2))</x:f>
        <x:v>0.0003340571237682759</x:v>
      </x:c>
      <x:c r="Q79" s="34" t="n">
        <x:v>2.99417746</x:v>
      </x:c>
      <x:c r="R79" s="34" t="n">
        <x:v>3.032</x:v>
      </x:c>
      <x:c r="S79" s="34" t="n">
        <x:v>2.967</x:v>
      </x:c>
      <x:c r="T79" s="32" t="n">
        <x:v>46236.01233363426</x:v>
      </x:c>
      <x:c r="U79" s="32" t="n">
        <x:v>46237.01233363426</x:v>
      </x:c>
      <x:c r="V79" s="34" t="n">
        <x:v>5</x:v>
      </x:c>
      <x:c r="W79" s="34" t="n">
        <x:v>0.01</x:v>
      </x:c>
      <x:c r="X79" s="34" t="n">
        <x:v>0.01</x:v>
      </x:c>
      <x:c r="Y79" s="34" t="n">
        <x:v>0.001</x:v>
      </x:c>
      <x:c r="Z79" s="30" t="str">
        <x:f>IF(AND(D79="TRADING",I79&lt;&gt;"",L79&lt;&gt;"",M79&lt;&gt;"",N79&lt;&gt;"",O79&lt;&gt;""),"Yes","No")</x:f>
        <x:v>Yes</x:v>
      </x:c>
      <x:c r="AA79" s="39" t="str">
        <x:v>https://developers.binance.com/en/docs/catalog/core-trading-spot-trading/api/rest-api</x:v>
      </x:c>
    </x:row>
    <x:row r="80">
      <x:c r="A80" s="30" t="str">
        <x:v>AUDIOUSDT</x:v>
      </x:c>
      <x:c r="B80" s="30" t="str">
        <x:v>AUDIO</x:v>
      </x:c>
      <x:c r="C80" s="30" t="str">
        <x:v>USDT</x:v>
      </x:c>
      <x:c r="D80" s="30" t="str">
        <x:v>TRADING</x:v>
      </x:c>
      <x:c r="E80" s="31" t="b">
        <x:v>1</x:v>
      </x:c>
      <x:c r="F80" s="32" t="n">
        <x:v>44127</x:v>
      </x:c>
      <x:c r="G80" s="32" t="n">
        <x:v>44127.999999988424</x:v>
      </x:c>
      <x:c r="H80" s="33" t="n">
        <x:f>IF(F80="","",('Summary'!$B$5-F80)/365.25)</x:f>
        <x:v>5.7768993602175085</x:v>
      </x:c>
      <x:c r="I80" s="34" t="n">
        <x:v>0.01213</x:v>
      </x:c>
      <x:c r="J80" s="35" t="n">
        <x:v>0.00915</x:v>
      </x:c>
      <x:c r="K80" s="36" t="n">
        <x:v>13582163.5</x:v>
      </x:c>
      <x:c r="L80" s="36" t="n">
        <x:v>164081.153076</x:v>
      </x:c>
      <x:c r="M80" s="37" t="n">
        <x:v>3110</x:v>
      </x:c>
      <x:c r="N80" s="34" t="n">
        <x:v>0.01211</x:v>
      </x:c>
      <x:c r="O80" s="34" t="n">
        <x:v>0.01213</x:v>
      </x:c>
      <x:c r="P80" s="38" t="n">
        <x:f>IF(OR(N80="",O80="",N80=0,O80=0),"",(O80-N80)/((O80+N80)/2))</x:f>
        <x:v>0.0016501650165017263</x:v>
      </x:c>
      <x:c r="Q80" s="34" t="n">
        <x:v>0.01208063</x:v>
      </x:c>
      <x:c r="R80" s="34" t="n">
        <x:v>0.01221</x:v>
      </x:c>
      <x:c r="S80" s="34" t="n">
        <x:v>0.01191</x:v>
      </x:c>
      <x:c r="T80" s="32" t="n">
        <x:v>46236.012223020836</x:v>
      </x:c>
      <x:c r="U80" s="32" t="n">
        <x:v>46237.012223020836</x:v>
      </x:c>
      <x:c r="V80" s="34" t="n">
        <x:v>5</x:v>
      </x:c>
      <x:c r="W80" s="34" t="n">
        <x:v>0.1</x:v>
      </x:c>
      <x:c r="X80" s="34" t="n">
        <x:v>0.1</x:v>
      </x:c>
      <x:c r="Y80" s="34" t="n">
        <x:v>0.00001</x:v>
      </x:c>
      <x:c r="Z80" s="30" t="str">
        <x:f>IF(AND(D80="TRADING",I80&lt;&gt;"",L80&lt;&gt;"",M80&lt;&gt;"",N80&lt;&gt;"",O80&lt;&gt;""),"Yes","No")</x:f>
        <x:v>Yes</x:v>
      </x:c>
      <x:c r="AA80" s="39" t="str">
        <x:v>https://developers.binance.com/en/docs/catalog/core-trading-spot-trading/api/rest-api</x:v>
      </x:c>
    </x:row>
    <x:row r="81">
      <x:c r="A81" s="30" t="str">
        <x:v>AUDUSDT</x:v>
      </x:c>
      <x:c r="B81" s="30" t="str">
        <x:v>AUD</x:v>
      </x:c>
      <x:c r="C81" s="30" t="str">
        <x:v>USDT</x:v>
      </x:c>
      <x:c r="D81" s="30" t="str">
        <x:v>BREAK</x:v>
      </x:c>
      <x:c r="E81" s="31" t="b">
        <x:v>1</x:v>
      </x:c>
      <x:c r="F81" s="32" t="n">
        <x:v>44050</x:v>
      </x:c>
      <x:c r="G81" s="32" t="n">
        <x:v>44050.999999988424</x:v>
      </x:c>
      <x:c r="H81" s="33" t="n">
        <x:f>IF(F81="","",('Summary'!$B$5-F81)/365.25)</x:f>
        <x:v>5.98771387082668</x:v>
      </x:c>
      <x:c r="I81" s="34" t="n">
        <x:v>0.7252</x:v>
      </x:c>
      <x:c r="J81" s="35" t="n">
        <x:v>-0.05745</x:v>
      </x:c>
      <x:c r="K81" s="36" t="n">
        <x:v>607479</x:v>
      </x:c>
      <x:c r="L81" s="36" t="n">
        <x:v>454709.7872</x:v>
      </x:c>
      <x:c r="M81" s="37" t="n">
        <x:v>4001</x:v>
      </x:c>
      <x:c r="N81" s="34" t="n">
        <x:v>0</x:v>
      </x:c>
      <x:c r="O81" s="34" t="n">
        <x:v>0</x:v>
      </x:c>
      <x:c r="P81" s="38" t="str">
        <x:f>IF(OR(N81="",O81="",N81=0,O81=0),"",(O81-N81)/((O81+N81)/2))</x:f>
      </x:c>
      <x:c r="Q81" s="34" t="n">
        <x:v>0.74851935</x:v>
      </x:c>
      <x:c r="R81" s="34" t="n">
        <x:v>0.772</x:v>
      </x:c>
      <x:c r="S81" s="34" t="n">
        <x:v>0.72</x:v>
      </x:c>
      <x:c r="T81" s="32" t="n">
        <x:v>46209.26112309028</x:v>
      </x:c>
      <x:c r="U81" s="32" t="n">
        <x:v>46210.26112309028</x:v>
      </x:c>
      <x:c r="V81" s="34" t="n">
        <x:v>10</x:v>
      </x:c>
      <x:c r="W81" s="34" t="n">
        <x:v>1</x:v>
      </x:c>
      <x:c r="X81" s="34" t="n">
        <x:v>1</x:v>
      </x:c>
      <x:c r="Y81" s="34" t="n">
        <x:v>0.0001</x:v>
      </x:c>
      <x:c r="Z81" s="30" t="str">
        <x:f>IF(AND(D81="TRADING",I81&lt;&gt;"",L81&lt;&gt;"",M81&lt;&gt;"",N81&lt;&gt;"",O81&lt;&gt;""),"Yes","No")</x:f>
        <x:v>No</x:v>
      </x:c>
      <x:c r="AA81" s="39" t="str">
        <x:v>https://developers.binance.com/en/docs/catalog/core-trading-spot-trading/api/rest-api</x:v>
      </x:c>
    </x:row>
    <x:row r="82">
      <x:c r="A82" s="30" t="str">
        <x:v>AUSDT</x:v>
      </x:c>
      <x:c r="B82" s="30" t="str">
        <x:v>A</x:v>
      </x:c>
      <x:c r="C82" s="30" t="str">
        <x:v>USDT</x:v>
      </x:c>
      <x:c r="D82" s="30" t="str">
        <x:v>TRADING</x:v>
      </x:c>
      <x:c r="E82" s="31" t="b">
        <x:v>1</x:v>
      </x:c>
      <x:c r="F82" s="32" t="n">
        <x:v>45805</x:v>
      </x:c>
      <x:c r="G82" s="32" t="n">
        <x:v>45805.999999988424</x:v>
      </x:c>
      <x:c r="H82" s="33" t="n">
        <x:f>IF(F82="","",('Summary'!$B$5-F82)/365.25)</x:f>
        <x:v>1.1827857394098424</x:v>
      </x:c>
      <x:c r="I82" s="34" t="n">
        <x:v>0.0634</x:v>
      </x:c>
      <x:c r="J82" s="35" t="n">
        <x:v>-0.01705</x:v>
      </x:c>
      <x:c r="K82" s="36" t="n">
        <x:v>2871056.1</x:v>
      </x:c>
      <x:c r="L82" s="36" t="n">
        <x:v>183501.13726</x:v>
      </x:c>
      <x:c r="M82" s="37" t="n">
        <x:v>4115</x:v>
      </x:c>
      <x:c r="N82" s="34" t="n">
        <x:v>0.0633</x:v>
      </x:c>
      <x:c r="O82" s="34" t="n">
        <x:v>0.0634</x:v>
      </x:c>
      <x:c r="P82" s="38" t="n">
        <x:f>IF(OR(N82="",O82="",N82=0,O82=0),"",(O82-N82)/((O82+N82)/2))</x:f>
        <x:v>0.0015785319652723423</x:v>
      </x:c>
      <x:c r="Q82" s="34" t="n">
        <x:v>0.06391416</x:v>
      </x:c>
      <x:c r="R82" s="34" t="n">
        <x:v>0.0653</x:v>
      </x:c>
      <x:c r="S82" s="34" t="n">
        <x:v>0.0631</x:v>
      </x:c>
      <x:c r="T82" s="32" t="n">
        <x:v>46236.01238637731</x:v>
      </x:c>
      <x:c r="U82" s="32" t="n">
        <x:v>46237.01238637731</x:v>
      </x:c>
      <x:c r="V82" s="34" t="n">
        <x:v>5</x:v>
      </x:c>
      <x:c r="W82" s="34" t="n">
        <x:v>0.1</x:v>
      </x:c>
      <x:c r="X82" s="34" t="n">
        <x:v>0.1</x:v>
      </x:c>
      <x:c r="Y82" s="34" t="n">
        <x:v>0.0001</x:v>
      </x:c>
      <x:c r="Z82" s="30" t="str">
        <x:f>IF(AND(D82="TRADING",I82&lt;&gt;"",L82&lt;&gt;"",M82&lt;&gt;"",N82&lt;&gt;"",O82&lt;&gt;""),"Yes","No")</x:f>
        <x:v>Yes</x:v>
      </x:c>
      <x:c r="AA82" s="39" t="str">
        <x:v>https://developers.binance.com/en/docs/catalog/core-trading-spot-trading/api/rest-api</x:v>
      </x:c>
    </x:row>
    <x:row r="83">
      <x:c r="A83" s="30" t="str">
        <x:v>AUTOUSDT</x:v>
      </x:c>
      <x:c r="B83" s="30" t="str">
        <x:v>AUTO</x:v>
      </x:c>
      <x:c r="C83" s="30" t="str">
        <x:v>USDT</x:v>
      </x:c>
      <x:c r="D83" s="30" t="str">
        <x:v>BREAK</x:v>
      </x:c>
      <x:c r="E83" s="31" t="b">
        <x:v>1</x:v>
      </x:c>
      <x:c r="F83" s="32" t="n">
        <x:v>44288</x:v>
      </x:c>
      <x:c r="G83" s="32" t="n">
        <x:v>44288.999999988424</x:v>
      </x:c>
      <x:c r="H83" s="33" t="n">
        <x:f>IF(F83="","",('Summary'!$B$5-F83)/365.25)</x:f>
        <x:v>5.33610538348924</x:v>
      </x:c>
      <x:c r="I83" s="34" t="n">
        <x:v>95.3</x:v>
      </x:c>
      <x:c r="J83" s="35" t="n">
        <x:v>-0.07476</x:v>
      </x:c>
      <x:c r="K83" s="36" t="n">
        <x:v>5659.442</x:v>
      </x:c>
      <x:c r="L83" s="36" t="n">
        <x:v>570865.3382</x:v>
      </x:c>
      <x:c r="M83" s="37" t="n">
        <x:v>4001</x:v>
      </x:c>
      <x:c r="N83" s="34" t="n">
        <x:v>0</x:v>
      </x:c>
      <x:c r="O83" s="34" t="n">
        <x:v>0</x:v>
      </x:c>
      <x:c r="P83" s="38" t="str">
        <x:f>IF(OR(N83="",O83="",N83=0,O83=0),"",(O83-N83)/((O83+N83)/2))</x:f>
      </x:c>
      <x:c r="Q83" s="34" t="n">
        <x:v>100.86954477</x:v>
      </x:c>
      <x:c r="R83" s="34" t="n">
        <x:v>105</x:v>
      </x:c>
      <x:c r="S83" s="34" t="n">
        <x:v>95.1</x:v>
      </x:c>
      <x:c r="T83" s="32" t="n">
        <x:v>46209.26112309028</x:v>
      </x:c>
      <x:c r="U83" s="32" t="n">
        <x:v>46210.26112309028</x:v>
      </x:c>
      <x:c r="V83" s="34" t="n">
        <x:v>10</x:v>
      </x:c>
      <x:c r="W83" s="34" t="n">
        <x:v>0.001</x:v>
      </x:c>
      <x:c r="X83" s="34" t="n">
        <x:v>0.001</x:v>
      </x:c>
      <x:c r="Y83" s="34" t="n">
        <x:v>0.1</x:v>
      </x:c>
      <x:c r="Z83" s="30" t="str">
        <x:f>IF(AND(D83="TRADING",I83&lt;&gt;"",L83&lt;&gt;"",M83&lt;&gt;"",N83&lt;&gt;"",O83&lt;&gt;""),"Yes","No")</x:f>
        <x:v>No</x:v>
      </x:c>
      <x:c r="AA83" s="39" t="str">
        <x:v>https://developers.binance.com/en/docs/catalog/core-trading-spot-trading/api/rest-api</x:v>
      </x:c>
    </x:row>
    <x:row r="84">
      <x:c r="A84" s="30" t="str">
        <x:v>AVAUSDT</x:v>
      </x:c>
      <x:c r="B84" s="30" t="str">
        <x:v>AVA</x:v>
      </x:c>
      <x:c r="C84" s="30" t="str">
        <x:v>USDT</x:v>
      </x:c>
      <x:c r="D84" s="30" t="str">
        <x:v>TRADING</x:v>
      </x:c>
      <x:c r="E84" s="31" t="b">
        <x:v>1</x:v>
      </x:c>
      <x:c r="F84" s="32" t="n">
        <x:v>44159</x:v>
      </x:c>
      <x:c r="G84" s="32" t="n">
        <x:v>44159.999999988424</x:v>
      </x:c>
      <x:c r="H84" s="33" t="n">
        <x:f>IF(F84="","",('Summary'!$B$5-F84)/365.25)</x:f>
        <x:v>5.689288135029281</x:v>
      </x:c>
      <x:c r="I84" s="34" t="n">
        <x:v>0.1787</x:v>
      </x:c>
      <x:c r="J84" s="35" t="n">
        <x:v>0.03057</x:v>
      </x:c>
      <x:c r="K84" s="36" t="n">
        <x:v>1784283.9</x:v>
      </x:c>
      <x:c r="L84" s="36" t="n">
        <x:v>306930.52451</x:v>
      </x:c>
      <x:c r="M84" s="37" t="n">
        <x:v>3181</x:v>
      </x:c>
      <x:c r="N84" s="34" t="n">
        <x:v>0.1782</x:v>
      </x:c>
      <x:c r="O84" s="34" t="n">
        <x:v>0.1783</x:v>
      </x:c>
      <x:c r="P84" s="38" t="n">
        <x:f>IF(OR(N84="",O84="",N84=0,O84=0),"",(O84-N84)/((O84+N84)/2))</x:f>
        <x:v>0.0005610098176717475</x:v>
      </x:c>
      <x:c r="Q84" s="34" t="n">
        <x:v>0.17201888</x:v>
      </x:c>
      <x:c r="R84" s="34" t="n">
        <x:v>0.183</x:v>
      </x:c>
      <x:c r="S84" s="34" t="n">
        <x:v>0.1643</x:v>
      </x:c>
      <x:c r="T84" s="32" t="n">
        <x:v>46236.01243180555</x:v>
      </x:c>
      <x:c r="U84" s="32" t="n">
        <x:v>46237.01243180555</x:v>
      </x:c>
      <x:c r="V84" s="34" t="n">
        <x:v>5</x:v>
      </x:c>
      <x:c r="W84" s="34" t="n">
        <x:v>0.1</x:v>
      </x:c>
      <x:c r="X84" s="34" t="n">
        <x:v>0.1</x:v>
      </x:c>
      <x:c r="Y84" s="34" t="n">
        <x:v>0.0001</x:v>
      </x:c>
      <x:c r="Z84" s="30" t="str">
        <x:f>IF(AND(D84="TRADING",I84&lt;&gt;"",L84&lt;&gt;"",M84&lt;&gt;"",N84&lt;&gt;"",O84&lt;&gt;""),"Yes","No")</x:f>
        <x:v>Yes</x:v>
      </x:c>
      <x:c r="AA84" s="39" t="str">
        <x:v>https://developers.binance.com/en/docs/catalog/core-trading-spot-trading/api/rest-api</x:v>
      </x:c>
    </x:row>
    <x:row r="85">
      <x:c r="A85" s="30" t="str">
        <x:v>AVAXUSDT</x:v>
      </x:c>
      <x:c r="B85" s="30" t="str">
        <x:v>AVAX</x:v>
      </x:c>
      <x:c r="C85" s="30" t="str">
        <x:v>USDT</x:v>
      </x:c>
      <x:c r="D85" s="30" t="str">
        <x:v>TRADING</x:v>
      </x:c>
      <x:c r="E85" s="31" t="b">
        <x:v>1</x:v>
      </x:c>
      <x:c r="F85" s="32" t="n">
        <x:v>44096</x:v>
      </x:c>
      <x:c r="G85" s="32" t="n">
        <x:v>44096.999999988424</x:v>
      </x:c>
      <x:c r="H85" s="33" t="n">
        <x:f>IF(F85="","",('Summary'!$B$5-F85)/365.25)</x:f>
        <x:v>5.8617727346186035</x:v>
      </x:c>
      <x:c r="I85" s="34" t="n">
        <x:v>6.54</x:v>
      </x:c>
      <x:c r="J85" s="35" t="n">
        <x:v>0.05501</x:v>
      </x:c>
      <x:c r="K85" s="36" t="n">
        <x:v>2549405.05</x:v>
      </x:c>
      <x:c r="L85" s="36" t="n">
        <x:v>16734665.29561</x:v>
      </x:c>
      <x:c r="M85" s="37" t="n">
        <x:v>251784</x:v>
      </x:c>
      <x:c r="N85" s="34" t="n">
        <x:v>6.539</x:v>
      </x:c>
      <x:c r="O85" s="34" t="n">
        <x:v>6.54</x:v>
      </x:c>
      <x:c r="P85" s="38" t="n">
        <x:f>IF(OR(N85="",O85="",N85=0,O85=0),"",(O85-N85)/((O85+N85)/2))</x:f>
        <x:v>0.00015291688967051517</x:v>
      </x:c>
      <x:c r="Q85" s="34" t="n">
        <x:v>6.56414535</x:v>
      </x:c>
      <x:c r="R85" s="34" t="n">
        <x:v>6.687</x:v>
      </x:c>
      <x:c r="S85" s="34" t="n">
        <x:v>6.189</x:v>
      </x:c>
      <x:c r="T85" s="32" t="n">
        <x:v>46236.01248886574</x:v>
      </x:c>
      <x:c r="U85" s="32" t="n">
        <x:v>46237.01248886574</x:v>
      </x:c>
      <x:c r="V85" s="34" t="n">
        <x:v>5</x:v>
      </x:c>
      <x:c r="W85" s="34" t="n">
        <x:v>0.01</x:v>
      </x:c>
      <x:c r="X85" s="34" t="n">
        <x:v>0.01</x:v>
      </x:c>
      <x:c r="Y85" s="34" t="n">
        <x:v>0.001</x:v>
      </x:c>
      <x:c r="Z85" s="30" t="str">
        <x:f>IF(AND(D85="TRADING",I85&lt;&gt;"",L85&lt;&gt;"",M85&lt;&gt;"",N85&lt;&gt;"",O85&lt;&gt;""),"Yes","No")</x:f>
        <x:v>Yes</x:v>
      </x:c>
      <x:c r="AA85" s="39" t="str">
        <x:v>https://developers.binance.com/en/docs/catalog/core-trading-spot-trading/api/rest-api</x:v>
      </x:c>
    </x:row>
    <x:row r="86">
      <x:c r="A86" s="30" t="str">
        <x:v>AVGOBUSDT</x:v>
      </x:c>
      <x:c r="B86" s="30" t="str">
        <x:v>AVGOB</x:v>
      </x:c>
      <x:c r="C86" s="30" t="str">
        <x:v>USDT</x:v>
      </x:c>
      <x:c r="D86" s="30" t="str">
        <x:v>TRADING</x:v>
      </x:c>
      <x:c r="E86" s="31" t="b">
        <x:v>1</x:v>
      </x:c>
      <x:c r="F86" s="32" t="n">
        <x:v>46218</x:v>
      </x:c>
      <x:c r="G86" s="32" t="n">
        <x:v>46218.999999988424</x:v>
      </x:c>
      <x:c r="H86" s="33" t="n">
        <x:f>IF(F86="","",('Summary'!$B$5-F86)/365.25)</x:f>
        <x:v>0.05205336432428463</x:v>
      </x:c>
      <x:c r="I86" s="34" t="n">
        <x:v>393.49</x:v>
      </x:c>
      <x:c r="J86" s="35" t="n">
        <x:v>0.01141</x:v>
      </x:c>
      <x:c r="K86" s="36" t="n">
        <x:v>101.457</x:v>
      </x:c>
      <x:c r="L86" s="36" t="n">
        <x:v>39874.80971</x:v>
      </x:c>
      <x:c r="M86" s="37" t="n">
        <x:v>690</x:v>
      </x:c>
      <x:c r="N86" s="34" t="n">
        <x:v>392.79</x:v>
      </x:c>
      <x:c r="O86" s="34" t="n">
        <x:v>393.56</x:v>
      </x:c>
      <x:c r="P86" s="38" t="n">
        <x:f>IF(OR(N86="",O86="",N86=0,O86=0),"",(O86-N86)/((O86+N86)/2))</x:f>
        <x:v>0.001958415463851928</x:v>
      </x:c>
      <x:c r="Q86" s="34" t="n">
        <x:v>393.02176991</x:v>
      </x:c>
      <x:c r="R86" s="34" t="n">
        <x:v>396.32</x:v>
      </x:c>
      <x:c r="S86" s="34" t="n">
        <x:v>388.92</x:v>
      </x:c>
      <x:c r="T86" s="32" t="n">
        <x:v>46236.01248131944</x:v>
      </x:c>
      <x:c r="U86" s="32" t="n">
        <x:v>46237.01248131944</x:v>
      </x:c>
      <x:c r="V86" s="34" t="n">
        <x:v>5</x:v>
      </x:c>
      <x:c r="W86" s="34" t="n">
        <x:v>0.001</x:v>
      </x:c>
      <x:c r="X86" s="34" t="n">
        <x:v>0.001</x:v>
      </x:c>
      <x:c r="Y86" s="34" t="n">
        <x:v>0.01</x:v>
      </x:c>
      <x:c r="Z86" s="30" t="str">
        <x:f>IF(AND(D86="TRADING",I86&lt;&gt;"",L86&lt;&gt;"",M86&lt;&gt;"",N86&lt;&gt;"",O86&lt;&gt;""),"Yes","No")</x:f>
        <x:v>Yes</x:v>
      </x:c>
      <x:c r="AA86" s="39" t="str">
        <x:v>https://developers.binance.com/en/docs/catalog/core-trading-spot-trading/api/rest-api</x:v>
      </x:c>
    </x:row>
    <x:row r="87">
      <x:c r="A87" s="30" t="str">
        <x:v>AVNTUSDT</x:v>
      </x:c>
      <x:c r="B87" s="30" t="str">
        <x:v>AVNT</x:v>
      </x:c>
      <x:c r="C87" s="30" t="str">
        <x:v>USDT</x:v>
      </x:c>
      <x:c r="D87" s="30" t="str">
        <x:v>TRADING</x:v>
      </x:c>
      <x:c r="E87" s="31" t="b">
        <x:v>1</x:v>
      </x:c>
      <x:c r="F87" s="32" t="n">
        <x:v>45915</x:v>
      </x:c>
      <x:c r="G87" s="32" t="n">
        <x:v>45915.999999988424</x:v>
      </x:c>
      <x:c r="H87" s="33" t="n">
        <x:f>IF(F87="","",('Summary'!$B$5-F87)/365.25)</x:f>
        <x:v>0.8816221528253113</x:v>
      </x:c>
      <x:c r="I87" s="34" t="n">
        <x:v>0.0812</x:v>
      </x:c>
      <x:c r="J87" s="35" t="n">
        <x:v>-0.00733</x:v>
      </x:c>
      <x:c r="K87" s="36" t="n">
        <x:v>4320636.3</x:v>
      </x:c>
      <x:c r="L87" s="36" t="n">
        <x:v>355445.90326</x:v>
      </x:c>
      <x:c r="M87" s="37" t="n">
        <x:v>3302</x:v>
      </x:c>
      <x:c r="N87" s="34" t="n">
        <x:v>0.0811</x:v>
      </x:c>
      <x:c r="O87" s="34" t="n">
        <x:v>0.0812</x:v>
      </x:c>
      <x:c r="P87" s="38" t="n">
        <x:f>IF(OR(N87="",O87="",N87=0,O87=0),"",(O87-N87)/((O87+N87)/2))</x:f>
        <x:v>0.00123228589032642</x:v>
      </x:c>
      <x:c r="Q87" s="34" t="n">
        <x:v>0.08226703</x:v>
      </x:c>
      <x:c r="R87" s="34" t="n">
        <x:v>0.0836</x:v>
      </x:c>
      <x:c r="S87" s="34" t="n">
        <x:v>0.0812</x:v>
      </x:c>
      <x:c r="T87" s="32" t="n">
        <x:v>46236.01193425926</x:v>
      </x:c>
      <x:c r="U87" s="32" t="n">
        <x:v>46237.01193425926</x:v>
      </x:c>
      <x:c r="V87" s="34" t="n">
        <x:v>5</x:v>
      </x:c>
      <x:c r="W87" s="34" t="n">
        <x:v>0.1</x:v>
      </x:c>
      <x:c r="X87" s="34" t="n">
        <x:v>0.1</x:v>
      </x:c>
      <x:c r="Y87" s="34" t="n">
        <x:v>0.0001</x:v>
      </x:c>
      <x:c r="Z87" s="30" t="str">
        <x:f>IF(AND(D87="TRADING",I87&lt;&gt;"",L87&lt;&gt;"",M87&lt;&gt;"",N87&lt;&gt;"",O87&lt;&gt;""),"Yes","No")</x:f>
        <x:v>Yes</x:v>
      </x:c>
      <x:c r="AA87" s="39" t="str">
        <x:v>https://developers.binance.com/en/docs/catalog/core-trading-spot-trading/api/rest-api</x:v>
      </x:c>
    </x:row>
    <x:row r="88">
      <x:c r="A88" s="30" t="str">
        <x:v>AWEUSDT</x:v>
      </x:c>
      <x:c r="B88" s="30" t="str">
        <x:v>AWE</x:v>
      </x:c>
      <x:c r="C88" s="30" t="str">
        <x:v>USDT</x:v>
      </x:c>
      <x:c r="D88" s="30" t="str">
        <x:v>TRADING</x:v>
      </x:c>
      <x:c r="E88" s="31" t="b">
        <x:v>1</x:v>
      </x:c>
      <x:c r="F88" s="32" t="n">
        <x:v>45798</x:v>
      </x:c>
      <x:c r="G88" s="32" t="n">
        <x:v>45798.999999988424</x:v>
      </x:c>
      <x:c r="H88" s="33" t="n">
        <x:f>IF(F88="","",('Summary'!$B$5-F88)/365.25)</x:f>
        <x:v>1.2019506949197671</x:v>
      </x:c>
      <x:c r="I88" s="34" t="n">
        <x:v>0.05853</x:v>
      </x:c>
      <x:c r="J88" s="35" t="n">
        <x:v>0.00757</x:v>
      </x:c>
      <x:c r="K88" s="36" t="n">
        <x:v>2672712</x:v>
      </x:c>
      <x:c r="L88" s="36" t="n">
        <x:v>156144.35798</x:v>
      </x:c>
      <x:c r="M88" s="37" t="n">
        <x:v>2498</x:v>
      </x:c>
      <x:c r="N88" s="34" t="n">
        <x:v>0.05853</x:v>
      </x:c>
      <x:c r="O88" s="34" t="n">
        <x:v>0.05862</x:v>
      </x:c>
      <x:c r="P88" s="38" t="n">
        <x:f>IF(OR(N88="",O88="",N88=0,O88=0),"",(O88-N88)/((O88+N88)/2))</x:f>
        <x:v>0.0015364916773367443</x:v>
      </x:c>
      <x:c r="Q88" s="34" t="n">
        <x:v>0.05842169</x:v>
      </x:c>
      <x:c r="R88" s="34" t="n">
        <x:v>0.0593</x:v>
      </x:c>
      <x:c r="S88" s="34" t="n">
        <x:v>0.05756</x:v>
      </x:c>
      <x:c r="T88" s="32" t="n">
        <x:v>46236.01248290509</x:v>
      </x:c>
      <x:c r="U88" s="32" t="n">
        <x:v>46237.01248290509</x:v>
      </x:c>
      <x:c r="V88" s="34" t="n">
        <x:v>5</x:v>
      </x:c>
      <x:c r="W88" s="34" t="n">
        <x:v>1</x:v>
      </x:c>
      <x:c r="X88" s="34" t="n">
        <x:v>1</x:v>
      </x:c>
      <x:c r="Y88" s="34" t="n">
        <x:v>0.00001</x:v>
      </x:c>
      <x:c r="Z88" s="30" t="str">
        <x:f>IF(AND(D88="TRADING",I88&lt;&gt;"",L88&lt;&gt;"",M88&lt;&gt;"",N88&lt;&gt;"",O88&lt;&gt;""),"Yes","No")</x:f>
        <x:v>Yes</x:v>
      </x:c>
      <x:c r="AA88" s="39" t="str">
        <x:v>https://developers.binance.com/en/docs/catalog/core-trading-spot-trading/api/rest-api</x:v>
      </x:c>
    </x:row>
    <x:row r="89">
      <x:c r="A89" s="30" t="str">
        <x:v>AXLUSDT</x:v>
      </x:c>
      <x:c r="B89" s="30" t="str">
        <x:v>AXL</x:v>
      </x:c>
      <x:c r="C89" s="30" t="str">
        <x:v>USDT</x:v>
      </x:c>
      <x:c r="D89" s="30" t="str">
        <x:v>TRADING</x:v>
      </x:c>
      <x:c r="E89" s="31" t="b">
        <x:v>1</x:v>
      </x:c>
      <x:c r="F89" s="32" t="n">
        <x:v>45352</x:v>
      </x:c>
      <x:c r="G89" s="32" t="n">
        <x:v>45352.999999988424</x:v>
      </x:c>
      <x:c r="H89" s="33" t="n">
        <x:f>IF(F89="","",('Summary'!$B$5-F89)/365.25)</x:f>
        <x:v>2.4230321459806845</x:v>
      </x:c>
      <x:c r="I89" s="34" t="n">
        <x:v>0.0366</x:v>
      </x:c>
      <x:c r="J89" s="35" t="n">
        <x:v>-0.00272</x:v>
      </x:c>
      <x:c r="K89" s="36" t="n">
        <x:v>4630726.67</x:v>
      </x:c>
      <x:c r="L89" s="36" t="n">
        <x:v>169110.854265</x:v>
      </x:c>
      <x:c r="M89" s="37" t="n">
        <x:v>2863</x:v>
      </x:c>
      <x:c r="N89" s="34" t="n">
        <x:v>0.0365</x:v>
      </x:c>
      <x:c r="O89" s="34" t="n">
        <x:v>0.0366</x:v>
      </x:c>
      <x:c r="P89" s="38" t="n">
        <x:f>IF(OR(N89="",O89="",N89=0,O89=0),"",(O89-N89)/((O89+N89)/2))</x:f>
        <x:v>0.002735978112175181</x:v>
      </x:c>
      <x:c r="Q89" s="34" t="n">
        <x:v>0.03651929</x:v>
      </x:c>
      <x:c r="R89" s="34" t="n">
        <x:v>0.0375</x:v>
      </x:c>
      <x:c r="S89" s="34" t="n">
        <x:v>0.036</x:v>
      </x:c>
      <x:c r="T89" s="32" t="n">
        <x:v>46236.01225710648</x:v>
      </x:c>
      <x:c r="U89" s="32" t="n">
        <x:v>46237.01225710648</x:v>
      </x:c>
      <x:c r="V89" s="34" t="n">
        <x:v>5</x:v>
      </x:c>
      <x:c r="W89" s="34" t="n">
        <x:v>0.01</x:v>
      </x:c>
      <x:c r="X89" s="34" t="n">
        <x:v>0.01</x:v>
      </x:c>
      <x:c r="Y89" s="34" t="n">
        <x:v>0.0001</x:v>
      </x:c>
      <x:c r="Z89" s="30" t="str">
        <x:f>IF(AND(D89="TRADING",I89&lt;&gt;"",L89&lt;&gt;"",M89&lt;&gt;"",N89&lt;&gt;"",O89&lt;&gt;""),"Yes","No")</x:f>
        <x:v>Yes</x:v>
      </x:c>
      <x:c r="AA89" s="39" t="str">
        <x:v>https://developers.binance.com/en/docs/catalog/core-trading-spot-trading/api/rest-api</x:v>
      </x:c>
    </x:row>
    <x:row r="90">
      <x:c r="A90" s="30" t="str">
        <x:v>AXSUSDT</x:v>
      </x:c>
      <x:c r="B90" s="30" t="str">
        <x:v>AXS</x:v>
      </x:c>
      <x:c r="C90" s="30" t="str">
        <x:v>USDT</x:v>
      </x:c>
      <x:c r="D90" s="30" t="str">
        <x:v>TRADING</x:v>
      </x:c>
      <x:c r="E90" s="31" t="b">
        <x:v>1</x:v>
      </x:c>
      <x:c r="F90" s="32" t="n">
        <x:v>44139</x:v>
      </x:c>
      <x:c r="G90" s="32" t="n">
        <x:v>44139.999999988424</x:v>
      </x:c>
      <x:c r="H90" s="33" t="n">
        <x:f>IF(F90="","",('Summary'!$B$5-F90)/365.25)</x:f>
        <x:v>5.744045150771923</x:v>
      </x:c>
      <x:c r="I90" s="34" t="n">
        <x:v>0.831</x:v>
      </x:c>
      <x:c r="J90" s="35" t="n">
        <x:v>0.00241</x:v>
      </x:c>
      <x:c r="K90" s="36" t="n">
        <x:v>298397.95</x:v>
      </x:c>
      <x:c r="L90" s="36" t="n">
        <x:v>247758.61814</x:v>
      </x:c>
      <x:c r="M90" s="37" t="n">
        <x:v>2229</x:v>
      </x:c>
      <x:c r="N90" s="34" t="n">
        <x:v>0.831</x:v>
      </x:c>
      <x:c r="O90" s="34" t="n">
        <x:v>0.832</x:v>
      </x:c>
      <x:c r="P90" s="38" t="n">
        <x:f>IF(OR(N90="",O90="",N90=0,O90=0),"",(O90-N90)/((O90+N90)/2))</x:f>
        <x:v>0.0012026458208057738</x:v>
      </x:c>
      <x:c r="Q90" s="34" t="n">
        <x:v>0.83029598</x:v>
      </x:c>
      <x:c r="R90" s="34" t="n">
        <x:v>0.836</x:v>
      </x:c>
      <x:c r="S90" s="34" t="n">
        <x:v>0.824</x:v>
      </x:c>
      <x:c r="T90" s="32" t="n">
        <x:v>46236.01248884259</x:v>
      </x:c>
      <x:c r="U90" s="32" t="n">
        <x:v>46237.01248884259</x:v>
      </x:c>
      <x:c r="V90" s="34" t="n">
        <x:v>5</x:v>
      </x:c>
      <x:c r="W90" s="34" t="n">
        <x:v>0.01</x:v>
      </x:c>
      <x:c r="X90" s="34" t="n">
        <x:v>0.01</x:v>
      </x:c>
      <x:c r="Y90" s="34" t="n">
        <x:v>0.001</x:v>
      </x:c>
      <x:c r="Z90" s="30" t="str">
        <x:f>IF(AND(D90="TRADING",I90&lt;&gt;"",L90&lt;&gt;"",M90&lt;&gt;"",N90&lt;&gt;"",O90&lt;&gt;""),"Yes","No")</x:f>
        <x:v>Yes</x:v>
      </x:c>
      <x:c r="AA90" s="39" t="str">
        <x:v>https://developers.binance.com/en/docs/catalog/core-trading-spot-trading/api/rest-api</x:v>
      </x:c>
    </x:row>
    <x:row r="91">
      <x:c r="A91" s="30" t="str">
        <x:v>AXTIBUSDT</x:v>
      </x:c>
      <x:c r="B91" s="30" t="str">
        <x:v>AXTIB</x:v>
      </x:c>
      <x:c r="C91" s="30" t="str">
        <x:v>USDT</x:v>
      </x:c>
      <x:c r="D91" s="30" t="str">
        <x:v>TRADING</x:v>
      </x:c>
      <x:c r="E91" s="31" t="b">
        <x:v>1</x:v>
      </x:c>
      <x:c r="F91" s="32" t="n">
        <x:v>46225</x:v>
      </x:c>
      <x:c r="G91" s="32" t="n">
        <x:v>46225.999999988424</x:v>
      </x:c>
      <x:c r="H91" s="33" t="n">
        <x:f>IF(F91="","",('Summary'!$B$5-F91)/365.25)</x:f>
        <x:v>0.03288840881435992</x:v>
      </x:c>
      <x:c r="I91" s="34" t="n">
        <x:v>63.14</x:v>
      </x:c>
      <x:c r="J91" s="35" t="n">
        <x:v>0.03576</x:v>
      </x:c>
      <x:c r="K91" s="36" t="n">
        <x:v>6978.11</x:v>
      </x:c>
      <x:c r="L91" s="36" t="n">
        <x:v>431589.1316</x:v>
      </x:c>
      <x:c r="M91" s="37" t="n">
        <x:v>4386</x:v>
      </x:c>
      <x:c r="N91" s="34" t="n">
        <x:v>62.95</x:v>
      </x:c>
      <x:c r="O91" s="34" t="n">
        <x:v>63.24</x:v>
      </x:c>
      <x:c r="P91" s="38" t="n">
        <x:f>IF(OR(N91="",O91="",N91=0,O91=0),"",(O91-N91)/((O91+N91)/2))</x:f>
        <x:v>0.0045962437594104</x:v>
      </x:c>
      <x:c r="Q91" s="34" t="n">
        <x:v>61.84900089</x:v>
      </x:c>
      <x:c r="R91" s="34" t="n">
        <x:v>63.2</x:v>
      </x:c>
      <x:c r="S91" s="34" t="n">
        <x:v>60.4</x:v>
      </x:c>
      <x:c r="T91" s="32" t="n">
        <x:v>46236.012444340275</x:v>
      </x:c>
      <x:c r="U91" s="32" t="n">
        <x:v>46237.012444340275</x:v>
      </x:c>
      <x:c r="V91" s="34" t="n">
        <x:v>5</x:v>
      </x:c>
      <x:c r="W91" s="34" t="n">
        <x:v>0.01</x:v>
      </x:c>
      <x:c r="X91" s="34" t="n">
        <x:v>0.01</x:v>
      </x:c>
      <x:c r="Y91" s="34" t="n">
        <x:v>0.01</x:v>
      </x:c>
      <x:c r="Z91" s="30" t="str">
        <x:f>IF(AND(D91="TRADING",I91&lt;&gt;"",L91&lt;&gt;"",M91&lt;&gt;"",N91&lt;&gt;"",O91&lt;&gt;""),"Yes","No")</x:f>
        <x:v>Yes</x:v>
      </x:c>
      <x:c r="AA91" s="39" t="str">
        <x:v>https://developers.binance.com/en/docs/catalog/core-trading-spot-trading/api/rest-api</x:v>
      </x:c>
    </x:row>
    <x:row r="92">
      <x:c r="A92" s="30" t="str">
        <x:v>BABABUSDT</x:v>
      </x:c>
      <x:c r="B92" s="30" t="str">
        <x:v>BABAB</x:v>
      </x:c>
      <x:c r="C92" s="30" t="str">
        <x:v>USDT</x:v>
      </x:c>
      <x:c r="D92" s="30" t="str">
        <x:v>TRADING</x:v>
      </x:c>
      <x:c r="E92" s="31" t="b">
        <x:v>1</x:v>
      </x:c>
      <x:c r="F92" s="32" t="n">
        <x:v>46218</x:v>
      </x:c>
      <x:c r="G92" s="32" t="n">
        <x:v>46218.999999988424</x:v>
      </x:c>
      <x:c r="H92" s="33" t="n">
        <x:f>IF(F92="","",('Summary'!$B$5-F92)/365.25)</x:f>
        <x:v>0.05205336432428463</x:v>
      </x:c>
      <x:c r="I92" s="34" t="n">
        <x:v>123.81</x:v>
      </x:c>
      <x:c r="J92" s="35" t="n">
        <x:v>0.01367</x:v>
      </x:c>
      <x:c r="K92" s="36" t="n">
        <x:v>607.498</x:v>
      </x:c>
      <x:c r="L92" s="36" t="n">
        <x:v>74988.8816</x:v>
      </x:c>
      <x:c r="M92" s="37" t="n">
        <x:v>1934</x:v>
      </x:c>
      <x:c r="N92" s="34" t="n">
        <x:v>123.7</x:v>
      </x:c>
      <x:c r="O92" s="34" t="n">
        <x:v>123.91</x:v>
      </x:c>
      <x:c r="P92" s="38" t="n">
        <x:f>IF(OR(N92="",O92="",N92=0,O92=0),"",(O92-N92)/((O92+N92)/2))</x:f>
        <x:v>0.001696215823270415</x:v>
      </x:c>
      <x:c r="Q92" s="34" t="n">
        <x:v>123.43889461</x:v>
      </x:c>
      <x:c r="R92" s="34" t="n">
        <x:v>124.24</x:v>
      </x:c>
      <x:c r="S92" s="34" t="n">
        <x:v>121.93</x:v>
      </x:c>
      <x:c r="T92" s="32" t="n">
        <x:v>46236.01247908565</x:v>
      </x:c>
      <x:c r="U92" s="32" t="n">
        <x:v>46237.01247908565</x:v>
      </x:c>
      <x:c r="V92" s="34" t="n">
        <x:v>5</x:v>
      </x:c>
      <x:c r="W92" s="34" t="n">
        <x:v>0.001</x:v>
      </x:c>
      <x:c r="X92" s="34" t="n">
        <x:v>0.001</x:v>
      </x:c>
      <x:c r="Y92" s="34" t="n">
        <x:v>0.01</x:v>
      </x:c>
      <x:c r="Z92" s="30" t="str">
        <x:f>IF(AND(D92="TRADING",I92&lt;&gt;"",L92&lt;&gt;"",M92&lt;&gt;"",N92&lt;&gt;"",O92&lt;&gt;""),"Yes","No")</x:f>
        <x:v>Yes</x:v>
      </x:c>
      <x:c r="AA92" s="39" t="str">
        <x:v>https://developers.binance.com/en/docs/catalog/core-trading-spot-trading/api/rest-api</x:v>
      </x:c>
    </x:row>
    <x:row r="93">
      <x:c r="A93" s="30" t="str">
        <x:v>BABYUSDT</x:v>
      </x:c>
      <x:c r="B93" s="30" t="str">
        <x:v>BABY</x:v>
      </x:c>
      <x:c r="C93" s="30" t="str">
        <x:v>USDT</x:v>
      </x:c>
      <x:c r="D93" s="30" t="str">
        <x:v>TRADING</x:v>
      </x:c>
      <x:c r="E93" s="31" t="b">
        <x:v>1</x:v>
      </x:c>
      <x:c r="F93" s="32" t="n">
        <x:v>45757</x:v>
      </x:c>
      <x:c r="G93" s="32" t="n">
        <x:v>45757.999999988424</x:v>
      </x:c>
      <x:c r="H93" s="33" t="n">
        <x:f>IF(F93="","",('Summary'!$B$5-F93)/365.25)</x:f>
        <x:v>1.3142025771921833</x:v>
      </x:c>
      <x:c r="I93" s="34" t="n">
        <x:v>0.01125</x:v>
      </x:c>
      <x:c r="J93" s="35" t="n">
        <x:v>-0.05303</x:v>
      </x:c>
      <x:c r="K93" s="36" t="n">
        <x:v>71082252</x:v>
      </x:c>
      <x:c r="L93" s="36" t="n">
        <x:v>817364.93415</x:v>
      </x:c>
      <x:c r="M93" s="37" t="n">
        <x:v>20560</x:v>
      </x:c>
      <x:c r="N93" s="34" t="n">
        <x:v>0.01125</x:v>
      </x:c>
      <x:c r="O93" s="34" t="n">
        <x:v>0.01126</x:v>
      </x:c>
      <x:c r="P93" s="38" t="n">
        <x:f>IF(OR(N93="",O93="",N93=0,O93=0),"",(O93-N93)/((O93+N93)/2))</x:f>
        <x:v>0.0008884940026654459</x:v>
      </x:c>
      <x:c r="Q93" s="34" t="n">
        <x:v>0.01149886</x:v>
      </x:c>
      <x:c r="R93" s="34" t="n">
        <x:v>0.01203</x:v>
      </x:c>
      <x:c r="S93" s="34" t="n">
        <x:v>0.01116</x:v>
      </x:c>
      <x:c r="T93" s="32" t="n">
        <x:v>46236.012413715274</x:v>
      </x:c>
      <x:c r="U93" s="32" t="n">
        <x:v>46237.012413715274</x:v>
      </x:c>
      <x:c r="V93" s="34" t="n">
        <x:v>5</x:v>
      </x:c>
      <x:c r="W93" s="34" t="n">
        <x:v>1</x:v>
      </x:c>
      <x:c r="X93" s="34" t="n">
        <x:v>1</x:v>
      </x:c>
      <x:c r="Y93" s="34" t="n">
        <x:v>0.00001</x:v>
      </x:c>
      <x:c r="Z93" s="30" t="str">
        <x:f>IF(AND(D93="TRADING",I93&lt;&gt;"",L93&lt;&gt;"",M93&lt;&gt;"",N93&lt;&gt;"",O93&lt;&gt;""),"Yes","No")</x:f>
        <x:v>Yes</x:v>
      </x:c>
      <x:c r="AA93" s="39" t="str">
        <x:v>https://developers.binance.com/en/docs/catalog/core-trading-spot-trading/api/rest-api</x:v>
      </x:c>
    </x:row>
    <x:row r="94">
      <x:c r="A94" s="30" t="str">
        <x:v>BADGERUSDT</x:v>
      </x:c>
      <x:c r="B94" s="30" t="str">
        <x:v>BADGER</x:v>
      </x:c>
      <x:c r="C94" s="30" t="str">
        <x:v>USDT</x:v>
      </x:c>
      <x:c r="D94" s="30" t="str">
        <x:v>BREAK</x:v>
      </x:c>
      <x:c r="E94" s="31" t="b">
        <x:v>1</x:v>
      </x:c>
      <x:c r="F94" s="32" t="n">
        <x:v>44257</x:v>
      </x:c>
      <x:c r="G94" s="32" t="n">
        <x:v>44257.999999988424</x:v>
      </x:c>
      <x:c r="H94" s="33" t="n">
        <x:f>IF(F94="","",('Summary'!$B$5-F94)/365.25)</x:f>
        <x:v>5.420978757890335</x:v>
      </x:c>
      <x:c r="I94" s="34" t="n">
        <x:v>0.762</x:v>
      </x:c>
      <x:c r="J94" s="35" t="n">
        <x:v>-0.07412</x:v>
      </x:c>
      <x:c r="K94" s="36" t="n">
        <x:v>232079.55</x:v>
      </x:c>
      <x:c r="L94" s="36" t="n">
        <x:v>183491.40946</x:v>
      </x:c>
      <x:c r="M94" s="37" t="n">
        <x:v>4001</x:v>
      </x:c>
      <x:c r="N94" s="34" t="n">
        <x:v>0</x:v>
      </x:c>
      <x:c r="O94" s="34" t="n">
        <x:v>0</x:v>
      </x:c>
      <x:c r="P94" s="38" t="str">
        <x:f>IF(OR(N94="",O94="",N94=0,O94=0),"",(O94-N94)/((O94+N94)/2))</x:f>
      </x:c>
      <x:c r="Q94" s="34" t="n">
        <x:v>0.79064015</x:v>
      </x:c>
      <x:c r="R94" s="34" t="n">
        <x:v>0.834</x:v>
      </x:c>
      <x:c r="S94" s="34" t="n">
        <x:v>0.74</x:v>
      </x:c>
      <x:c r="T94" s="32" t="n">
        <x:v>46209.26112309028</x:v>
      </x:c>
      <x:c r="U94" s="32" t="n">
        <x:v>46210.26112309028</x:v>
      </x:c>
      <x:c r="V94" s="34" t="n">
        <x:v>5</x:v>
      </x:c>
      <x:c r="W94" s="34" t="n">
        <x:v>0.01</x:v>
      </x:c>
      <x:c r="X94" s="34" t="n">
        <x:v>0.01</x:v>
      </x:c>
      <x:c r="Y94" s="34" t="n">
        <x:v>0.001</x:v>
      </x:c>
      <x:c r="Z94" s="30" t="str">
        <x:f>IF(AND(D94="TRADING",I94&lt;&gt;"",L94&lt;&gt;"",M94&lt;&gt;"",N94&lt;&gt;"",O94&lt;&gt;""),"Yes","No")</x:f>
        <x:v>No</x:v>
      </x:c>
      <x:c r="AA94" s="39" t="str">
        <x:v>https://developers.binance.com/en/docs/catalog/core-trading-spot-trading/api/rest-api</x:v>
      </x:c>
    </x:row>
    <x:row r="95">
      <x:c r="A95" s="30" t="str">
        <x:v>BAKEUSDT</x:v>
      </x:c>
      <x:c r="B95" s="30" t="str">
        <x:v>BAKE</x:v>
      </x:c>
      <x:c r="C95" s="30" t="str">
        <x:v>USDT</x:v>
      </x:c>
      <x:c r="D95" s="30" t="str">
        <x:v>BREAK</x:v>
      </x:c>
      <x:c r="E95" s="31" t="b">
        <x:v>1</x:v>
      </x:c>
      <x:c r="F95" s="32" t="n">
        <x:v>44316</x:v>
      </x:c>
      <x:c r="G95" s="32" t="n">
        <x:v>44316.999999988424</x:v>
      </x:c>
      <x:c r="H95" s="33" t="n">
        <x:f>IF(F95="","",('Summary'!$B$5-F95)/365.25)</x:f>
        <x:v>5.2594455614495415</x:v>
      </x:c>
      <x:c r="I95" s="34" t="n">
        <x:v>0.0519</x:v>
      </x:c>
      <x:c r="J95" s="35" t="n">
        <x:v>0.02165</x:v>
      </x:c>
      <x:c r="K95" s="36" t="n">
        <x:v>13600840.9</x:v>
      </x:c>
      <x:c r="L95" s="36" t="n">
        <x:v>711688.37986</x:v>
      </x:c>
      <x:c r="M95" s="37" t="n">
        <x:v>4001</x:v>
      </x:c>
      <x:c r="N95" s="34" t="n">
        <x:v>0</x:v>
      </x:c>
      <x:c r="O95" s="34" t="n">
        <x:v>0</x:v>
      </x:c>
      <x:c r="P95" s="38" t="str">
        <x:f>IF(OR(N95="",O95="",N95=0,O95=0),"",(O95-N95)/((O95+N95)/2))</x:f>
      </x:c>
      <x:c r="Q95" s="34" t="n">
        <x:v>0.05232679</x:v>
      </x:c>
      <x:c r="R95" s="34" t="n">
        <x:v>0.0555</x:v>
      </x:c>
      <x:c r="S95" s="34" t="n">
        <x:v>0.0491</x:v>
      </x:c>
      <x:c r="T95" s="32" t="n">
        <x:v>46209.26112309028</x:v>
      </x:c>
      <x:c r="U95" s="32" t="n">
        <x:v>46210.26112309028</x:v>
      </x:c>
      <x:c r="V95" s="34" t="n">
        <x:v>5</x:v>
      </x:c>
      <x:c r="W95" s="34" t="n">
        <x:v>0.1</x:v>
      </x:c>
      <x:c r="X95" s="34" t="n">
        <x:v>0.1</x:v>
      </x:c>
      <x:c r="Y95" s="34" t="n">
        <x:v>0.0001</x:v>
      </x:c>
      <x:c r="Z95" s="30" t="str">
        <x:f>IF(AND(D95="TRADING",I95&lt;&gt;"",L95&lt;&gt;"",M95&lt;&gt;"",N95&lt;&gt;"",O95&lt;&gt;""),"Yes","No")</x:f>
        <x:v>No</x:v>
      </x:c>
      <x:c r="AA95" s="39" t="str">
        <x:v>https://developers.binance.com/en/docs/catalog/core-trading-spot-trading/api/rest-api</x:v>
      </x:c>
    </x:row>
    <x:row r="96">
      <x:c r="A96" s="30" t="str">
        <x:v>BALUSDT</x:v>
      </x:c>
      <x:c r="B96" s="30" t="str">
        <x:v>BAL</x:v>
      </x:c>
      <x:c r="C96" s="30" t="str">
        <x:v>USDT</x:v>
      </x:c>
      <x:c r="D96" s="30" t="str">
        <x:v>BREAK</x:v>
      </x:c>
      <x:c r="E96" s="31" t="b">
        <x:v>1</x:v>
      </x:c>
      <x:c r="F96" s="32" t="n">
        <x:v>44054</x:v>
      </x:c>
      <x:c r="G96" s="32" t="n">
        <x:v>44054.999999988424</x:v>
      </x:c>
      <x:c r="H96" s="33" t="n">
        <x:f>IF(F96="","",('Summary'!$B$5-F96)/365.25)</x:f>
        <x:v>5.976762467678152</x:v>
      </x:c>
      <x:c r="I96" s="34" t="n">
        <x:v>0.967</x:v>
      </x:c>
      <x:c r="J96" s="35" t="n">
        <x:v>-0.03685</x:v>
      </x:c>
      <x:c r="K96" s="36" t="n">
        <x:v>239235.66</x:v>
      </x:c>
      <x:c r="L96" s="36" t="n">
        <x:v>231043.32076</x:v>
      </x:c>
      <x:c r="M96" s="37" t="n">
        <x:v>4001</x:v>
      </x:c>
      <x:c r="N96" s="34" t="n">
        <x:v>0</x:v>
      </x:c>
      <x:c r="O96" s="34" t="n">
        <x:v>0</x:v>
      </x:c>
      <x:c r="P96" s="38" t="str">
        <x:f>IF(OR(N96="",O96="",N96=0,O96=0),"",(O96-N96)/((O96+N96)/2))</x:f>
      </x:c>
      <x:c r="Q96" s="34" t="n">
        <x:v>0.9657562</x:v>
      </x:c>
      <x:c r="R96" s="34" t="n">
        <x:v>1.004</x:v>
      </x:c>
      <x:c r="S96" s="34" t="n">
        <x:v>0.921</x:v>
      </x:c>
      <x:c r="T96" s="32" t="n">
        <x:v>46209.26112309028</x:v>
      </x:c>
      <x:c r="U96" s="32" t="n">
        <x:v>46210.26112309028</x:v>
      </x:c>
      <x:c r="V96" s="34" t="n">
        <x:v>5</x:v>
      </x:c>
      <x:c r="W96" s="34" t="n">
        <x:v>0.01</x:v>
      </x:c>
      <x:c r="X96" s="34" t="n">
        <x:v>0.01</x:v>
      </x:c>
      <x:c r="Y96" s="34" t="n">
        <x:v>0.001</x:v>
      </x:c>
      <x:c r="Z96" s="30" t="str">
        <x:f>IF(AND(D96="TRADING",I96&lt;&gt;"",L96&lt;&gt;"",M96&lt;&gt;"",N96&lt;&gt;"",O96&lt;&gt;""),"Yes","No")</x:f>
        <x:v>No</x:v>
      </x:c>
      <x:c r="AA96" s="39" t="str">
        <x:v>https://developers.binance.com/en/docs/catalog/core-trading-spot-trading/api/rest-api</x:v>
      </x:c>
    </x:row>
    <x:row r="97">
      <x:c r="A97" s="30" t="str">
        <x:v>BANANAS31USDT</x:v>
      </x:c>
      <x:c r="B97" s="30" t="str">
        <x:v>BANANAS31</x:v>
      </x:c>
      <x:c r="C97" s="30" t="str">
        <x:v>USDT</x:v>
      </x:c>
      <x:c r="D97" s="30" t="str">
        <x:v>TRADING</x:v>
      </x:c>
      <x:c r="E97" s="31" t="b">
        <x:v>1</x:v>
      </x:c>
      <x:c r="F97" s="32" t="n">
        <x:v>45743</x:v>
      </x:c>
      <x:c r="G97" s="32" t="n">
        <x:v>45743.999999988424</x:v>
      </x:c>
      <x:c r="H97" s="33" t="n">
        <x:f>IF(F97="","",('Summary'!$B$5-F97)/365.25)</x:f>
        <x:v>1.3525324882120326</x:v>
      </x:c>
      <x:c r="I97" s="34" t="n">
        <x:v>0.007128</x:v>
      </x:c>
      <x:c r="J97" s="35" t="n">
        <x:v>0.02062</x:v>
      </x:c>
      <x:c r="K97" s="36" t="n">
        <x:v>25909403</x:v>
      </x:c>
      <x:c r="L97" s="36" t="n">
        <x:v>185400.476342</x:v>
      </x:c>
      <x:c r="M97" s="37" t="n">
        <x:v>4563</x:v>
      </x:c>
      <x:c r="N97" s="34" t="n">
        <x:v>0.007132</x:v>
      </x:c>
      <x:c r="O97" s="34" t="n">
        <x:v>0.007137</x:v>
      </x:c>
      <x:c r="P97" s="38" t="n">
        <x:f>IF(OR(N97="",O97="",N97=0,O97=0),"",(O97-N97)/((O97+N97)/2))</x:f>
        <x:v>0.0007008199593524138</x:v>
      </x:c>
      <x:c r="Q97" s="34" t="n">
        <x:v>0.00715572</x:v>
      </x:c>
      <x:c r="R97" s="34" t="n">
        <x:v>0.007315</x:v>
      </x:c>
      <x:c r="S97" s="34" t="n">
        <x:v>0.006978</x:v>
      </x:c>
      <x:c r="T97" s="32" t="n">
        <x:v>46236.01232047454</x:v>
      </x:c>
      <x:c r="U97" s="32" t="n">
        <x:v>46237.01232047454</x:v>
      </x:c>
      <x:c r="V97" s="34" t="n">
        <x:v>1</x:v>
      </x:c>
      <x:c r="W97" s="34" t="n">
        <x:v>1</x:v>
      </x:c>
      <x:c r="X97" s="34" t="n">
        <x:v>1</x:v>
      </x:c>
      <x:c r="Y97" s="34" t="n">
        <x:v>0.000001</x:v>
      </x:c>
      <x:c r="Z97" s="30" t="str">
        <x:f>IF(AND(D97="TRADING",I97&lt;&gt;"",L97&lt;&gt;"",M97&lt;&gt;"",N97&lt;&gt;"",O97&lt;&gt;""),"Yes","No")</x:f>
        <x:v>Yes</x:v>
      </x:c>
      <x:c r="AA97" s="39" t="str">
        <x:v>https://developers.binance.com/en/docs/catalog/core-trading-spot-trading/api/rest-api</x:v>
      </x:c>
    </x:row>
    <x:row r="98">
      <x:c r="A98" s="30" t="str">
        <x:v>BANANAUSDT</x:v>
      </x:c>
      <x:c r="B98" s="30" t="str">
        <x:v>BANANA</x:v>
      </x:c>
      <x:c r="C98" s="30" t="str">
        <x:v>USDT</x:v>
      </x:c>
      <x:c r="D98" s="30" t="str">
        <x:v>TRADING</x:v>
      </x:c>
      <x:c r="E98" s="31" t="b">
        <x:v>1</x:v>
      </x:c>
      <x:c r="F98" s="32" t="n">
        <x:v>45493</x:v>
      </x:c>
      <x:c r="G98" s="32" t="n">
        <x:v>45493.999999988424</x:v>
      </x:c>
      <x:c r="H98" s="33" t="n">
        <x:f>IF(F98="","",('Summary'!$B$5-F98)/365.25)</x:f>
        <x:v>2.036995184995058</x:v>
      </x:c>
      <x:c r="I98" s="34" t="n">
        <x:v>3.505</x:v>
      </x:c>
      <x:c r="J98" s="35" t="n">
        <x:v>-0.033639999999999996</x:v>
      </x:c>
      <x:c r="K98" s="36" t="n">
        <x:v>65737.405</x:v>
      </x:c>
      <x:c r="L98" s="36" t="n">
        <x:v>235997.381915</x:v>
      </x:c>
      <x:c r="M98" s="37" t="n">
        <x:v>2961</x:v>
      </x:c>
      <x:c r="N98" s="34" t="n">
        <x:v>3.512</x:v>
      </x:c>
      <x:c r="O98" s="34" t="n">
        <x:v>3.516</x:v>
      </x:c>
      <x:c r="P98" s="38" t="n">
        <x:f>IF(OR(N98="",O98="",N98=0,O98=0),"",(O98-N98)/((O98+N98)/2))</x:f>
        <x:v>0.0011383039271485496</x:v>
      </x:c>
      <x:c r="Q98" s="34" t="n">
        <x:v>3.59000149</x:v>
      </x:c>
      <x:c r="R98" s="34" t="n">
        <x:v>3.683</x:v>
      </x:c>
      <x:c r="S98" s="34" t="n">
        <x:v>3.504</x:v>
      </x:c>
      <x:c r="T98" s="32" t="n">
        <x:v>46236.01230032407</x:v>
      </x:c>
      <x:c r="U98" s="32" t="n">
        <x:v>46237.01230032407</x:v>
      </x:c>
      <x:c r="V98" s="34" t="n">
        <x:v>5</x:v>
      </x:c>
      <x:c r="W98" s="34" t="n">
        <x:v>0.001</x:v>
      </x:c>
      <x:c r="X98" s="34" t="n">
        <x:v>0.001</x:v>
      </x:c>
      <x:c r="Y98" s="34" t="n">
        <x:v>0.001</x:v>
      </x:c>
      <x:c r="Z98" s="30" t="str">
        <x:f>IF(AND(D98="TRADING",I98&lt;&gt;"",L98&lt;&gt;"",M98&lt;&gt;"",N98&lt;&gt;"",O98&lt;&gt;""),"Yes","No")</x:f>
        <x:v>Yes</x:v>
      </x:c>
      <x:c r="AA98" s="39" t="str">
        <x:v>https://developers.binance.com/en/docs/catalog/core-trading-spot-trading/api/rest-api</x:v>
      </x:c>
    </x:row>
    <x:row r="99">
      <x:c r="A99" s="30" t="str">
        <x:v>BANDUSDT</x:v>
      </x:c>
      <x:c r="B99" s="30" t="str">
        <x:v>BAND</x:v>
      </x:c>
      <x:c r="C99" s="30" t="str">
        <x:v>USDT</x:v>
      </x:c>
      <x:c r="D99" s="30" t="str">
        <x:v>TRADING</x:v>
      </x:c>
      <x:c r="E99" s="31" t="b">
        <x:v>1</x:v>
      </x:c>
      <x:c r="F99" s="32" t="n">
        <x:v>43726</x:v>
      </x:c>
      <x:c r="G99" s="32" t="n">
        <x:v>43726.999999988424</x:v>
      </x:c>
      <x:c r="H99" s="33" t="n">
        <x:f>IF(F99="","",('Summary'!$B$5-F99)/365.25)</x:f>
        <x:v>6.874777525857481</x:v>
      </x:c>
      <x:c r="I99" s="34" t="n">
        <x:v>0.1526</x:v>
      </x:c>
      <x:c r="J99" s="35" t="n">
        <x:v>-0.03904</x:v>
      </x:c>
      <x:c r="K99" s="36" t="n">
        <x:v>573818.5</x:v>
      </x:c>
      <x:c r="L99" s="36" t="n">
        <x:v>89256.26837</x:v>
      </x:c>
      <x:c r="M99" s="37" t="n">
        <x:v>2266</x:v>
      </x:c>
      <x:c r="N99" s="34" t="n">
        <x:v>0.1526</x:v>
      </x:c>
      <x:c r="O99" s="34" t="n">
        <x:v>0.1527</x:v>
      </x:c>
      <x:c r="P99" s="38" t="n">
        <x:f>IF(OR(N99="",O99="",N99=0,O99=0),"",(O99-N99)/((O99+N99)/2))</x:f>
        <x:v>0.0006550933508024172</x:v>
      </x:c>
      <x:c r="Q99" s="34" t="n">
        <x:v>0.15554791</x:v>
      </x:c>
      <x:c r="R99" s="34" t="n">
        <x:v>0.1595</x:v>
      </x:c>
      <x:c r="S99" s="34" t="n">
        <x:v>0.1525</x:v>
      </x:c>
      <x:c r="T99" s="32" t="n">
        <x:v>46236.01149641204</x:v>
      </x:c>
      <x:c r="U99" s="32" t="n">
        <x:v>46237.01149641204</x:v>
      </x:c>
      <x:c r="V99" s="34" t="n">
        <x:v>5</x:v>
      </x:c>
      <x:c r="W99" s="34" t="n">
        <x:v>0.1</x:v>
      </x:c>
      <x:c r="X99" s="34" t="n">
        <x:v>0.1</x:v>
      </x:c>
      <x:c r="Y99" s="34" t="n">
        <x:v>0.0001</x:v>
      </x:c>
      <x:c r="Z99" s="30" t="str">
        <x:f>IF(AND(D99="TRADING",I99&lt;&gt;"",L99&lt;&gt;"",M99&lt;&gt;"",N99&lt;&gt;"",O99&lt;&gt;""),"Yes","No")</x:f>
        <x:v>Yes</x:v>
      </x:c>
      <x:c r="AA99" s="39" t="str">
        <x:v>https://developers.binance.com/en/docs/catalog/core-trading-spot-trading/api/rest-api</x:v>
      </x:c>
    </x:row>
    <x:row r="100">
      <x:c r="A100" s="30" t="str">
        <x:v>BANKUSDT</x:v>
      </x:c>
      <x:c r="B100" s="30" t="str">
        <x:v>BANK</x:v>
      </x:c>
      <x:c r="C100" s="30" t="str">
        <x:v>USDT</x:v>
      </x:c>
      <x:c r="D100" s="30" t="str">
        <x:v>TRADING</x:v>
      </x:c>
      <x:c r="E100" s="31" t="b">
        <x:v>1</x:v>
      </x:c>
      <x:c r="F100" s="32" t="n">
        <x:v>45974</x:v>
      </x:c>
      <x:c r="G100" s="32" t="n">
        <x:v>45974.999999988424</x:v>
      </x:c>
      <x:c r="H100" s="33" t="n">
        <x:f>IF(F100="","",('Summary'!$B$5-F100)/365.25)</x:f>
        <x:v>0.7200889563845173</x:v>
      </x:c>
      <x:c r="I100" s="34" t="n">
        <x:v>0.045</x:v>
      </x:c>
      <x:c r="J100" s="35" t="n">
        <x:v>-0.11936999999999999</x:v>
      </x:c>
      <x:c r="K100" s="36" t="n">
        <x:v>254195415</x:v>
      </x:c>
      <x:c r="L100" s="36" t="n">
        <x:v>12215106.29735</x:v>
      </x:c>
      <x:c r="M100" s="37" t="n">
        <x:v>84775</x:v>
      </x:c>
      <x:c r="N100" s="34" t="n">
        <x:v>0.045</x:v>
      </x:c>
      <x:c r="O100" s="34" t="n">
        <x:v>0.0451</x:v>
      </x:c>
      <x:c r="P100" s="38" t="n">
        <x:f>IF(OR(N100="",O100="",N100=0,O100=0),"",(O100-N100)/((O100+N100)/2))</x:f>
        <x:v>0.0022197558268591093</x:v>
      </x:c>
      <x:c r="Q100" s="34" t="n">
        <x:v>0.048054</x:v>
      </x:c>
      <x:c r="R100" s="34" t="n">
        <x:v>0.0511</x:v>
      </x:c>
      <x:c r="S100" s="34" t="n">
        <x:v>0.0439</x:v>
      </x:c>
      <x:c r="T100" s="32" t="n">
        <x:v>46236.01247609954</x:v>
      </x:c>
      <x:c r="U100" s="32" t="n">
        <x:v>46237.01247609954</x:v>
      </x:c>
      <x:c r="V100" s="34" t="n">
        <x:v>5</x:v>
      </x:c>
      <x:c r="W100" s="34" t="n">
        <x:v>0.1</x:v>
      </x:c>
      <x:c r="X100" s="34" t="n">
        <x:v>0.1</x:v>
      </x:c>
      <x:c r="Y100" s="34" t="n">
        <x:v>0.0001</x:v>
      </x:c>
      <x:c r="Z100" s="30" t="str">
        <x:f>IF(AND(D100="TRADING",I100&lt;&gt;"",L100&lt;&gt;"",M100&lt;&gt;"",N100&lt;&gt;"",O100&lt;&gt;""),"Yes","No")</x:f>
        <x:v>Yes</x:v>
      </x:c>
      <x:c r="AA100" s="39" t="str">
        <x:v>https://developers.binance.com/en/docs/catalog/core-trading-spot-trading/api/rest-api</x:v>
      </x:c>
    </x:row>
    <x:row r="101">
      <x:c r="A101" s="30" t="str">
        <x:v>BARDUSDT</x:v>
      </x:c>
      <x:c r="B101" s="30" t="str">
        <x:v>BARD</x:v>
      </x:c>
      <x:c r="C101" s="30" t="str">
        <x:v>USDT</x:v>
      </x:c>
      <x:c r="D101" s="30" t="str">
        <x:v>TRADING</x:v>
      </x:c>
      <x:c r="E101" s="31" t="b">
        <x:v>1</x:v>
      </x:c>
      <x:c r="F101" s="32" t="n">
        <x:v>45918</x:v>
      </x:c>
      <x:c r="G101" s="32" t="n">
        <x:v>45918.999999988424</x:v>
      </x:c>
      <x:c r="H101" s="33" t="n">
        <x:f>IF(F101="","",('Summary'!$B$5-F101)/365.25)</x:f>
        <x:v>0.873408600463915</x:v>
      </x:c>
      <x:c r="I101" s="34" t="n">
        <x:v>0.1063</x:v>
      </x:c>
      <x:c r="J101" s="35" t="n">
        <x:v>-0.029220000000000003</x:v>
      </x:c>
      <x:c r="K101" s="36" t="n">
        <x:v>3473194.7</x:v>
      </x:c>
      <x:c r="L101" s="36" t="n">
        <x:v>375545.47104</x:v>
      </x:c>
      <x:c r="M101" s="37" t="n">
        <x:v>12431</x:v>
      </x:c>
      <x:c r="N101" s="34" t="n">
        <x:v>0.1063</x:v>
      </x:c>
      <x:c r="O101" s="34" t="n">
        <x:v>0.1064</x:v>
      </x:c>
      <x:c r="P101" s="38" t="n">
        <x:f>IF(OR(N101="",O101="",N101=0,O101=0),"",(O101-N101)/((O101+N101)/2))</x:f>
        <x:v>0.0009402914903619086</x:v>
      </x:c>
      <x:c r="Q101" s="34" t="n">
        <x:v>0.10812681</x:v>
      </x:c>
      <x:c r="R101" s="34" t="n">
        <x:v>0.1113</x:v>
      </x:c>
      <x:c r="S101" s="34" t="n">
        <x:v>0.1056</x:v>
      </x:c>
      <x:c r="T101" s="32" t="n">
        <x:v>46236.012236689814</x:v>
      </x:c>
      <x:c r="U101" s="32" t="n">
        <x:v>46237.012236689814</x:v>
      </x:c>
      <x:c r="V101" s="34" t="n">
        <x:v>5</x:v>
      </x:c>
      <x:c r="W101" s="34" t="n">
        <x:v>0.1</x:v>
      </x:c>
      <x:c r="X101" s="34" t="n">
        <x:v>0.1</x:v>
      </x:c>
      <x:c r="Y101" s="34" t="n">
        <x:v>0.0001</x:v>
      </x:c>
      <x:c r="Z101" s="30" t="str">
        <x:f>IF(AND(D101="TRADING",I101&lt;&gt;"",L101&lt;&gt;"",M101&lt;&gt;"",N101&lt;&gt;"",O101&lt;&gt;""),"Yes","No")</x:f>
        <x:v>Yes</x:v>
      </x:c>
      <x:c r="AA101" s="39" t="str">
        <x:v>https://developers.binance.com/en/docs/catalog/core-trading-spot-trading/api/rest-api</x:v>
      </x:c>
    </x:row>
    <x:row r="102">
      <x:c r="A102" s="30" t="str">
        <x:v>BARUSDT</x:v>
      </x:c>
      <x:c r="B102" s="30" t="str">
        <x:v>BAR</x:v>
      </x:c>
      <x:c r="C102" s="30" t="str">
        <x:v>USDT</x:v>
      </x:c>
      <x:c r="D102" s="30" t="str">
        <x:v>TRADING</x:v>
      </x:c>
      <x:c r="E102" s="31" t="b">
        <x:v>1</x:v>
      </x:c>
      <x:c r="F102" s="32" t="n">
        <x:v>44307</x:v>
      </x:c>
      <x:c r="G102" s="32" t="n">
        <x:v>44307.999999988424</x:v>
      </x:c>
      <x:c r="H102" s="33" t="n">
        <x:f>IF(F102="","",('Summary'!$B$5-F102)/365.25)</x:f>
        <x:v>5.28408621853373</x:v>
      </x:c>
      <x:c r="I102" s="34" t="n">
        <x:v>0.267</x:v>
      </x:c>
      <x:c r="J102" s="35" t="n">
        <x:v>0.00755</x:v>
      </x:c>
      <x:c r="K102" s="36" t="n">
        <x:v>484382.64</x:v>
      </x:c>
      <x:c r="L102" s="36" t="n">
        <x:v>129201.11157</x:v>
      </x:c>
      <x:c r="M102" s="37" t="n">
        <x:v>1379</x:v>
      </x:c>
      <x:c r="N102" s="34" t="n">
        <x:v>0.267</x:v>
      </x:c>
      <x:c r="O102" s="34" t="n">
        <x:v>0.268</x:v>
      </x:c>
      <x:c r="P102" s="38" t="n">
        <x:f>IF(OR(N102="",O102="",N102=0,O102=0),"",(O102-N102)/((O102+N102)/2))</x:f>
        <x:v>0.003738317757009349</x:v>
      </x:c>
      <x:c r="Q102" s="34" t="n">
        <x:v>0.26673357</x:v>
      </x:c>
      <x:c r="R102" s="34" t="n">
        <x:v>0.27</x:v>
      </x:c>
      <x:c r="S102" s="34" t="n">
        <x:v>0.264</x:v>
      </x:c>
      <x:c r="T102" s="32" t="n">
        <x:v>46236.01200008102</x:v>
      </x:c>
      <x:c r="U102" s="32" t="n">
        <x:v>46237.01200008102</x:v>
      </x:c>
      <x:c r="V102" s="34" t="n">
        <x:v>5</x:v>
      </x:c>
      <x:c r="W102" s="34" t="n">
        <x:v>0.01</x:v>
      </x:c>
      <x:c r="X102" s="34" t="n">
        <x:v>0.01</x:v>
      </x:c>
      <x:c r="Y102" s="34" t="n">
        <x:v>0.001</x:v>
      </x:c>
      <x:c r="Z102" s="30" t="str">
        <x:f>IF(AND(D102="TRADING",I102&lt;&gt;"",L102&lt;&gt;"",M102&lt;&gt;"",N102&lt;&gt;"",O102&lt;&gt;""),"Yes","No")</x:f>
        <x:v>Yes</x:v>
      </x:c>
      <x:c r="AA102" s="39" t="str">
        <x:v>https://developers.binance.com/en/docs/catalog/core-trading-spot-trading/api/rest-api</x:v>
      </x:c>
    </x:row>
    <x:row r="103">
      <x:c r="A103" s="30" t="str">
        <x:v>BATUSDT</x:v>
      </x:c>
      <x:c r="B103" s="30" t="str">
        <x:v>BAT</x:v>
      </x:c>
      <x:c r="C103" s="30" t="str">
        <x:v>USDT</x:v>
      </x:c>
      <x:c r="D103" s="30" t="str">
        <x:v>TRADING</x:v>
      </x:c>
      <x:c r="E103" s="31" t="b">
        <x:v>1</x:v>
      </x:c>
      <x:c r="F103" s="32" t="n">
        <x:v>43528</x:v>
      </x:c>
      <x:c r="G103" s="32" t="n">
        <x:v>43528.999999988424</x:v>
      </x:c>
      <x:c r="H103" s="33" t="n">
        <x:f>IF(F103="","",('Summary'!$B$5-F103)/365.25)</x:f>
        <x:v>7.416871981709638</x:v>
      </x:c>
      <x:c r="I103" s="34" t="n">
        <x:v>0.0663</x:v>
      </x:c>
      <x:c r="J103" s="35" t="n">
        <x:v>0.01376</x:v>
      </x:c>
      <x:c r="K103" s="36" t="n">
        <x:v>1751718</x:v>
      </x:c>
      <x:c r="L103" s="36" t="n">
        <x:v>116104.074</x:v>
      </x:c>
      <x:c r="M103" s="37" t="n">
        <x:v>1606</x:v>
      </x:c>
      <x:c r="N103" s="34" t="n">
        <x:v>0.0663</x:v>
      </x:c>
      <x:c r="O103" s="34" t="n">
        <x:v>0.0664</x:v>
      </x:c>
      <x:c r="P103" s="38" t="n">
        <x:f>IF(OR(N103="",O103="",N103=0,O103=0),"",(O103-N103)/((O103+N103)/2))</x:f>
        <x:v>0.0015071590052751</x:v>
      </x:c>
      <x:c r="Q103" s="34" t="n">
        <x:v>0.06628012</x:v>
      </x:c>
      <x:c r="R103" s="34" t="n">
        <x:v>0.0677</x:v>
      </x:c>
      <x:c r="S103" s="34" t="n">
        <x:v>0.0651</x:v>
      </x:c>
      <x:c r="T103" s="32" t="n">
        <x:v>46236.01244895833</x:v>
      </x:c>
      <x:c r="U103" s="32" t="n">
        <x:v>46237.01244895833</x:v>
      </x:c>
      <x:c r="V103" s="34" t="n">
        <x:v>5</x:v>
      </x:c>
      <x:c r="W103" s="34" t="n">
        <x:v>1</x:v>
      </x:c>
      <x:c r="X103" s="34" t="n">
        <x:v>1</x:v>
      </x:c>
      <x:c r="Y103" s="34" t="n">
        <x:v>0.0001</x:v>
      </x:c>
      <x:c r="Z103" s="30" t="str">
        <x:f>IF(AND(D103="TRADING",I103&lt;&gt;"",L103&lt;&gt;"",M103&lt;&gt;"",N103&lt;&gt;"",O103&lt;&gt;""),"Yes","No")</x:f>
        <x:v>Yes</x:v>
      </x:c>
      <x:c r="AA103" s="39" t="str">
        <x:v>https://developers.binance.com/en/docs/catalog/core-trading-spot-trading/api/rest-api</x:v>
      </x:c>
    </x:row>
    <x:row r="104">
      <x:c r="A104" s="30" t="str">
        <x:v>BBUSDT</x:v>
      </x:c>
      <x:c r="B104" s="30" t="str">
        <x:v>BB</x:v>
      </x:c>
      <x:c r="C104" s="30" t="str">
        <x:v>USDT</x:v>
      </x:c>
      <x:c r="D104" s="30" t="str">
        <x:v>TRADING</x:v>
      </x:c>
      <x:c r="E104" s="31" t="b">
        <x:v>1</x:v>
      </x:c>
      <x:c r="F104" s="32" t="n">
        <x:v>45425</x:v>
      </x:c>
      <x:c r="G104" s="32" t="n">
        <x:v>45425.999999988424</x:v>
      </x:c>
      <x:c r="H104" s="33" t="n">
        <x:f>IF(F104="","",('Summary'!$B$5-F104)/365.25)</x:f>
        <x:v>2.223169038520041</x:v>
      </x:c>
      <x:c r="I104" s="34" t="n">
        <x:v>0.01416</x:v>
      </x:c>
      <x:c r="J104" s="35" t="n">
        <x:v>-0.03804</x:v>
      </x:c>
      <x:c r="K104" s="36" t="n">
        <x:v>22254385.4</x:v>
      </x:c>
      <x:c r="L104" s="36" t="n">
        <x:v>319004.162246</x:v>
      </x:c>
      <x:c r="M104" s="37" t="n">
        <x:v>5726</x:v>
      </x:c>
      <x:c r="N104" s="34" t="n">
        <x:v>0.01416</x:v>
      </x:c>
      <x:c r="O104" s="34" t="n">
        <x:v>0.01418</x:v>
      </x:c>
      <x:c r="P104" s="38" t="n">
        <x:f>IF(OR(N104="",O104="",N104=0,O104=0),"",(O104-N104)/((O104+N104)/2))</x:f>
        <x:v>0.001411432604093097</x:v>
      </x:c>
      <x:c r="Q104" s="34" t="n">
        <x:v>0.01433444</x:v>
      </x:c>
      <x:c r="R104" s="34" t="n">
        <x:v>0.01496</x:v>
      </x:c>
      <x:c r="S104" s="34" t="n">
        <x:v>0.01411</x:v>
      </x:c>
      <x:c r="T104" s="32" t="n">
        <x:v>46236.01246913194</x:v>
      </x:c>
      <x:c r="U104" s="32" t="n">
        <x:v>46237.01246913194</x:v>
      </x:c>
      <x:c r="V104" s="34" t="n">
        <x:v>5</x:v>
      </x:c>
      <x:c r="W104" s="34" t="n">
        <x:v>0.1</x:v>
      </x:c>
      <x:c r="X104" s="34" t="n">
        <x:v>0.1</x:v>
      </x:c>
      <x:c r="Y104" s="34" t="n">
        <x:v>0.00001</x:v>
      </x:c>
      <x:c r="Z104" s="30" t="str">
        <x:f>IF(AND(D104="TRADING",I104&lt;&gt;"",L104&lt;&gt;"",M104&lt;&gt;"",N104&lt;&gt;"",O104&lt;&gt;""),"Yes","No")</x:f>
        <x:v>Yes</x:v>
      </x:c>
      <x:c r="AA104" s="39" t="str">
        <x:v>https://developers.binance.com/en/docs/catalog/core-trading-spot-trading/api/rest-api</x:v>
      </x:c>
    </x:row>
    <x:row r="105">
      <x:c r="A105" s="30" t="str">
        <x:v>BCCUSDT</x:v>
      </x:c>
      <x:c r="B105" s="30" t="str">
        <x:v>BCC</x:v>
      </x:c>
      <x:c r="C105" s="30" t="str">
        <x:v>USDT</x:v>
      </x:c>
      <x:c r="D105" s="30" t="str">
        <x:v>BREAK</x:v>
      </x:c>
      <x:c r="E105" s="31" t="b">
        <x:v>1</x:v>
      </x:c>
      <x:c r="F105" s="32" t="n">
        <x:v>43050</x:v>
      </x:c>
      <x:c r="G105" s="32" t="n">
        <x:v>43050.999999988424</x:v>
      </x:c>
      <x:c r="H105" s="33" t="n">
        <x:f>IF(F105="","",('Summary'!$B$5-F105)/365.25)</x:f>
        <x:v>8.725564657958781</x:v>
      </x:c>
      <x:c r="I105" s="34" t="n">
        <x:v>0</x:v>
      </x:c>
      <x:c r="J105" s="35" t="n">
        <x:v>0</x:v>
      </x:c>
      <x:c r="K105" s="36" t="n">
        <x:v>0</x:v>
      </x:c>
      <x:c r="L105" s="36" t="n">
        <x:v>0</x:v>
      </x:c>
      <x:c r="M105" s="37" t="n">
        <x:v>0</x:v>
      </x:c>
      <x:c r="N105" s="34" t="n">
        <x:v>0</x:v>
      </x:c>
      <x:c r="O105" s="34" t="n">
        <x:v>0</x:v>
      </x:c>
      <x:c r="P105" s="38" t="str">
        <x:f>IF(OR(N105="",O105="",N105=0,O105=0),"",(O105-N105)/((O105+N105)/2))</x:f>
      </x:c>
      <x:c r="Q105" s="34" t="n">
        <x:v>0</x:v>
      </x:c>
      <x:c r="R105" s="34" t="n">
        <x:v>0</x:v>
      </x:c>
      <x:c r="S105" s="34" t="n">
        <x:v>0</x:v>
      </x:c>
      <x:c r="T105" s="32" t="n">
        <x:v>46209.26112309028</x:v>
      </x:c>
      <x:c r="U105" s="32" t="n">
        <x:v>46210.26112309028</x:v>
      </x:c>
      <x:c r="V105" s="34" t="n">
        <x:v>10</x:v>
      </x:c>
      <x:c r="W105" s="34" t="n">
        <x:v>0.00001</x:v>
      </x:c>
      <x:c r="X105" s="34" t="n">
        <x:v>0.00001</x:v>
      </x:c>
      <x:c r="Y105" s="34" t="n">
        <x:v>0.01</x:v>
      </x:c>
      <x:c r="Z105" s="30" t="str">
        <x:f>IF(AND(D105="TRADING",I105&lt;&gt;"",L105&lt;&gt;"",M105&lt;&gt;"",N105&lt;&gt;"",O105&lt;&gt;""),"Yes","No")</x:f>
        <x:v>No</x:v>
      </x:c>
      <x:c r="AA105" s="39" t="str">
        <x:v>https://developers.binance.com/en/docs/catalog/core-trading-spot-trading/api/rest-api</x:v>
      </x:c>
    </x:row>
    <x:row r="106">
      <x:c r="A106" s="30" t="str">
        <x:v>BCHABCUSDT</x:v>
      </x:c>
      <x:c r="B106" s="30" t="str">
        <x:v>BCHABC</x:v>
      </x:c>
      <x:c r="C106" s="30" t="str">
        <x:v>USDT</x:v>
      </x:c>
      <x:c r="D106" s="30" t="str">
        <x:v>BREAK</x:v>
      </x:c>
      <x:c r="E106" s="31" t="b">
        <x:v>1</x:v>
      </x:c>
      <x:c r="F106" s="32" t="n">
        <x:v>43420</x:v>
      </x:c>
      <x:c r="G106" s="32" t="n">
        <x:v>43420.999999988424</x:v>
      </x:c>
      <x:c r="H106" s="33" t="n">
        <x:f>IF(F106="","",('Summary'!$B$5-F106)/365.25)</x:f>
        <x:v>7.7125598667199045</x:v>
      </x:c>
      <x:c r="I106" s="34" t="n">
        <x:v>0</x:v>
      </x:c>
      <x:c r="J106" s="35" t="n">
        <x:v>0</x:v>
      </x:c>
      <x:c r="K106" s="36" t="n">
        <x:v>0</x:v>
      </x:c>
      <x:c r="L106" s="36" t="n">
        <x:v>0</x:v>
      </x:c>
      <x:c r="M106" s="37" t="n">
        <x:v>0</x:v>
      </x:c>
      <x:c r="N106" s="34" t="n">
        <x:v>0</x:v>
      </x:c>
      <x:c r="O106" s="34" t="n">
        <x:v>0</x:v>
      </x:c>
      <x:c r="P106" s="38" t="str">
        <x:f>IF(OR(N106="",O106="",N106=0,O106=0),"",(O106-N106)/((O106+N106)/2))</x:f>
      </x:c>
      <x:c r="Q106" s="34" t="n">
        <x:v>0</x:v>
      </x:c>
      <x:c r="R106" s="34" t="n">
        <x:v>0</x:v>
      </x:c>
      <x:c r="S106" s="34" t="n">
        <x:v>0</x:v>
      </x:c>
      <x:c r="T106" s="32" t="n">
        <x:v>46209.26112309028</x:v>
      </x:c>
      <x:c r="U106" s="32" t="n">
        <x:v>46210.26112309028</x:v>
      </x:c>
      <x:c r="V106" s="34" t="n">
        <x:v>10</x:v>
      </x:c>
      <x:c r="W106" s="34" t="n">
        <x:v>0.00001</x:v>
      </x:c>
      <x:c r="X106" s="34" t="n">
        <x:v>0.00001</x:v>
      </x:c>
      <x:c r="Y106" s="34" t="n">
        <x:v>0.01</x:v>
      </x:c>
      <x:c r="Z106" s="30" t="str">
        <x:f>IF(AND(D106="TRADING",I106&lt;&gt;"",L106&lt;&gt;"",M106&lt;&gt;"",N106&lt;&gt;"",O106&lt;&gt;""),"Yes","No")</x:f>
        <x:v>No</x:v>
      </x:c>
      <x:c r="AA106" s="39" t="str">
        <x:v>https://developers.binance.com/en/docs/catalog/core-trading-spot-trading/api/rest-api</x:v>
      </x:c>
    </x:row>
    <x:row r="107">
      <x:c r="A107" s="30" t="str">
        <x:v>BCHSVUSDT</x:v>
      </x:c>
      <x:c r="B107" s="30" t="str">
        <x:v>BCHSV</x:v>
      </x:c>
      <x:c r="C107" s="30" t="str">
        <x:v>USDT</x:v>
      </x:c>
      <x:c r="D107" s="30" t="str">
        <x:v>BREAK</x:v>
      </x:c>
      <x:c r="E107" s="31" t="b">
        <x:v>1</x:v>
      </x:c>
      <x:c r="F107" s="32" t="n">
        <x:v>43420</x:v>
      </x:c>
      <x:c r="G107" s="32" t="n">
        <x:v>43420.999999988424</x:v>
      </x:c>
      <x:c r="H107" s="33" t="n">
        <x:f>IF(F107="","",('Summary'!$B$5-F107)/365.25)</x:f>
        <x:v>7.7125598667199045</x:v>
      </x:c>
      <x:c r="I107" s="34" t="n">
        <x:v>0</x:v>
      </x:c>
      <x:c r="J107" s="35" t="n">
        <x:v>0</x:v>
      </x:c>
      <x:c r="K107" s="36" t="n">
        <x:v>0</x:v>
      </x:c>
      <x:c r="L107" s="36" t="n">
        <x:v>0</x:v>
      </x:c>
      <x:c r="M107" s="37" t="n">
        <x:v>0</x:v>
      </x:c>
      <x:c r="N107" s="34" t="n">
        <x:v>0</x:v>
      </x:c>
      <x:c r="O107" s="34" t="n">
        <x:v>0</x:v>
      </x:c>
      <x:c r="P107" s="38" t="str">
        <x:f>IF(OR(N107="",O107="",N107=0,O107=0),"",(O107-N107)/((O107+N107)/2))</x:f>
      </x:c>
      <x:c r="Q107" s="34" t="n">
        <x:v>0</x:v>
      </x:c>
      <x:c r="R107" s="34" t="n">
        <x:v>0</x:v>
      </x:c>
      <x:c r="S107" s="34" t="n">
        <x:v>0</x:v>
      </x:c>
      <x:c r="T107" s="32" t="n">
        <x:v>46209.26112309028</x:v>
      </x:c>
      <x:c r="U107" s="32" t="n">
        <x:v>46210.26112309028</x:v>
      </x:c>
      <x:c r="V107" s="34" t="n">
        <x:v>10</x:v>
      </x:c>
      <x:c r="W107" s="34" t="n">
        <x:v>0.00001</x:v>
      </x:c>
      <x:c r="X107" s="34" t="n">
        <x:v>0.00001</x:v>
      </x:c>
      <x:c r="Y107" s="34" t="n">
        <x:v>0.01</x:v>
      </x:c>
      <x:c r="Z107" s="30" t="str">
        <x:f>IF(AND(D107="TRADING",I107&lt;&gt;"",L107&lt;&gt;"",M107&lt;&gt;"",N107&lt;&gt;"",O107&lt;&gt;""),"Yes","No")</x:f>
        <x:v>No</x:v>
      </x:c>
      <x:c r="AA107" s="39" t="str">
        <x:v>https://developers.binance.com/en/docs/catalog/core-trading-spot-trading/api/rest-api</x:v>
      </x:c>
    </x:row>
    <x:row r="108">
      <x:c r="A108" s="30" t="str">
        <x:v>BCHUSDT</x:v>
      </x:c>
      <x:c r="B108" s="30" t="str">
        <x:v>BCH</x:v>
      </x:c>
      <x:c r="C108" s="30" t="str">
        <x:v>USDT</x:v>
      </x:c>
      <x:c r="D108" s="30" t="str">
        <x:v>TRADING</x:v>
      </x:c>
      <x:c r="E108" s="31" t="b">
        <x:v>1</x:v>
      </x:c>
      <x:c r="F108" s="32" t="n">
        <x:v>43797</x:v>
      </x:c>
      <x:c r="G108" s="32" t="n">
        <x:v>43797.999999988424</x:v>
      </x:c>
      <x:c r="H108" s="33" t="n">
        <x:f>IF(F108="","",('Summary'!$B$5-F108)/365.25)</x:f>
        <x:v>6.6803901199711015</x:v>
      </x:c>
      <x:c r="I108" s="34" t="n">
        <x:v>212.4</x:v>
      </x:c>
      <x:c r="J108" s="35" t="n">
        <x:v>0.022629999999999997</x:v>
      </x:c>
      <x:c r="K108" s="36" t="n">
        <x:v>11838.406</x:v>
      </x:c>
      <x:c r="L108" s="36" t="n">
        <x:v>2505944.4673</x:v>
      </x:c>
      <x:c r="M108" s="37" t="n">
        <x:v>22837</x:v>
      </x:c>
      <x:c r="N108" s="34" t="n">
        <x:v>212.4</x:v>
      </x:c>
      <x:c r="O108" s="34" t="n">
        <x:v>212.5</x:v>
      </x:c>
      <x:c r="P108" s="38" t="n">
        <x:f>IF(OR(N108="",O108="",N108=0,O108=0),"",(O108-N108)/((O108+N108)/2))</x:f>
        <x:v>0.00047069898799714907</x:v>
      </x:c>
      <x:c r="Q108" s="34" t="n">
        <x:v>211.67921317</x:v>
      </x:c>
      <x:c r="R108" s="34" t="n">
        <x:v>214.9</x:v>
      </x:c>
      <x:c r="S108" s="34" t="n">
        <x:v>207.2</x:v>
      </x:c>
      <x:c r="T108" s="32" t="n">
        <x:v>46236.012479826386</x:v>
      </x:c>
      <x:c r="U108" s="32" t="n">
        <x:v>46237.012479826386</x:v>
      </x:c>
      <x:c r="V108" s="34" t="n">
        <x:v>5</x:v>
      </x:c>
      <x:c r="W108" s="34" t="n">
        <x:v>0.001</x:v>
      </x:c>
      <x:c r="X108" s="34" t="n">
        <x:v>0.001</x:v>
      </x:c>
      <x:c r="Y108" s="34" t="n">
        <x:v>0.1</x:v>
      </x:c>
      <x:c r="Z108" s="30" t="str">
        <x:f>IF(AND(D108="TRADING",I108&lt;&gt;"",L108&lt;&gt;"",M108&lt;&gt;"",N108&lt;&gt;"",O108&lt;&gt;""),"Yes","No")</x:f>
        <x:v>Yes</x:v>
      </x:c>
      <x:c r="AA108" s="39" t="str">
        <x:v>https://developers.binance.com/en/docs/catalog/core-trading-spot-trading/api/rest-api</x:v>
      </x:c>
    </x:row>
    <x:row r="109">
      <x:c r="A109" s="30" t="str">
        <x:v>BEAMUSDT</x:v>
      </x:c>
      <x:c r="B109" s="30" t="str">
        <x:v>BEAM</x:v>
      </x:c>
      <x:c r="C109" s="30" t="str">
        <x:v>USDT</x:v>
      </x:c>
      <x:c r="D109" s="30" t="str">
        <x:v>BREAK</x:v>
      </x:c>
      <x:c r="E109" s="31" t="b">
        <x:v>1</x:v>
      </x:c>
      <x:c r="F109" s="32" t="n">
        <x:v>43729</x:v>
      </x:c>
      <x:c r="G109" s="32" t="n">
        <x:v>43729.999999988424</x:v>
      </x:c>
      <x:c r="H109" s="33" t="n">
        <x:f>IF(F109="","",('Summary'!$B$5-F109)/365.25)</x:f>
        <x:v>6.866563973496085</x:v>
      </x:c>
      <x:c r="I109" s="34" t="n">
        <x:v>0.0652</x:v>
      </x:c>
      <x:c r="J109" s="35" t="n">
        <x:v>0.03165</x:v>
      </x:c>
      <x:c r="K109" s="36" t="n">
        <x:v>11189369</x:v>
      </x:c>
      <x:c r="L109" s="36" t="n">
        <x:v>739250.4197</x:v>
      </x:c>
      <x:c r="M109" s="37" t="n">
        <x:v>4001</x:v>
      </x:c>
      <x:c r="N109" s="34" t="n">
        <x:v>0</x:v>
      </x:c>
      <x:c r="O109" s="34" t="n">
        <x:v>0</x:v>
      </x:c>
      <x:c r="P109" s="38" t="str">
        <x:f>IF(OR(N109="",O109="",N109=0,O109=0),"",(O109-N109)/((O109+N109)/2))</x:f>
      </x:c>
      <x:c r="Q109" s="34" t="n">
        <x:v>0.06606721</x:v>
      </x:c>
      <x:c r="R109" s="34" t="n">
        <x:v>0.068</x:v>
      </x:c>
      <x:c r="S109" s="34" t="n">
        <x:v>0.0631</x:v>
      </x:c>
      <x:c r="T109" s="32" t="n">
        <x:v>46209.26112309028</x:v>
      </x:c>
      <x:c r="U109" s="32" t="n">
        <x:v>46210.26112309028</x:v>
      </x:c>
      <x:c r="V109" s="34" t="n">
        <x:v>10</x:v>
      </x:c>
      <x:c r="W109" s="34" t="n">
        <x:v>1</x:v>
      </x:c>
      <x:c r="X109" s="34" t="n">
        <x:v>1</x:v>
      </x:c>
      <x:c r="Y109" s="34" t="n">
        <x:v>0.0001</x:v>
      </x:c>
      <x:c r="Z109" s="30" t="str">
        <x:f>IF(AND(D109="TRADING",I109&lt;&gt;"",L109&lt;&gt;"",M109&lt;&gt;"",N109&lt;&gt;"",O109&lt;&gt;""),"Yes","No")</x:f>
        <x:v>No</x:v>
      </x:c>
      <x:c r="AA109" s="39" t="str">
        <x:v>https://developers.binance.com/en/docs/catalog/core-trading-spot-trading/api/rest-api</x:v>
      </x:c>
    </x:row>
    <x:row r="110">
      <x:c r="A110" s="30" t="str">
        <x:v>BEAMXUSDT</x:v>
      </x:c>
      <x:c r="B110" s="30" t="str">
        <x:v>BEAMX</x:v>
      </x:c>
      <x:c r="C110" s="30" t="str">
        <x:v>USDT</x:v>
      </x:c>
      <x:c r="D110" s="30" t="str">
        <x:v>TRADING</x:v>
      </x:c>
      <x:c r="E110" s="31" t="b">
        <x:v>1</x:v>
      </x:c>
      <x:c r="F110" s="32" t="n">
        <x:v>45244</x:v>
      </x:c>
      <x:c r="G110" s="32" t="n">
        <x:v>45244.999999988424</x:v>
      </x:c>
      <x:c r="H110" s="33" t="n">
        <x:f>IF(F110="","",('Summary'!$B$5-F110)/365.25)</x:f>
        <x:v>2.7187200309909514</x:v>
      </x:c>
      <x:c r="I110" s="34" t="n">
        <x:v>0.001443</x:v>
      </x:c>
      <x:c r="J110" s="35" t="n">
        <x:v>-0.00345</x:v>
      </x:c>
      <x:c r="K110" s="36" t="n">
        <x:v>66408121</x:v>
      </x:c>
      <x:c r="L110" s="36" t="n">
        <x:v>96127.00768</x:v>
      </x:c>
      <x:c r="M110" s="37" t="n">
        <x:v>2836</x:v>
      </x:c>
      <x:c r="N110" s="34" t="n">
        <x:v>0.001442</x:v>
      </x:c>
      <x:c r="O110" s="34" t="n">
        <x:v>0.001443</x:v>
      </x:c>
      <x:c r="P110" s="38" t="n">
        <x:f>IF(OR(N110="",O110="",N110=0,O110=0),"",(O110-N110)/((O110+N110)/2))</x:f>
        <x:v>0.0006932409012132635</x:v>
      </x:c>
      <x:c r="Q110" s="34" t="n">
        <x:v>0.00144752</x:v>
      </x:c>
      <x:c r="R110" s="34" t="n">
        <x:v>0.001463</x:v>
      </x:c>
      <x:c r="S110" s="34" t="n">
        <x:v>0.001435</x:v>
      </x:c>
      <x:c r="T110" s="32" t="n">
        <x:v>46236.012419942126</x:v>
      </x:c>
      <x:c r="U110" s="32" t="n">
        <x:v>46237.012419942126</x:v>
      </x:c>
      <x:c r="V110" s="34" t="n">
        <x:v>5</x:v>
      </x:c>
      <x:c r="W110" s="34" t="n">
        <x:v>1</x:v>
      </x:c>
      <x:c r="X110" s="34" t="n">
        <x:v>1</x:v>
      </x:c>
      <x:c r="Y110" s="34" t="n">
        <x:v>0.000001</x:v>
      </x:c>
      <x:c r="Z110" s="30" t="str">
        <x:f>IF(AND(D110="TRADING",I110&lt;&gt;"",L110&lt;&gt;"",M110&lt;&gt;"",N110&lt;&gt;"",O110&lt;&gt;""),"Yes","No")</x:f>
        <x:v>Yes</x:v>
      </x:c>
      <x:c r="AA110" s="39" t="str">
        <x:v>https://developers.binance.com/en/docs/catalog/core-trading-spot-trading/api/rest-api</x:v>
      </x:c>
    </x:row>
    <x:row r="111">
      <x:c r="A111" s="30" t="str">
        <x:v>BEARUSDT</x:v>
      </x:c>
      <x:c r="B111" s="30" t="str">
        <x:v>BEAR</x:v>
      </x:c>
      <x:c r="C111" s="30" t="str">
        <x:v>USDT</x:v>
      </x:c>
      <x:c r="D111" s="30" t="str">
        <x:v>BREAK</x:v>
      </x:c>
      <x:c r="E111" s="31" t="b">
        <x:v>1</x:v>
      </x:c>
      <x:c r="F111" s="32" t="n">
        <x:v>43847</x:v>
      </x:c>
      <x:c r="G111" s="32" t="n">
        <x:v>43847.999999988424</x:v>
      </x:c>
      <x:c r="H111" s="33" t="n">
        <x:f>IF(F111="","",('Summary'!$B$5-F111)/365.25)</x:f>
        <x:v>6.543497580614496</x:v>
      </x:c>
      <x:c r="I111" s="34" t="n">
        <x:v>0</x:v>
      </x:c>
      <x:c r="J111" s="35" t="n">
        <x:v>0</x:v>
      </x:c>
      <x:c r="K111" s="36" t="n">
        <x:v>0</x:v>
      </x:c>
      <x:c r="L111" s="36" t="n">
        <x:v>0</x:v>
      </x:c>
      <x:c r="M111" s="37" t="n">
        <x:v>0</x:v>
      </x:c>
      <x:c r="N111" s="34" t="n">
        <x:v>0</x:v>
      </x:c>
      <x:c r="O111" s="34" t="n">
        <x:v>0</x:v>
      </x:c>
      <x:c r="P111" s="38" t="str">
        <x:f>IF(OR(N111="",O111="",N111=0,O111=0),"",(O111-N111)/((O111+N111)/2))</x:f>
      </x:c>
      <x:c r="Q111" s="34" t="n">
        <x:v>0</x:v>
      </x:c>
      <x:c r="R111" s="34" t="n">
        <x:v>0</x:v>
      </x:c>
      <x:c r="S111" s="34" t="n">
        <x:v>0</x:v>
      </x:c>
      <x:c r="T111" s="32" t="n">
        <x:v>46209.26112309028</x:v>
      </x:c>
      <x:c r="U111" s="32" t="n">
        <x:v>46210.26112309028</x:v>
      </x:c>
      <x:c r="V111" s="34" t="n">
        <x:v>10</x:v>
      </x:c>
      <x:c r="W111" s="34" t="n">
        <x:v>0.00001</x:v>
      </x:c>
      <x:c r="X111" s="34" t="n">
        <x:v>0.00001</x:v>
      </x:c>
      <x:c r="Y111" s="34" t="n">
        <x:v>0.01</x:v>
      </x:c>
      <x:c r="Z111" s="30" t="str">
        <x:f>IF(AND(D111="TRADING",I111&lt;&gt;"",L111&lt;&gt;"",M111&lt;&gt;"",N111&lt;&gt;"",O111&lt;&gt;""),"Yes","No")</x:f>
        <x:v>No</x:v>
      </x:c>
      <x:c r="AA111" s="39" t="str">
        <x:v>https://developers.binance.com/en/docs/catalog/core-trading-spot-trading/api/rest-api</x:v>
      </x:c>
    </x:row>
    <x:row r="112">
      <x:c r="A112" s="30" t="str">
        <x:v>BEBUSDT</x:v>
      </x:c>
      <x:c r="B112" s="30" t="str">
        <x:v>BEB</x:v>
      </x:c>
      <x:c r="C112" s="30" t="str">
        <x:v>USDT</x:v>
      </x:c>
      <x:c r="D112" s="30" t="str">
        <x:v>TRADING</x:v>
      </x:c>
      <x:c r="E112" s="31" t="b">
        <x:v>1</x:v>
      </x:c>
      <x:c r="F112" s="32" t="n">
        <x:v>46232</x:v>
      </x:c>
      <x:c r="G112" s="32" t="n">
        <x:v>46232.999999988424</x:v>
      </x:c>
      <x:c r="H112" s="33" t="n">
        <x:f>IF(F112="","",('Summary'!$B$5-F112)/365.25)</x:f>
        <x:v>0.013723453304435213</x:v>
      </x:c>
      <x:c r="I112" s="34" t="n">
        <x:v>211.59</x:v>
      </x:c>
      <x:c r="J112" s="35" t="n">
        <x:v>0.020649999999999998</x:v>
      </x:c>
      <x:c r="K112" s="36" t="n">
        <x:v>549.717</x:v>
      </x:c>
      <x:c r="L112" s="36" t="n">
        <x:v>115481.94814</x:v>
      </x:c>
      <x:c r="M112" s="37" t="n">
        <x:v>850</x:v>
      </x:c>
      <x:c r="N112" s="34" t="n">
        <x:v>210.8</x:v>
      </x:c>
      <x:c r="O112" s="34" t="n">
        <x:v>212.43</x:v>
      </x:c>
      <x:c r="P112" s="38" t="n">
        <x:f>IF(OR(N112="",O112="",N112=0,O112=0),"",(O112-N112)/((O112+N112)/2))</x:f>
        <x:v>0.0077026675802754786</x:v>
      </x:c>
      <x:c r="Q112" s="34" t="n">
        <x:v>210.07527171</x:v>
      </x:c>
      <x:c r="R112" s="34" t="n">
        <x:v>213.43</x:v>
      </x:c>
      <x:c r="S112" s="34" t="n">
        <x:v>205.58</x:v>
      </x:c>
      <x:c r="T112" s="32" t="n">
        <x:v>46236.012484837964</x:v>
      </x:c>
      <x:c r="U112" s="32" t="n">
        <x:v>46237.012484837964</x:v>
      </x:c>
      <x:c r="V112" s="34" t="n">
        <x:v>5</x:v>
      </x:c>
      <x:c r="W112" s="34" t="n">
        <x:v>0.001</x:v>
      </x:c>
      <x:c r="X112" s="34" t="n">
        <x:v>0.001</x:v>
      </x:c>
      <x:c r="Y112" s="34" t="n">
        <x:v>0.01</x:v>
      </x:c>
      <x:c r="Z112" s="30" t="str">
        <x:f>IF(AND(D112="TRADING",I112&lt;&gt;"",L112&lt;&gt;"",M112&lt;&gt;"",N112&lt;&gt;"",O112&lt;&gt;""),"Yes","No")</x:f>
        <x:v>Yes</x:v>
      </x:c>
      <x:c r="AA112" s="39" t="str">
        <x:v>https://developers.binance.com/en/docs/catalog/core-trading-spot-trading/api/rest-api</x:v>
      </x:c>
    </x:row>
    <x:row r="113">
      <x:c r="A113" s="30" t="str">
        <x:v>BELUSDT</x:v>
      </x:c>
      <x:c r="B113" s="30" t="str">
        <x:v>BEL</x:v>
      </x:c>
      <x:c r="C113" s="30" t="str">
        <x:v>USDT</x:v>
      </x:c>
      <x:c r="D113" s="30" t="str">
        <x:v>TRADING</x:v>
      </x:c>
      <x:c r="E113" s="31" t="b">
        <x:v>1</x:v>
      </x:c>
      <x:c r="F113" s="32" t="n">
        <x:v>44089</x:v>
      </x:c>
      <x:c r="G113" s="32" t="n">
        <x:v>44089.999999988424</x:v>
      </x:c>
      <x:c r="H113" s="33" t="n">
        <x:f>IF(F113="","",('Summary'!$B$5-F113)/365.25)</x:f>
        <x:v>5.880937690128528</x:v>
      </x:c>
      <x:c r="I113" s="34" t="n">
        <x:v>0.0953</x:v>
      </x:c>
      <x:c r="J113" s="35" t="n">
        <x:v>-0.00936</x:v>
      </x:c>
      <x:c r="K113" s="36" t="n">
        <x:v>1259487.9</x:v>
      </x:c>
      <x:c r="L113" s="36" t="n">
        <x:v>120374.35644</x:v>
      </x:c>
      <x:c r="M113" s="37" t="n">
        <x:v>2425</x:v>
      </x:c>
      <x:c r="N113" s="34" t="n">
        <x:v>0.0952</x:v>
      </x:c>
      <x:c r="O113" s="34" t="n">
        <x:v>0.0953</x:v>
      </x:c>
      <x:c r="P113" s="38" t="n">
        <x:f>IF(OR(N113="",O113="",N113=0,O113=0),"",(O113-N113)/((O113+N113)/2))</x:f>
        <x:v>0.0010498687664040839</x:v>
      </x:c>
      <x:c r="Q113" s="34" t="n">
        <x:v>0.09557405</x:v>
      </x:c>
      <x:c r="R113" s="34" t="n">
        <x:v>0.0975</x:v>
      </x:c>
      <x:c r="S113" s="34" t="n">
        <x:v>0.0946</x:v>
      </x:c>
      <x:c r="T113" s="32" t="n">
        <x:v>46236.0124802662</x:v>
      </x:c>
      <x:c r="U113" s="32" t="n">
        <x:v>46237.0124802662</x:v>
      </x:c>
      <x:c r="V113" s="34" t="n">
        <x:v>5</x:v>
      </x:c>
      <x:c r="W113" s="34" t="n">
        <x:v>0.1</x:v>
      </x:c>
      <x:c r="X113" s="34" t="n">
        <x:v>0.1</x:v>
      </x:c>
      <x:c r="Y113" s="34" t="n">
        <x:v>0.0001</x:v>
      </x:c>
      <x:c r="Z113" s="30" t="str">
        <x:f>IF(AND(D113="TRADING",I113&lt;&gt;"",L113&lt;&gt;"",M113&lt;&gt;"",N113&lt;&gt;"",O113&lt;&gt;""),"Yes","No")</x:f>
        <x:v>Yes</x:v>
      </x:c>
      <x:c r="AA113" s="39" t="str">
        <x:v>https://developers.binance.com/en/docs/catalog/core-trading-spot-trading/api/rest-api</x:v>
      </x:c>
    </x:row>
    <x:row r="114">
      <x:c r="A114" s="30" t="str">
        <x:v>BERAUSDT</x:v>
      </x:c>
      <x:c r="B114" s="30" t="str">
        <x:v>BERA</x:v>
      </x:c>
      <x:c r="C114" s="30" t="str">
        <x:v>USDT</x:v>
      </x:c>
      <x:c r="D114" s="30" t="str">
        <x:v>TRADING</x:v>
      </x:c>
      <x:c r="E114" s="31" t="b">
        <x:v>1</x:v>
      </x:c>
      <x:c r="F114" s="32" t="n">
        <x:v>45694</x:v>
      </x:c>
      <x:c r="G114" s="32" t="n">
        <x:v>45694.999999988424</x:v>
      </x:c>
      <x:c r="H114" s="33" t="n">
        <x:f>IF(F114="","",('Summary'!$B$5-F114)/365.25)</x:f>
        <x:v>1.4866871767815057</x:v>
      </x:c>
      <x:c r="I114" s="34" t="n">
        <x:v>0.155</x:v>
      </x:c>
      <x:c r="J114" s="35" t="n">
        <x:v>0.01043</x:v>
      </x:c>
      <x:c r="K114" s="36" t="n">
        <x:v>1502106.564</x:v>
      </x:c>
      <x:c r="L114" s="36" t="n">
        <x:v>232058.693671</x:v>
      </x:c>
      <x:c r="M114" s="37" t="n">
        <x:v>2168</x:v>
      </x:c>
      <x:c r="N114" s="34" t="n">
        <x:v>0.155</x:v>
      </x:c>
      <x:c r="O114" s="34" t="n">
        <x:v>0.1551</x:v>
      </x:c>
      <x:c r="P114" s="38" t="n">
        <x:f>IF(OR(N114="",O114="",N114=0,O114=0),"",(O114-N114)/((O114+N114)/2))</x:f>
        <x:v>0.0006449532408899644</x:v>
      </x:c>
      <x:c r="Q114" s="34" t="n">
        <x:v>0.15448884</x:v>
      </x:c>
      <x:c r="R114" s="34" t="n">
        <x:v>0.1561</x:v>
      </x:c>
      <x:c r="S114" s="34" t="n">
        <x:v>0.1526</x:v>
      </x:c>
      <x:c r="T114" s="32" t="n">
        <x:v>46236.01227369213</x:v>
      </x:c>
      <x:c r="U114" s="32" t="n">
        <x:v>46237.01227369213</x:v>
      </x:c>
      <x:c r="V114" s="34" t="n">
        <x:v>5</x:v>
      </x:c>
      <x:c r="W114" s="34" t="n">
        <x:v>0.001</x:v>
      </x:c>
      <x:c r="X114" s="34" t="n">
        <x:v>0.001</x:v>
      </x:c>
      <x:c r="Y114" s="34" t="n">
        <x:v>0.0001</x:v>
      </x:c>
      <x:c r="Z114" s="30" t="str">
        <x:f>IF(AND(D114="TRADING",I114&lt;&gt;"",L114&lt;&gt;"",M114&lt;&gt;"",N114&lt;&gt;"",O114&lt;&gt;""),"Yes","No")</x:f>
        <x:v>Yes</x:v>
      </x:c>
      <x:c r="AA114" s="39" t="str">
        <x:v>https://developers.binance.com/en/docs/catalog/core-trading-spot-trading/api/rest-api</x:v>
      </x:c>
    </x:row>
    <x:row r="115">
      <x:c r="A115" s="30" t="str">
        <x:v>BETAUSDT</x:v>
      </x:c>
      <x:c r="B115" s="30" t="str">
        <x:v>BETA</x:v>
      </x:c>
      <x:c r="C115" s="30" t="str">
        <x:v>USDT</x:v>
      </x:c>
      <x:c r="D115" s="30" t="str">
        <x:v>BREAK</x:v>
      </x:c>
      <x:c r="E115" s="31" t="b">
        <x:v>1</x:v>
      </x:c>
      <x:c r="F115" s="32" t="n">
        <x:v>44477</x:v>
      </x:c>
      <x:c r="G115" s="32" t="n">
        <x:v>44477.999999988424</x:v>
      </x:c>
      <x:c r="H115" s="33" t="n">
        <x:f>IF(F115="","",('Summary'!$B$5-F115)/365.25)</x:f>
        <x:v>4.818651584721273</x:v>
      </x:c>
      <x:c r="I115" s="34" t="n">
        <x:v>0.00036</x:v>
      </x:c>
      <x:c r="J115" s="35" t="n">
        <x:v>-0.64</x:v>
      </x:c>
      <x:c r="K115" s="36" t="n">
        <x:v>453655672</x:v>
      </x:c>
      <x:c r="L115" s="36" t="n">
        <x:v>296136.47499</x:v>
      </x:c>
      <x:c r="M115" s="37" t="n">
        <x:v>4001</x:v>
      </x:c>
      <x:c r="N115" s="34" t="n">
        <x:v>0</x:v>
      </x:c>
      <x:c r="O115" s="34" t="n">
        <x:v>0</x:v>
      </x:c>
      <x:c r="P115" s="38" t="str">
        <x:f>IF(OR(N115="",O115="",N115=0,O115=0),"",(O115-N115)/((O115+N115)/2))</x:f>
      </x:c>
      <x:c r="Q115" s="34" t="n">
        <x:v>0.00065278</x:v>
      </x:c>
      <x:c r="R115" s="34" t="n">
        <x:v>0.0011</x:v>
      </x:c>
      <x:c r="S115" s="34" t="n">
        <x:v>0.00031</x:v>
      </x:c>
      <x:c r="T115" s="32" t="n">
        <x:v>46209.26112309028</x:v>
      </x:c>
      <x:c r="U115" s="32" t="n">
        <x:v>46210.26112309028</x:v>
      </x:c>
      <x:c r="V115" s="34" t="n">
        <x:v>5</x:v>
      </x:c>
      <x:c r="W115" s="34" t="n">
        <x:v>1</x:v>
      </x:c>
      <x:c r="X115" s="34" t="n">
        <x:v>1</x:v>
      </x:c>
      <x:c r="Y115" s="34" t="n">
        <x:v>0.00001</x:v>
      </x:c>
      <x:c r="Z115" s="30" t="str">
        <x:f>IF(AND(D115="TRADING",I115&lt;&gt;"",L115&lt;&gt;"",M115&lt;&gt;"",N115&lt;&gt;"",O115&lt;&gt;""),"Yes","No")</x:f>
        <x:v>No</x:v>
      </x:c>
      <x:c r="AA115" s="39" t="str">
        <x:v>https://developers.binance.com/en/docs/catalog/core-trading-spot-trading/api/rest-api</x:v>
      </x:c>
    </x:row>
    <x:row r="116">
      <x:c r="A116" s="30" t="str">
        <x:v>BETHUSDT</x:v>
      </x:c>
      <x:c r="B116" s="30" t="str">
        <x:v>BETH</x:v>
      </x:c>
      <x:c r="C116" s="30" t="str">
        <x:v>USDT</x:v>
      </x:c>
      <x:c r="D116" s="30" t="str">
        <x:v>BREAK</x:v>
      </x:c>
      <x:c r="E116" s="31" t="b">
        <x:v>1</x:v>
      </x:c>
      <x:c r="F116" s="32" t="n">
        <x:v>44988</x:v>
      </x:c>
      <x:c r="G116" s="32" t="n">
        <x:v>44988.999999988424</x:v>
      </x:c>
      <x:c r="H116" s="33" t="n">
        <x:f>IF(F116="","",('Summary'!$B$5-F116)/365.25)</x:f>
        <x:v>3.419609832496769</x:v>
      </x:c>
      <x:c r="I116" s="34" t="n">
        <x:v>1556.27</x:v>
      </x:c>
      <x:c r="J116" s="35" t="n">
        <x:v>-0.01626</x:v>
      </x:c>
      <x:c r="K116" s="36" t="n">
        <x:v>547.0158</x:v>
      </x:c>
      <x:c r="L116" s="36" t="n">
        <x:v>857076.116741</x:v>
      </x:c>
      <x:c r="M116" s="37" t="n">
        <x:v>4000</x:v>
      </x:c>
      <x:c r="N116" s="34" t="n">
        <x:v>0</x:v>
      </x:c>
      <x:c r="O116" s="34" t="n">
        <x:v>0</x:v>
      </x:c>
      <x:c r="P116" s="38" t="str">
        <x:f>IF(OR(N116="",O116="",N116=0,O116=0),"",(O116-N116)/((O116+N116)/2))</x:f>
      </x:c>
      <x:c r="Q116" s="34" t="n">
        <x:v>1566.82150084</x:v>
      </x:c>
      <x:c r="R116" s="34" t="n">
        <x:v>1593.23</x:v>
      </x:c>
      <x:c r="S116" s="34" t="n">
        <x:v>1540.53</x:v>
      </x:c>
      <x:c r="T116" s="32" t="n">
        <x:v>46209.26112309028</x:v>
      </x:c>
      <x:c r="U116" s="32" t="n">
        <x:v>46210.26112309028</x:v>
      </x:c>
      <x:c r="V116" s="34" t="n">
        <x:v>5</x:v>
      </x:c>
      <x:c r="W116" s="34" t="n">
        <x:v>0.0001</x:v>
      </x:c>
      <x:c r="X116" s="34" t="n">
        <x:v>0.0001</x:v>
      </x:c>
      <x:c r="Y116" s="34" t="n">
        <x:v>0.01</x:v>
      </x:c>
      <x:c r="Z116" s="30" t="str">
        <x:f>IF(AND(D116="TRADING",I116&lt;&gt;"",L116&lt;&gt;"",M116&lt;&gt;"",N116&lt;&gt;"",O116&lt;&gt;""),"Yes","No")</x:f>
        <x:v>No</x:v>
      </x:c>
      <x:c r="AA116" s="39" t="str">
        <x:v>https://developers.binance.com/en/docs/catalog/core-trading-spot-trading/api/rest-api</x:v>
      </x:c>
    </x:row>
    <x:row r="117">
      <x:c r="A117" s="30" t="str">
        <x:v>BFUSDUSDT</x:v>
      </x:c>
      <x:c r="B117" s="30" t="str">
        <x:v>BFUSD</x:v>
      </x:c>
      <x:c r="C117" s="30" t="str">
        <x:v>USDT</x:v>
      </x:c>
      <x:c r="D117" s="30" t="str">
        <x:v>TRADING</x:v>
      </x:c>
      <x:c r="E117" s="31" t="b">
        <x:v>1</x:v>
      </x:c>
      <x:c r="F117" s="32" t="n">
        <x:v>45882</x:v>
      </x:c>
      <x:c r="G117" s="32" t="n">
        <x:v>45882.999999988424</x:v>
      </x:c>
      <x:c r="H117" s="33" t="n">
        <x:f>IF(F117="","",('Summary'!$B$5-F117)/365.25)</x:f>
        <x:v>0.9719712288006707</x:v>
      </x:c>
      <x:c r="I117" s="34" t="n">
        <x:v>0.9991</x:v>
      </x:c>
      <x:c r="J117" s="35" t="n">
        <x:v>0.0001</x:v>
      </x:c>
      <x:c r="K117" s="36" t="n">
        <x:v>576245</x:v>
      </x:c>
      <x:c r="L117" s="36" t="n">
        <x:v>575408.6314</x:v>
      </x:c>
      <x:c r="M117" s="37" t="n">
        <x:v>729</x:v>
      </x:c>
      <x:c r="N117" s="34" t="n">
        <x:v>0.999</x:v>
      </x:c>
      <x:c r="O117" s="34" t="n">
        <x:v>0.9991</x:v>
      </x:c>
      <x:c r="P117" s="38" t="n">
        <x:f>IF(OR(N117="",O117="",N117=0,O117=0),"",(O117-N117)/((O117+N117)/2))</x:f>
        <x:v>0.000100095090335808</x:v>
      </x:c>
      <x:c r="Q117" s="34" t="n">
        <x:v>0.99854859</x:v>
      </x:c>
      <x:c r="R117" s="34" t="n">
        <x:v>0.9991</x:v>
      </x:c>
      <x:c r="S117" s="34" t="n">
        <x:v>0.9975</x:v>
      </x:c>
      <x:c r="T117" s="32" t="n">
        <x:v>46236.012045972224</x:v>
      </x:c>
      <x:c r="U117" s="32" t="n">
        <x:v>46237.012045972224</x:v>
      </x:c>
      <x:c r="V117" s="34" t="n">
        <x:v>5</x:v>
      </x:c>
      <x:c r="W117" s="34" t="n">
        <x:v>1</x:v>
      </x:c>
      <x:c r="X117" s="34" t="n">
        <x:v>1</x:v>
      </x:c>
      <x:c r="Y117" s="34" t="n">
        <x:v>0.0001</x:v>
      </x:c>
      <x:c r="Z117" s="30" t="str">
        <x:f>IF(AND(D117="TRADING",I117&lt;&gt;"",L117&lt;&gt;"",M117&lt;&gt;"",N117&lt;&gt;"",O117&lt;&gt;""),"Yes","No")</x:f>
        <x:v>Yes</x:v>
      </x:c>
      <x:c r="AA117" s="39" t="str">
        <x:v>https://developers.binance.com/en/docs/catalog/core-trading-spot-trading/api/rest-api</x:v>
      </x:c>
    </x:row>
    <x:row r="118">
      <x:c r="A118" s="30" t="str">
        <x:v>BICOUSDT</x:v>
      </x:c>
      <x:c r="B118" s="30" t="str">
        <x:v>BICO</x:v>
      </x:c>
      <x:c r="C118" s="30" t="str">
        <x:v>USDT</x:v>
      </x:c>
      <x:c r="D118" s="30" t="str">
        <x:v>TRADING</x:v>
      </x:c>
      <x:c r="E118" s="31" t="b">
        <x:v>1</x:v>
      </x:c>
      <x:c r="F118" s="32" t="n">
        <x:v>44539</x:v>
      </x:c>
      <x:c r="G118" s="32" t="n">
        <x:v>44539.999999988424</x:v>
      </x:c>
      <x:c r="H118" s="33" t="n">
        <x:f>IF(F118="","",('Summary'!$B$5-F118)/365.25)</x:f>
        <x:v>4.648904835919082</x:v>
      </x:c>
      <x:c r="I118" s="34" t="n">
        <x:v>0.01627</x:v>
      </x:c>
      <x:c r="J118" s="35" t="n">
        <x:v>0.3835</x:v>
      </x:c>
      <x:c r="K118" s="36" t="n">
        <x:v>264038419.26</x:v>
      </x:c>
      <x:c r="L118" s="36" t="n">
        <x:v>3816411.819384</x:v>
      </x:c>
      <x:c r="M118" s="37" t="n">
        <x:v>49545</x:v>
      </x:c>
      <x:c r="N118" s="34" t="n">
        <x:v>0.01629</x:v>
      </x:c>
      <x:c r="O118" s="34" t="n">
        <x:v>0.01631</x:v>
      </x:c>
      <x:c r="P118" s="38" t="n">
        <x:f>IF(OR(N118="",O118="",N118=0,O118=0),"",(O118-N118)/((O118+N118)/2))</x:f>
        <x:v>0.0012269938650308375</x:v>
      </x:c>
      <x:c r="Q118" s="34" t="n">
        <x:v>0.014454</x:v>
      </x:c>
      <x:c r="R118" s="34" t="n">
        <x:v>0.01668</x:v>
      </x:c>
      <x:c r="S118" s="34" t="n">
        <x:v>0.01174</x:v>
      </x:c>
      <x:c r="T118" s="32" t="n">
        <x:v>46236.012486527776</x:v>
      </x:c>
      <x:c r="U118" s="32" t="n">
        <x:v>46237.012486527776</x:v>
      </x:c>
      <x:c r="V118" s="34" t="n">
        <x:v>5</x:v>
      </x:c>
      <x:c r="W118" s="34" t="n">
        <x:v>0.01</x:v>
      </x:c>
      <x:c r="X118" s="34" t="n">
        <x:v>0.01</x:v>
      </x:c>
      <x:c r="Y118" s="34" t="n">
        <x:v>0.00001</x:v>
      </x:c>
      <x:c r="Z118" s="30" t="str">
        <x:f>IF(AND(D118="TRADING",I118&lt;&gt;"",L118&lt;&gt;"",M118&lt;&gt;"",N118&lt;&gt;"",O118&lt;&gt;""),"Yes","No")</x:f>
        <x:v>Yes</x:v>
      </x:c>
      <x:c r="AA118" s="39" t="str">
        <x:v>https://developers.binance.com/en/docs/catalog/core-trading-spot-trading/api/rest-api</x:v>
      </x:c>
    </x:row>
    <x:row r="119">
      <x:c r="A119" s="30" t="str">
        <x:v>BIFIUSDT</x:v>
      </x:c>
      <x:c r="B119" s="30" t="str">
        <x:v>BIFI</x:v>
      </x:c>
      <x:c r="C119" s="30" t="str">
        <x:v>USDT</x:v>
      </x:c>
      <x:c r="D119" s="30" t="str">
        <x:v>BREAK</x:v>
      </x:c>
      <x:c r="E119" s="31" t="b">
        <x:v>1</x:v>
      </x:c>
      <x:c r="F119" s="32" t="n">
        <x:v>44652</x:v>
      </x:c>
      <x:c r="G119" s="32" t="n">
        <x:v>44652.999999988424</x:v>
      </x:c>
      <x:c r="H119" s="33" t="n">
        <x:f>IF(F119="","",('Summary'!$B$5-F119)/365.25)</x:f>
        <x:v>4.339527696973155</x:v>
      </x:c>
      <x:c r="I119" s="34" t="n">
        <x:v>32.1</x:v>
      </x:c>
      <x:c r="J119" s="35" t="n">
        <x:v>-0.23389</x:v>
      </x:c>
      <x:c r="K119" s="36" t="n">
        <x:v>14747.387</x:v>
      </x:c>
      <x:c r="L119" s="36" t="n">
        <x:v>561400.1729</x:v>
      </x:c>
      <x:c r="M119" s="37" t="n">
        <x:v>11924</x:v>
      </x:c>
      <x:c r="N119" s="34" t="n">
        <x:v>0</x:v>
      </x:c>
      <x:c r="O119" s="34" t="n">
        <x:v>0</x:v>
      </x:c>
      <x:c r="P119" s="38" t="str">
        <x:f>IF(OR(N119="",O119="",N119=0,O119=0),"",(O119-N119)/((O119+N119)/2))</x:f>
      </x:c>
      <x:c r="Q119" s="34" t="n">
        <x:v>38.06777247</x:v>
      </x:c>
      <x:c r="R119" s="34" t="n">
        <x:v>45</x:v>
      </x:c>
      <x:c r="S119" s="34" t="n">
        <x:v>32</x:v>
      </x:c>
      <x:c r="T119" s="32" t="n">
        <x:v>46209.26112309028</x:v>
      </x:c>
      <x:c r="U119" s="32" t="n">
        <x:v>46210.26112309028</x:v>
      </x:c>
      <x:c r="V119" s="34" t="n">
        <x:v>5</x:v>
      </x:c>
      <x:c r="W119" s="34" t="n">
        <x:v>0.001</x:v>
      </x:c>
      <x:c r="X119" s="34" t="n">
        <x:v>0.001</x:v>
      </x:c>
      <x:c r="Y119" s="34" t="n">
        <x:v>0.1</x:v>
      </x:c>
      <x:c r="Z119" s="30" t="str">
        <x:f>IF(AND(D119="TRADING",I119&lt;&gt;"",L119&lt;&gt;"",M119&lt;&gt;"",N119&lt;&gt;"",O119&lt;&gt;""),"Yes","No")</x:f>
        <x:v>No</x:v>
      </x:c>
      <x:c r="AA119" s="39" t="str">
        <x:v>https://developers.binance.com/en/docs/catalog/core-trading-spot-trading/api/rest-api</x:v>
      </x:c>
    </x:row>
    <x:row r="120">
      <x:c r="A120" s="30" t="str">
        <x:v>BIGTIMEUSDT</x:v>
      </x:c>
      <x:c r="B120" s="30" t="str">
        <x:v>BIGTIME</x:v>
      </x:c>
      <x:c r="C120" s="30" t="str">
        <x:v>USDT</x:v>
      </x:c>
      <x:c r="D120" s="30" t="str">
        <x:v>TRADING</x:v>
      </x:c>
      <x:c r="E120" s="31" t="b">
        <x:v>1</x:v>
      </x:c>
      <x:c r="F120" s="32" t="n">
        <x:v>45758</x:v>
      </x:c>
      <x:c r="G120" s="32" t="n">
        <x:v>45758.999999988424</x:v>
      </x:c>
      <x:c r="H120" s="33" t="n">
        <x:f>IF(F120="","",('Summary'!$B$5-F120)/365.25)</x:f>
        <x:v>1.3114647264050512</x:v>
      </x:c>
      <x:c r="I120" s="34" t="n">
        <x:v>0.00561</x:v>
      </x:c>
      <x:c r="J120" s="35" t="n">
        <x:v>0.00718</x:v>
      </x:c>
      <x:c r="K120" s="36" t="n">
        <x:v>13021759</x:v>
      </x:c>
      <x:c r="L120" s="36" t="n">
        <x:v>72749.98219</x:v>
      </x:c>
      <x:c r="M120" s="37" t="n">
        <x:v>2867</x:v>
      </x:c>
      <x:c r="N120" s="34" t="n">
        <x:v>0.0056</x:v>
      </x:c>
      <x:c r="O120" s="34" t="n">
        <x:v>0.00561</x:v>
      </x:c>
      <x:c r="P120" s="38" t="n">
        <x:f>IF(OR(N120="",O120="",N120=0,O120=0),"",(O120-N120)/((O120+N120)/2))</x:f>
        <x:v>0.0017841213202498588</x:v>
      </x:c>
      <x:c r="Q120" s="34" t="n">
        <x:v>0.0055868</x:v>
      </x:c>
      <x:c r="R120" s="34" t="n">
        <x:v>0.00567</x:v>
      </x:c>
      <x:c r="S120" s="34" t="n">
        <x:v>0.0055</x:v>
      </x:c>
      <x:c r="T120" s="32" t="n">
        <x:v>46236.01202923611</x:v>
      </x:c>
      <x:c r="U120" s="32" t="n">
        <x:v>46237.01202923611</x:v>
      </x:c>
      <x:c r="V120" s="34" t="n">
        <x:v>5</x:v>
      </x:c>
      <x:c r="W120" s="34" t="n">
        <x:v>1</x:v>
      </x:c>
      <x:c r="X120" s="34" t="n">
        <x:v>1</x:v>
      </x:c>
      <x:c r="Y120" s="34" t="n">
        <x:v>0.00001</x:v>
      </x:c>
      <x:c r="Z120" s="30" t="str">
        <x:f>IF(AND(D120="TRADING",I120&lt;&gt;"",L120&lt;&gt;"",M120&lt;&gt;"",N120&lt;&gt;"",O120&lt;&gt;""),"Yes","No")</x:f>
        <x:v>Yes</x:v>
      </x:c>
      <x:c r="AA120" s="39" t="str">
        <x:v>https://developers.binance.com/en/docs/catalog/core-trading-spot-trading/api/rest-api</x:v>
      </x:c>
    </x:row>
    <x:row r="121">
      <x:c r="A121" s="30" t="str">
        <x:v>BIOUSDT</x:v>
      </x:c>
      <x:c r="B121" s="30" t="str">
        <x:v>BIO</x:v>
      </x:c>
      <x:c r="C121" s="30" t="str">
        <x:v>USDT</x:v>
      </x:c>
      <x:c r="D121" s="30" t="str">
        <x:v>TRADING</x:v>
      </x:c>
      <x:c r="E121" s="31" t="b">
        <x:v>1</x:v>
      </x:c>
      <x:c r="F121" s="32" t="n">
        <x:v>45660</x:v>
      </x:c>
      <x:c r="G121" s="32" t="n">
        <x:v>45660.999999988424</x:v>
      </x:c>
      <x:c r="H121" s="33" t="n">
        <x:f>IF(F121="","",('Summary'!$B$5-F121)/365.25)</x:f>
        <x:v>1.5797741035439972</x:v>
      </x:c>
      <x:c r="I121" s="34" t="n">
        <x:v>0.0223</x:v>
      </x:c>
      <x:c r="J121" s="35" t="n">
        <x:v>-0.0009</x:v>
      </x:c>
      <x:c r="K121" s="36" t="n">
        <x:v>12372138.1</x:v>
      </x:c>
      <x:c r="L121" s="36" t="n">
        <x:v>277138.962835</x:v>
      </x:c>
      <x:c r="M121" s="37" t="n">
        <x:v>3543</x:v>
      </x:c>
      <x:c r="N121" s="34" t="n">
        <x:v>0.02231</x:v>
      </x:c>
      <x:c r="O121" s="34" t="n">
        <x:v>0.02233</x:v>
      </x:c>
      <x:c r="P121" s="38" t="n">
        <x:f>IF(OR(N121="",O121="",N121=0,O121=0),"",(O121-N121)/((O121+N121)/2))</x:f>
        <x:v>0.0008960573476702144</x:v>
      </x:c>
      <x:c r="Q121" s="34" t="n">
        <x:v>0.02240025</x:v>
      </x:c>
      <x:c r="R121" s="34" t="n">
        <x:v>0.02266</x:v>
      </x:c>
      <x:c r="S121" s="34" t="n">
        <x:v>0.02222</x:v>
      </x:c>
      <x:c r="T121" s="32" t="n">
        <x:v>46236.01234141204</x:v>
      </x:c>
      <x:c r="U121" s="32" t="n">
        <x:v>46237.01234141204</x:v>
      </x:c>
      <x:c r="V121" s="34" t="n">
        <x:v>5</x:v>
      </x:c>
      <x:c r="W121" s="34" t="n">
        <x:v>0.1</x:v>
      </x:c>
      <x:c r="X121" s="34" t="n">
        <x:v>0.1</x:v>
      </x:c>
      <x:c r="Y121" s="34" t="n">
        <x:v>0.00001</x:v>
      </x:c>
      <x:c r="Z121" s="30" t="str">
        <x:f>IF(AND(D121="TRADING",I121&lt;&gt;"",L121&lt;&gt;"",M121&lt;&gt;"",N121&lt;&gt;"",O121&lt;&gt;""),"Yes","No")</x:f>
        <x:v>Yes</x:v>
      </x:c>
      <x:c r="AA121" s="39" t="str">
        <x:v>https://developers.binance.com/en/docs/catalog/core-trading-spot-trading/api/rest-api</x:v>
      </x:c>
    </x:row>
    <x:row r="122">
      <x:c r="A122" s="30" t="str">
        <x:v>BKRWUSDT</x:v>
      </x:c>
      <x:c r="B122" s="30" t="str">
        <x:v>BKRW</x:v>
      </x:c>
      <x:c r="C122" s="30" t="str">
        <x:v>USDT</x:v>
      </x:c>
      <x:c r="D122" s="30" t="str">
        <x:v>BREAK</x:v>
      </x:c>
      <x:c r="E122" s="31" t="b">
        <x:v>1</x:v>
      </x:c>
      <x:c r="F122" s="32" t="n">
        <x:v>44018</x:v>
      </x:c>
      <x:c r="G122" s="32" t="n">
        <x:v>44018.999999988424</x:v>
      </x:c>
      <x:c r="H122" s="33" t="n">
        <x:f>IF(F122="","",('Summary'!$B$5-F122)/365.25)</x:f>
        <x:v>6.0753250960149074</x:v>
      </x:c>
      <x:c r="I122" s="34" t="n">
        <x:v>0</x:v>
      </x:c>
      <x:c r="J122" s="35" t="n">
        <x:v>0</x:v>
      </x:c>
      <x:c r="K122" s="36" t="n">
        <x:v>0</x:v>
      </x:c>
      <x:c r="L122" s="36" t="n">
        <x:v>0</x:v>
      </x:c>
      <x:c r="M122" s="37" t="n">
        <x:v>0</x:v>
      </x:c>
      <x:c r="N122" s="34" t="n">
        <x:v>0</x:v>
      </x:c>
      <x:c r="O122" s="34" t="n">
        <x:v>0</x:v>
      </x:c>
      <x:c r="P122" s="38" t="str">
        <x:f>IF(OR(N122="",O122="",N122=0,O122=0),"",(O122-N122)/((O122+N122)/2))</x:f>
      </x:c>
      <x:c r="Q122" s="34" t="n">
        <x:v>0</x:v>
      </x:c>
      <x:c r="R122" s="34" t="n">
        <x:v>0</x:v>
      </x:c>
      <x:c r="S122" s="34" t="n">
        <x:v>0</x:v>
      </x:c>
      <x:c r="T122" s="32" t="n">
        <x:v>46209.26112309028</x:v>
      </x:c>
      <x:c r="U122" s="32" t="n">
        <x:v>46210.26112309028</x:v>
      </x:c>
      <x:c r="V122" s="34" t="n">
        <x:v>10</x:v>
      </x:c>
      <x:c r="W122" s="34" t="n">
        <x:v>1</x:v>
      </x:c>
      <x:c r="X122" s="34" t="n">
        <x:v>1</x:v>
      </x:c>
      <x:c r="Y122" s="34" t="n">
        <x:v>1e-7</x:v>
      </x:c>
      <x:c r="Z122" s="30" t="str">
        <x:f>IF(AND(D122="TRADING",I122&lt;&gt;"",L122&lt;&gt;"",M122&lt;&gt;"",N122&lt;&gt;"",O122&lt;&gt;""),"Yes","No")</x:f>
        <x:v>No</x:v>
      </x:c>
      <x:c r="AA122" s="39" t="str">
        <x:v>https://developers.binance.com/en/docs/catalog/core-trading-spot-trading/api/rest-api</x:v>
      </x:c>
    </x:row>
    <x:row r="123">
      <x:c r="A123" s="30" t="str">
        <x:v>BLURUSDT</x:v>
      </x:c>
      <x:c r="B123" s="30" t="str">
        <x:v>BLUR</x:v>
      </x:c>
      <x:c r="C123" s="30" t="str">
        <x:v>USDT</x:v>
      </x:c>
      <x:c r="D123" s="30" t="str">
        <x:v>TRADING</x:v>
      </x:c>
      <x:c r="E123" s="31" t="b">
        <x:v>1</x:v>
      </x:c>
      <x:c r="F123" s="32" t="n">
        <x:v>45254</x:v>
      </x:c>
      <x:c r="G123" s="32" t="n">
        <x:v>45254.999999988424</x:v>
      </x:c>
      <x:c r="H123" s="33" t="n">
        <x:f>IF(F123="","",('Summary'!$B$5-F123)/365.25)</x:f>
        <x:v>2.6913415231196303</x:v>
      </x:c>
      <x:c r="I123" s="34" t="n">
        <x:v>0.01394</x:v>
      </x:c>
      <x:c r="J123" s="35" t="n">
        <x:v>0.0028799999999999997</x:v>
      </x:c>
      <x:c r="K123" s="36" t="n">
        <x:v>7839460.6</x:v>
      </x:c>
      <x:c r="L123" s="36" t="n">
        <x:v>109210.173822</x:v>
      </x:c>
      <x:c r="M123" s="37" t="n">
        <x:v>1449</x:v>
      </x:c>
      <x:c r="N123" s="34" t="n">
        <x:v>0.01392</x:v>
      </x:c>
      <x:c r="O123" s="34" t="n">
        <x:v>0.01393</x:v>
      </x:c>
      <x:c r="P123" s="38" t="n">
        <x:f>IF(OR(N123="",O123="",N123=0,O123=0),"",(O123-N123)/((O123+N123)/2))</x:f>
        <x:v>0.0007181328545780677</x:v>
      </x:c>
      <x:c r="Q123" s="34" t="n">
        <x:v>0.01393083</x:v>
      </x:c>
      <x:c r="R123" s="34" t="n">
        <x:v>0.01414</x:v>
      </x:c>
      <x:c r="S123" s="34" t="n">
        <x:v>0.0138</x:v>
      </x:c>
      <x:c r="T123" s="32" t="n">
        <x:v>46236.012254155095</x:v>
      </x:c>
      <x:c r="U123" s="32" t="n">
        <x:v>46237.012254155095</x:v>
      </x:c>
      <x:c r="V123" s="34" t="n">
        <x:v>5</x:v>
      </x:c>
      <x:c r="W123" s="34" t="n">
        <x:v>0.1</x:v>
      </x:c>
      <x:c r="X123" s="34" t="n">
        <x:v>0.1</x:v>
      </x:c>
      <x:c r="Y123" s="34" t="n">
        <x:v>0.00001</x:v>
      </x:c>
      <x:c r="Z123" s="30" t="str">
        <x:f>IF(AND(D123="TRADING",I123&lt;&gt;"",L123&lt;&gt;"",M123&lt;&gt;"",N123&lt;&gt;"",O123&lt;&gt;""),"Yes","No")</x:f>
        <x:v>Yes</x:v>
      </x:c>
      <x:c r="AA123" s="39" t="str">
        <x:v>https://developers.binance.com/en/docs/catalog/core-trading-spot-trading/api/rest-api</x:v>
      </x:c>
    </x:row>
    <x:row r="124">
      <x:c r="A124" s="30" t="str">
        <x:v>BLZUSDT</x:v>
      </x:c>
      <x:c r="B124" s="30" t="str">
        <x:v>BLZ</x:v>
      </x:c>
      <x:c r="C124" s="30" t="str">
        <x:v>USDT</x:v>
      </x:c>
      <x:c r="D124" s="30" t="str">
        <x:v>BREAK</x:v>
      </x:c>
      <x:c r="E124" s="31" t="b">
        <x:v>1</x:v>
      </x:c>
      <x:c r="F124" s="32" t="n">
        <x:v>44054</x:v>
      </x:c>
      <x:c r="G124" s="32" t="n">
        <x:v>44054.999999988424</x:v>
      </x:c>
      <x:c r="H124" s="33" t="n">
        <x:f>IF(F124="","",('Summary'!$B$5-F124)/365.25)</x:f>
        <x:v>5.976762467678152</x:v>
      </x:c>
      <x:c r="I124" s="34" t="n">
        <x:v>0.0582</x:v>
      </x:c>
      <x:c r="J124" s="35" t="n">
        <x:v>0.00172</x:v>
      </x:c>
      <x:c r="K124" s="36" t="n">
        <x:v>15047472</x:v>
      </x:c>
      <x:c r="L124" s="36" t="n">
        <x:v>881426.1307</x:v>
      </x:c>
      <x:c r="M124" s="37" t="n">
        <x:v>4001</x:v>
      </x:c>
      <x:c r="N124" s="34" t="n">
        <x:v>0</x:v>
      </x:c>
      <x:c r="O124" s="34" t="n">
        <x:v>0</x:v>
      </x:c>
      <x:c r="P124" s="38" t="str">
        <x:f>IF(OR(N124="",O124="",N124=0,O124=0),"",(O124-N124)/((O124+N124)/2))</x:f>
      </x:c>
      <x:c r="Q124" s="34" t="n">
        <x:v>0.05857636</x:v>
      </x:c>
      <x:c r="R124" s="34" t="n">
        <x:v>0.062</x:v>
      </x:c>
      <x:c r="S124" s="34" t="n">
        <x:v>0.056</x:v>
      </x:c>
      <x:c r="T124" s="32" t="n">
        <x:v>46209.26112309028</x:v>
      </x:c>
      <x:c r="U124" s="32" t="n">
        <x:v>46210.26112309028</x:v>
      </x:c>
      <x:c r="V124" s="34" t="n">
        <x:v>5</x:v>
      </x:c>
      <x:c r="W124" s="34" t="n">
        <x:v>1</x:v>
      </x:c>
      <x:c r="X124" s="34" t="n">
        <x:v>1</x:v>
      </x:c>
      <x:c r="Y124" s="34" t="n">
        <x:v>0.0001</x:v>
      </x:c>
      <x:c r="Z124" s="30" t="str">
        <x:f>IF(AND(D124="TRADING",I124&lt;&gt;"",L124&lt;&gt;"",M124&lt;&gt;"",N124&lt;&gt;"",O124&lt;&gt;""),"Yes","No")</x:f>
        <x:v>No</x:v>
      </x:c>
      <x:c r="AA124" s="39" t="str">
        <x:v>https://developers.binance.com/en/docs/catalog/core-trading-spot-trading/api/rest-api</x:v>
      </x:c>
    </x:row>
    <x:row r="125">
      <x:c r="A125" s="30" t="str">
        <x:v>BMTUSDT</x:v>
      </x:c>
      <x:c r="B125" s="30" t="str">
        <x:v>BMT</x:v>
      </x:c>
      <x:c r="C125" s="30" t="str">
        <x:v>USDT</x:v>
      </x:c>
      <x:c r="D125" s="30" t="str">
        <x:v>TRADING</x:v>
      </x:c>
      <x:c r="E125" s="31" t="b">
        <x:v>1</x:v>
      </x:c>
      <x:c r="F125" s="32" t="n">
        <x:v>45734</x:v>
      </x:c>
      <x:c r="G125" s="32" t="n">
        <x:v>45734.999999988424</x:v>
      </x:c>
      <x:c r="H125" s="33" t="n">
        <x:f>IF(F125="","",('Summary'!$B$5-F125)/365.25)</x:f>
        <x:v>1.3771731452962217</x:v>
      </x:c>
      <x:c r="I125" s="34" t="n">
        <x:v>0.01165</x:v>
      </x:c>
      <x:c r="J125" s="35" t="n">
        <x:v>-0.012709999999999999</x:v>
      </x:c>
      <x:c r="K125" s="36" t="n">
        <x:v>6274236.3</x:v>
      </x:c>
      <x:c r="L125" s="36" t="n">
        <x:v>73636.481344</x:v>
      </x:c>
      <x:c r="M125" s="37" t="n">
        <x:v>2276</x:v>
      </x:c>
      <x:c r="N125" s="34" t="n">
        <x:v>0.01166</x:v>
      </x:c>
      <x:c r="O125" s="34" t="n">
        <x:v>0.01167</x:v>
      </x:c>
      <x:c r="P125" s="38" t="n">
        <x:f>IF(OR(N125="",O125="",N125=0,O125=0),"",(O125-N125)/((O125+N125)/2))</x:f>
        <x:v>0.0008572653236176247</x:v>
      </x:c>
      <x:c r="Q125" s="34" t="n">
        <x:v>0.01173633</x:v>
      </x:c>
      <x:c r="R125" s="34" t="n">
        <x:v>0.01188</x:v>
      </x:c>
      <x:c r="S125" s="34" t="n">
        <x:v>0.01164</x:v>
      </x:c>
      <x:c r="T125" s="32" t="n">
        <x:v>46236.01171895833</x:v>
      </x:c>
      <x:c r="U125" s="32" t="n">
        <x:v>46237.01171895833</x:v>
      </x:c>
      <x:c r="V125" s="34" t="n">
        <x:v>5</x:v>
      </x:c>
      <x:c r="W125" s="34" t="n">
        <x:v>0.1</x:v>
      </x:c>
      <x:c r="X125" s="34" t="n">
        <x:v>0.1</x:v>
      </x:c>
      <x:c r="Y125" s="34" t="n">
        <x:v>0.00001</x:v>
      </x:c>
      <x:c r="Z125" s="30" t="str">
        <x:f>IF(AND(D125="TRADING",I125&lt;&gt;"",L125&lt;&gt;"",M125&lt;&gt;"",N125&lt;&gt;"",O125&lt;&gt;""),"Yes","No")</x:f>
        <x:v>Yes</x:v>
      </x:c>
      <x:c r="AA125" s="39" t="str">
        <x:v>https://developers.binance.com/en/docs/catalog/core-trading-spot-trading/api/rest-api</x:v>
      </x:c>
    </x:row>
    <x:row r="126">
      <x:c r="A126" s="30" t="str">
        <x:v>BNBBEARUSDT</x:v>
      </x:c>
      <x:c r="B126" s="30" t="str">
        <x:v>BNBBEAR</x:v>
      </x:c>
      <x:c r="C126" s="30" t="str">
        <x:v>USDT</x:v>
      </x:c>
      <x:c r="D126" s="30" t="str">
        <x:v>BREAK</x:v>
      </x:c>
      <x:c r="E126" s="31" t="b">
        <x:v>1</x:v>
      </x:c>
      <x:c r="F126" s="32" t="n">
        <x:v>43901</x:v>
      </x:c>
      <x:c r="G126" s="32" t="n">
        <x:v>43901.999999988424</x:v>
      </x:c>
      <x:c r="H126" s="33" t="n">
        <x:f>IF(F126="","",('Summary'!$B$5-F126)/365.25)</x:f>
        <x:v>6.395653638109363</x:v>
      </x:c>
      <x:c r="I126" s="34" t="n">
        <x:v>0</x:v>
      </x:c>
      <x:c r="J126" s="35" t="n">
        <x:v>0</x:v>
      </x:c>
      <x:c r="K126" s="36" t="n">
        <x:v>0</x:v>
      </x:c>
      <x:c r="L126" s="36" t="n">
        <x:v>0</x:v>
      </x:c>
      <x:c r="M126" s="37" t="n">
        <x:v>0</x:v>
      </x:c>
      <x:c r="N126" s="34" t="n">
        <x:v>0</x:v>
      </x:c>
      <x:c r="O126" s="34" t="n">
        <x:v>0</x:v>
      </x:c>
      <x:c r="P126" s="38" t="str">
        <x:f>IF(OR(N126="",O126="",N126=0,O126=0),"",(O126-N126)/((O126+N126)/2))</x:f>
      </x:c>
      <x:c r="Q126" s="34" t="n">
        <x:v>0</x:v>
      </x:c>
      <x:c r="R126" s="34" t="n">
        <x:v>0</x:v>
      </x:c>
      <x:c r="S126" s="34" t="n">
        <x:v>0</x:v>
      </x:c>
      <x:c r="T126" s="32" t="n">
        <x:v>46209.26112309028</x:v>
      </x:c>
      <x:c r="U126" s="32" t="n">
        <x:v>46210.26112309028</x:v>
      </x:c>
      <x:c r="V126" s="34" t="n">
        <x:v>10</x:v>
      </x:c>
      <x:c r="W126" s="34" t="n">
        <x:v>0.00001</x:v>
      </x:c>
      <x:c r="X126" s="34" t="n">
        <x:v>0.00001</x:v>
      </x:c>
      <x:c r="Y126" s="34" t="n">
        <x:v>0.01</x:v>
      </x:c>
      <x:c r="Z126" s="30" t="str">
        <x:f>IF(AND(D126="TRADING",I126&lt;&gt;"",L126&lt;&gt;"",M126&lt;&gt;"",N126&lt;&gt;"",O126&lt;&gt;""),"Yes","No")</x:f>
        <x:v>No</x:v>
      </x:c>
      <x:c r="AA126" s="39" t="str">
        <x:v>https://developers.binance.com/en/docs/catalog/core-trading-spot-trading/api/rest-api</x:v>
      </x:c>
    </x:row>
    <x:row r="127">
      <x:c r="A127" s="30" t="str">
        <x:v>BNBBULLUSDT</x:v>
      </x:c>
      <x:c r="B127" s="30" t="str">
        <x:v>BNBBULL</x:v>
      </x:c>
      <x:c r="C127" s="30" t="str">
        <x:v>USDT</x:v>
      </x:c>
      <x:c r="D127" s="30" t="str">
        <x:v>BREAK</x:v>
      </x:c>
      <x:c r="E127" s="31" t="b">
        <x:v>1</x:v>
      </x:c>
      <x:c r="F127" s="32" t="n">
        <x:v>43901</x:v>
      </x:c>
      <x:c r="G127" s="32" t="n">
        <x:v>43901.999999988424</x:v>
      </x:c>
      <x:c r="H127" s="33" t="n">
        <x:f>IF(F127="","",('Summary'!$B$5-F127)/365.25)</x:f>
        <x:v>6.395653638109363</x:v>
      </x:c>
      <x:c r="I127" s="34" t="n">
        <x:v>0</x:v>
      </x:c>
      <x:c r="J127" s="35" t="n">
        <x:v>0</x:v>
      </x:c>
      <x:c r="K127" s="36" t="n">
        <x:v>0</x:v>
      </x:c>
      <x:c r="L127" s="36" t="n">
        <x:v>0</x:v>
      </x:c>
      <x:c r="M127" s="37" t="n">
        <x:v>0</x:v>
      </x:c>
      <x:c r="N127" s="34" t="n">
        <x:v>0</x:v>
      </x:c>
      <x:c r="O127" s="34" t="n">
        <x:v>0</x:v>
      </x:c>
      <x:c r="P127" s="38" t="str">
        <x:f>IF(OR(N127="",O127="",N127=0,O127=0),"",(O127-N127)/((O127+N127)/2))</x:f>
      </x:c>
      <x:c r="Q127" s="34" t="n">
        <x:v>0</x:v>
      </x:c>
      <x:c r="R127" s="34" t="n">
        <x:v>0</x:v>
      </x:c>
      <x:c r="S127" s="34" t="n">
        <x:v>0</x:v>
      </x:c>
      <x:c r="T127" s="32" t="n">
        <x:v>46209.26112309028</x:v>
      </x:c>
      <x:c r="U127" s="32" t="n">
        <x:v>46210.26112309028</x:v>
      </x:c>
      <x:c r="V127" s="34" t="n">
        <x:v>10</x:v>
      </x:c>
      <x:c r="W127" s="34" t="n">
        <x:v>0.00001</x:v>
      </x:c>
      <x:c r="X127" s="34" t="n">
        <x:v>0.00001</x:v>
      </x:c>
      <x:c r="Y127" s="34" t="n">
        <x:v>0.01</x:v>
      </x:c>
      <x:c r="Z127" s="30" t="str">
        <x:f>IF(AND(D127="TRADING",I127&lt;&gt;"",L127&lt;&gt;"",M127&lt;&gt;"",N127&lt;&gt;"",O127&lt;&gt;""),"Yes","No")</x:f>
        <x:v>No</x:v>
      </x:c>
      <x:c r="AA127" s="39" t="str">
        <x:v>https://developers.binance.com/en/docs/catalog/core-trading-spot-trading/api/rest-api</x:v>
      </x:c>
    </x:row>
    <x:row r="128">
      <x:c r="A128" s="30" t="str">
        <x:v>BNBUSDT</x:v>
      </x:c>
      <x:c r="B128" s="30" t="str">
        <x:v>BNB</x:v>
      </x:c>
      <x:c r="C128" s="30" t="str">
        <x:v>USDT</x:v>
      </x:c>
      <x:c r="D128" s="30" t="str">
        <x:v>TRADING</x:v>
      </x:c>
      <x:c r="E128" s="31" t="b">
        <x:v>1</x:v>
      </x:c>
      <x:c r="F128" s="32" t="n">
        <x:v>43045</x:v>
      </x:c>
      <x:c r="G128" s="32" t="n">
        <x:v>43045.999999988424</x:v>
      </x:c>
      <x:c r="H128" s="33" t="n">
        <x:f>IF(F128="","",('Summary'!$B$5-F128)/365.25)</x:f>
        <x:v>8.739253911894442</x:v>
      </x:c>
      <x:c r="I128" s="34" t="n">
        <x:v>586.35</x:v>
      </x:c>
      <x:c r="J128" s="35" t="n">
        <x:v>0.01717</x:v>
      </x:c>
      <x:c r="K128" s="36" t="n">
        <x:v>77383.668</x:v>
      </x:c>
      <x:c r="L128" s="36" t="n">
        <x:v>45227047.46585</x:v>
      </x:c>
      <x:c r="M128" s="37" t="n">
        <x:v>422519</x:v>
      </x:c>
      <x:c r="N128" s="34" t="n">
        <x:v>586.34</x:v>
      </x:c>
      <x:c r="O128" s="34" t="n">
        <x:v>586.35</x:v>
      </x:c>
      <x:c r="P128" s="38" t="n">
        <x:f>IF(OR(N128="",O128="",N128=0,O128=0),"",(O128-N128)/((O128+N128)/2))</x:f>
        <x:v>0.000017054805617837458</x:v>
      </x:c>
      <x:c r="Q128" s="34" t="n">
        <x:v>584.45210255</x:v>
      </x:c>
      <x:c r="R128" s="34" t="n">
        <x:v>590.99</x:v>
      </x:c>
      <x:c r="S128" s="34" t="n">
        <x:v>574.03</x:v>
      </x:c>
      <x:c r="T128" s="32" t="n">
        <x:v>46236.012489409724</x:v>
      </x:c>
      <x:c r="U128" s="32" t="n">
        <x:v>46237.012489409724</x:v>
      </x:c>
      <x:c r="V128" s="34" t="n">
        <x:v>5</x:v>
      </x:c>
      <x:c r="W128" s="34" t="n">
        <x:v>0.001</x:v>
      </x:c>
      <x:c r="X128" s="34" t="n">
        <x:v>0.001</x:v>
      </x:c>
      <x:c r="Y128" s="34" t="n">
        <x:v>0.01</x:v>
      </x:c>
      <x:c r="Z128" s="30" t="str">
        <x:f>IF(AND(D128="TRADING",I128&lt;&gt;"",L128&lt;&gt;"",M128&lt;&gt;"",N128&lt;&gt;"",O128&lt;&gt;""),"Yes","No")</x:f>
        <x:v>Yes</x:v>
      </x:c>
      <x:c r="AA128" s="39" t="str">
        <x:v>https://developers.binance.com/en/docs/catalog/core-trading-spot-trading/api/rest-api</x:v>
      </x:c>
    </x:row>
    <x:row r="129">
      <x:c r="A129" s="30" t="str">
        <x:v>BNSOLUSDT</x:v>
      </x:c>
      <x:c r="B129" s="30" t="str">
        <x:v>BNSOL</x:v>
      </x:c>
      <x:c r="C129" s="30" t="str">
        <x:v>USDT</x:v>
      </x:c>
      <x:c r="D129" s="30" t="str">
        <x:v>TRADING</x:v>
      </x:c>
      <x:c r="E129" s="31" t="b">
        <x:v>1</x:v>
      </x:c>
      <x:c r="F129" s="32" t="n">
        <x:v>45582</x:v>
      </x:c>
      <x:c r="G129" s="32" t="n">
        <x:v>45582.999999988424</x:v>
      </x:c>
      <x:c r="H129" s="33" t="n">
        <x:f>IF(F129="","",('Summary'!$B$5-F129)/365.25)</x:f>
        <x:v>1.7933264649403011</x:v>
      </x:c>
      <x:c r="I129" s="34" t="n">
        <x:v>82.6</x:v>
      </x:c>
      <x:c r="J129" s="35" t="n">
        <x:v>0.018500000000000003</x:v>
      </x:c>
      <x:c r="K129" s="36" t="n">
        <x:v>1616.862</x:v>
      </x:c>
      <x:c r="L129" s="36" t="n">
        <x:v>133144.8248</x:v>
      </x:c>
      <x:c r="M129" s="37" t="n">
        <x:v>2036</x:v>
      </x:c>
      <x:c r="N129" s="34" t="n">
        <x:v>82.6</x:v>
      </x:c>
      <x:c r="O129" s="34" t="n">
        <x:v>82.7</x:v>
      </x:c>
      <x:c r="P129" s="38" t="n">
        <x:f>IF(OR(N129="",O129="",N129=0,O129=0),"",(O129-N129)/((O129+N129)/2))</x:f>
        <x:v>0.0012099213551120208</x:v>
      </x:c>
      <x:c r="Q129" s="34" t="n">
        <x:v>82.34767395</x:v>
      </x:c>
      <x:c r="R129" s="34" t="n">
        <x:v>83.5</x:v>
      </x:c>
      <x:c r="S129" s="34" t="n">
        <x:v>81</x:v>
      </x:c>
      <x:c r="T129" s="32" t="n">
        <x:v>46236.01226991898</x:v>
      </x:c>
      <x:c r="U129" s="32" t="n">
        <x:v>46237.01226991898</x:v>
      </x:c>
      <x:c r="V129" s="34" t="n">
        <x:v>5</x:v>
      </x:c>
      <x:c r="W129" s="34" t="n">
        <x:v>0.001</x:v>
      </x:c>
      <x:c r="X129" s="34" t="n">
        <x:v>0.001</x:v>
      </x:c>
      <x:c r="Y129" s="34" t="n">
        <x:v>0.1</x:v>
      </x:c>
      <x:c r="Z129" s="30" t="str">
        <x:f>IF(AND(D129="TRADING",I129&lt;&gt;"",L129&lt;&gt;"",M129&lt;&gt;"",N129&lt;&gt;"",O129&lt;&gt;""),"Yes","No")</x:f>
        <x:v>Yes</x:v>
      </x:c>
      <x:c r="AA129" s="39" t="str">
        <x:v>https://developers.binance.com/en/docs/catalog/core-trading-spot-trading/api/rest-api</x:v>
      </x:c>
    </x:row>
    <x:row r="130">
      <x:c r="A130" s="30" t="str">
        <x:v>BNTUSDT</x:v>
      </x:c>
      <x:c r="B130" s="30" t="str">
        <x:v>BNT</x:v>
      </x:c>
      <x:c r="C130" s="30" t="str">
        <x:v>USDT</x:v>
      </x:c>
      <x:c r="D130" s="30" t="str">
        <x:v>TRADING</x:v>
      </x:c>
      <x:c r="E130" s="31" t="b">
        <x:v>1</x:v>
      </x:c>
      <x:c r="F130" s="32" t="n">
        <x:v>43867</x:v>
      </x:c>
      <x:c r="G130" s="32" t="n">
        <x:v>43867.999999988424</x:v>
      </x:c>
      <x:c r="H130" s="33" t="n">
        <x:f>IF(F130="","",('Summary'!$B$5-F130)/365.25)</x:f>
        <x:v>6.488740564871855</x:v>
      </x:c>
      <x:c r="I130" s="34" t="n">
        <x:v>0.2649</x:v>
      </x:c>
      <x:c r="J130" s="35" t="n">
        <x:v>0.00455</x:v>
      </x:c>
      <x:c r="K130" s="36" t="n">
        <x:v>278673</x:v>
      </x:c>
      <x:c r="L130" s="36" t="n">
        <x:v>73552.15763</x:v>
      </x:c>
      <x:c r="M130" s="37" t="n">
        <x:v>1395</x:v>
      </x:c>
      <x:c r="N130" s="34" t="n">
        <x:v>0.2643</x:v>
      </x:c>
      <x:c r="O130" s="34" t="n">
        <x:v>0.2646</x:v>
      </x:c>
      <x:c r="P130" s="38" t="n">
        <x:f>IF(OR(N130="",O130="",N130=0,O130=0),"",(O130-N130)/((O130+N130)/2))</x:f>
        <x:v>0.0011344299489507374</x:v>
      </x:c>
      <x:c r="Q130" s="34" t="n">
        <x:v>0.26393715</x:v>
      </x:c>
      <x:c r="R130" s="34" t="n">
        <x:v>0.2669</x:v>
      </x:c>
      <x:c r="S130" s="34" t="n">
        <x:v>0.2613</x:v>
      </x:c>
      <x:c r="T130" s="32" t="n">
        <x:v>46236.012456909724</x:v>
      </x:c>
      <x:c r="U130" s="32" t="n">
        <x:v>46237.012456909724</x:v>
      </x:c>
      <x:c r="V130" s="34" t="n">
        <x:v>5</x:v>
      </x:c>
      <x:c r="W130" s="34" t="n">
        <x:v>0.1</x:v>
      </x:c>
      <x:c r="X130" s="34" t="n">
        <x:v>0.1</x:v>
      </x:c>
      <x:c r="Y130" s="34" t="n">
        <x:v>0.0001</x:v>
      </x:c>
      <x:c r="Z130" s="30" t="str">
        <x:f>IF(AND(D130="TRADING",I130&lt;&gt;"",L130&lt;&gt;"",M130&lt;&gt;"",N130&lt;&gt;"",O130&lt;&gt;""),"Yes","No")</x:f>
        <x:v>Yes</x:v>
      </x:c>
      <x:c r="AA130" s="39" t="str">
        <x:v>https://developers.binance.com/en/docs/catalog/core-trading-spot-trading/api/rest-api</x:v>
      </x:c>
    </x:row>
    <x:row r="131">
      <x:c r="A131" s="30" t="str">
        <x:v>BNXUSDT</x:v>
      </x:c>
      <x:c r="B131" s="30" t="str">
        <x:v>BNX</x:v>
      </x:c>
      <x:c r="C131" s="30" t="str">
        <x:v>USDT</x:v>
      </x:c>
      <x:c r="D131" s="30" t="str">
        <x:v>BREAK</x:v>
      </x:c>
      <x:c r="E131" s="31" t="b">
        <x:v>1</x:v>
      </x:c>
      <x:c r="F131" s="32" t="n">
        <x:v>44504</x:v>
      </x:c>
      <x:c r="G131" s="32" t="n">
        <x:v>44504.999999988424</x:v>
      </x:c>
      <x:c r="H131" s="33" t="n">
        <x:f>IF(F131="","",('Summary'!$B$5-F131)/365.25)</x:f>
        <x:v>4.7447296134687065</x:v>
      </x:c>
      <x:c r="I131" s="34" t="n">
        <x:v>1.7819</x:v>
      </x:c>
      <x:c r="J131" s="35" t="n">
        <x:v>0.0281</x:v>
      </x:c>
      <x:c r="K131" s="36" t="n">
        <x:v>433970.9</x:v>
      </x:c>
      <x:c r="L131" s="36" t="n">
        <x:v>768036.30934</x:v>
      </x:c>
      <x:c r="M131" s="37" t="n">
        <x:v>4001</x:v>
      </x:c>
      <x:c r="N131" s="34" t="n">
        <x:v>0</x:v>
      </x:c>
      <x:c r="O131" s="34" t="n">
        <x:v>0</x:v>
      </x:c>
      <x:c r="P131" s="38" t="str">
        <x:f>IF(OR(N131="",O131="",N131=0,O131=0),"",(O131-N131)/((O131+N131)/2))</x:f>
      </x:c>
      <x:c r="Q131" s="34" t="n">
        <x:v>1.76978758</x:v>
      </x:c>
      <x:c r="R131" s="34" t="n">
        <x:v>1.83</x:v>
      </x:c>
      <x:c r="S131" s="34" t="n">
        <x:v>1.7281</x:v>
      </x:c>
      <x:c r="T131" s="32" t="n">
        <x:v>46209.26112309028</x:v>
      </x:c>
      <x:c r="U131" s="32" t="n">
        <x:v>46210.26112309028</x:v>
      </x:c>
      <x:c r="V131" s="34" t="n">
        <x:v>5</x:v>
      </x:c>
      <x:c r="W131" s="34" t="n">
        <x:v>0.1</x:v>
      </x:c>
      <x:c r="X131" s="34" t="n">
        <x:v>0.1</x:v>
      </x:c>
      <x:c r="Y131" s="34" t="n">
        <x:v>0.0001</x:v>
      </x:c>
      <x:c r="Z131" s="30" t="str">
        <x:f>IF(AND(D131="TRADING",I131&lt;&gt;"",L131&lt;&gt;"",M131&lt;&gt;"",N131&lt;&gt;"",O131&lt;&gt;""),"Yes","No")</x:f>
        <x:v>No</x:v>
      </x:c>
      <x:c r="AA131" s="39" t="str">
        <x:v>https://developers.binance.com/en/docs/catalog/core-trading-spot-trading/api/rest-api</x:v>
      </x:c>
    </x:row>
    <x:row r="132">
      <x:c r="A132" s="30" t="str">
        <x:v>BOMEUSDT</x:v>
      </x:c>
      <x:c r="B132" s="30" t="str">
        <x:v>BOME</x:v>
      </x:c>
      <x:c r="C132" s="30" t="str">
        <x:v>USDT</x:v>
      </x:c>
      <x:c r="D132" s="30" t="str">
        <x:v>TRADING</x:v>
      </x:c>
      <x:c r="E132" s="31" t="b">
        <x:v>1</x:v>
      </x:c>
      <x:c r="F132" s="32" t="n">
        <x:v>45367</x:v>
      </x:c>
      <x:c r="G132" s="32" t="n">
        <x:v>45367.999999988424</x:v>
      </x:c>
      <x:c r="H132" s="33" t="n">
        <x:f>IF(F132="","",('Summary'!$B$5-F132)/365.25)</x:f>
        <x:v>2.381964384173703</x:v>
      </x:c>
      <x:c r="I132" s="34" t="n">
        <x:v>0.0005939</x:v>
      </x:c>
      <x:c r="J132" s="35" t="n">
        <x:v>0.05526</x:v>
      </x:c>
      <x:c r="K132" s="36" t="n">
        <x:v>3007367502</x:v>
      </x:c>
      <x:c r="L132" s="36" t="n">
        <x:v>1835905.4051389</x:v>
      </x:c>
      <x:c r="M132" s="37" t="n">
        <x:v>75666</x:v>
      </x:c>
      <x:c r="N132" s="34" t="n">
        <x:v>0.0005937</x:v>
      </x:c>
      <x:c r="O132" s="34" t="n">
        <x:v>0.000594</x:v>
      </x:c>
      <x:c r="P132" s="38" t="n">
        <x:f>IF(OR(N132="",O132="",N132=0,O132=0),"",(O132-N132)/((O132+N132)/2))</x:f>
        <x:v>0.0005051780752716368</x:v>
      </x:c>
      <x:c r="Q132" s="34" t="n">
        <x:v>0.00061047</x:v>
      </x:c>
      <x:c r="R132" s="34" t="n">
        <x:v>0.000639</x:v>
      </x:c>
      <x:c r="S132" s="34" t="n">
        <x:v>0.00056</x:v>
      </x:c>
      <x:c r="T132" s="32" t="n">
        <x:v>46236.01237319445</x:v>
      </x:c>
      <x:c r="U132" s="32" t="n">
        <x:v>46237.01237319445</x:v>
      </x:c>
      <x:c r="V132" s="34" t="n">
        <x:v>1</x:v>
      </x:c>
      <x:c r="W132" s="34" t="n">
        <x:v>1</x:v>
      </x:c>
      <x:c r="X132" s="34" t="n">
        <x:v>1</x:v>
      </x:c>
      <x:c r="Y132" s="34" t="n">
        <x:v>1e-7</x:v>
      </x:c>
      <x:c r="Z132" s="30" t="str">
        <x:f>IF(AND(D132="TRADING",I132&lt;&gt;"",L132&lt;&gt;"",M132&lt;&gt;"",N132&lt;&gt;"",O132&lt;&gt;""),"Yes","No")</x:f>
        <x:v>Yes</x:v>
      </x:c>
      <x:c r="AA132" s="39" t="str">
        <x:v>https://developers.binance.com/en/docs/catalog/core-trading-spot-trading/api/rest-api</x:v>
      </x:c>
    </x:row>
    <x:row r="133">
      <x:c r="A133" s="30" t="str">
        <x:v>BONDUSDT</x:v>
      </x:c>
      <x:c r="B133" s="30" t="str">
        <x:v>BOND</x:v>
      </x:c>
      <x:c r="C133" s="30" t="str">
        <x:v>USDT</x:v>
      </x:c>
      <x:c r="D133" s="30" t="str">
        <x:v>BREAK</x:v>
      </x:c>
      <x:c r="E133" s="31" t="b">
        <x:v>1</x:v>
      </x:c>
      <x:c r="F133" s="32" t="n">
        <x:v>44382</x:v>
      </x:c>
      <x:c r="G133" s="32" t="n">
        <x:v>44382.999999988424</x:v>
      </x:c>
      <x:c r="H133" s="33" t="n">
        <x:f>IF(F133="","",('Summary'!$B$5-F133)/365.25)</x:f>
        <x:v>5.078747409498822</x:v>
      </x:c>
      <x:c r="I133" s="34" t="n">
        <x:v>2.152</x:v>
      </x:c>
      <x:c r="J133" s="35" t="n">
        <x:v>0.04415</x:v>
      </x:c>
      <x:c r="K133" s="36" t="n">
        <x:v>338710.59</x:v>
      </x:c>
      <x:c r="L133" s="36" t="n">
        <x:v>704422.82223</x:v>
      </x:c>
      <x:c r="M133" s="37" t="n">
        <x:v>4001</x:v>
      </x:c>
      <x:c r="N133" s="34" t="n">
        <x:v>0</x:v>
      </x:c>
      <x:c r="O133" s="34" t="n">
        <x:v>0</x:v>
      </x:c>
      <x:c r="P133" s="38" t="str">
        <x:f>IF(OR(N133="",O133="",N133=0,O133=0),"",(O133-N133)/((O133+N133)/2))</x:f>
      </x:c>
      <x:c r="Q133" s="34" t="n">
        <x:v>2.07971892</x:v>
      </x:c>
      <x:c r="R133" s="34" t="n">
        <x:v>2.17</x:v>
      </x:c>
      <x:c r="S133" s="34" t="n">
        <x:v>2.023</x:v>
      </x:c>
      <x:c r="T133" s="32" t="n">
        <x:v>46209.26112309028</x:v>
      </x:c>
      <x:c r="U133" s="32" t="n">
        <x:v>46210.26112309028</x:v>
      </x:c>
      <x:c r="V133" s="34" t="n">
        <x:v>5</x:v>
      </x:c>
      <x:c r="W133" s="34" t="n">
        <x:v>0.01</x:v>
      </x:c>
      <x:c r="X133" s="34" t="n">
        <x:v>0.01</x:v>
      </x:c>
      <x:c r="Y133" s="34" t="n">
        <x:v>0.001</x:v>
      </x:c>
      <x:c r="Z133" s="30" t="str">
        <x:f>IF(AND(D133="TRADING",I133&lt;&gt;"",L133&lt;&gt;"",M133&lt;&gt;"",N133&lt;&gt;"",O133&lt;&gt;""),"Yes","No")</x:f>
        <x:v>No</x:v>
      </x:c>
      <x:c r="AA133" s="39" t="str">
        <x:v>https://developers.binance.com/en/docs/catalog/core-trading-spot-trading/api/rest-api</x:v>
      </x:c>
    </x:row>
    <x:row r="134">
      <x:c r="A134" s="30" t="str">
        <x:v>BONKUSDT</x:v>
      </x:c>
      <x:c r="B134" s="30" t="str">
        <x:v>BONK</x:v>
      </x:c>
      <x:c r="C134" s="30" t="str">
        <x:v>USDT</x:v>
      </x:c>
      <x:c r="D134" s="30" t="str">
        <x:v>TRADING</x:v>
      </x:c>
      <x:c r="E134" s="31" t="b">
        <x:v>1</x:v>
      </x:c>
      <x:c r="F134" s="32" t="n">
        <x:v>45275</x:v>
      </x:c>
      <x:c r="G134" s="32" t="n">
        <x:v>45275.999999988424</x:v>
      </x:c>
      <x:c r="H134" s="33" t="n">
        <x:f>IF(F134="","",('Summary'!$B$5-F134)/365.25)</x:f>
        <x:v>2.633846656589856</x:v>
      </x:c>
      <x:c r="I134" s="34" t="n">
        <x:v>0.00000288</x:v>
      </x:c>
      <x:c r="J134" s="35" t="n">
        <x:v>0.03226</x:v>
      </x:c>
      <x:c r="K134" s="36" t="n">
        <x:v>519717752893</x:v>
      </x:c>
      <x:c r="L134" s="36" t="n">
        <x:v>1503760.44474755</x:v>
      </x:c>
      <x:c r="M134" s="37" t="n">
        <x:v>8001</x:v>
      </x:c>
      <x:c r="N134" s="34" t="n">
        <x:v>0.00000288</x:v>
      </x:c>
      <x:c r="O134" s="34" t="n">
        <x:v>0.00000289</x:v>
      </x:c>
      <x:c r="P134" s="38" t="n">
        <x:f>IF(OR(N134="",O134="",N134=0,O134=0),"",(O134-N134)/((O134+N134)/2))</x:f>
        <x:v>0.0034662045060658247</x:v>
      </x:c>
      <x:c r="Q134" s="34" t="n">
        <x:v>0.00000289</x:v>
      </x:c>
      <x:c r="R134" s="34" t="n">
        <x:v>0.00000294</x:v>
      </x:c>
      <x:c r="S134" s="34" t="n">
        <x:v>0.00000277</x:v>
      </x:c>
      <x:c r="T134" s="32" t="n">
        <x:v>46236.012445925924</x:v>
      </x:c>
      <x:c r="U134" s="32" t="n">
        <x:v>46237.012445925924</x:v>
      </x:c>
      <x:c r="V134" s="34" t="n">
        <x:v>1</x:v>
      </x:c>
      <x:c r="W134" s="34" t="n">
        <x:v>1</x:v>
      </x:c>
      <x:c r="X134" s="34" t="n">
        <x:v>1</x:v>
      </x:c>
      <x:c r="Y134" s="34" t="n">
        <x:v>1e-8</x:v>
      </x:c>
      <x:c r="Z134" s="30" t="str">
        <x:f>IF(AND(D134="TRADING",I134&lt;&gt;"",L134&lt;&gt;"",M134&lt;&gt;"",N134&lt;&gt;"",O134&lt;&gt;""),"Yes","No")</x:f>
        <x:v>Yes</x:v>
      </x:c>
      <x:c r="AA134" s="39" t="str">
        <x:v>https://developers.binance.com/en/docs/catalog/core-trading-spot-trading/api/rest-api</x:v>
      </x:c>
    </x:row>
    <x:row r="135">
      <x:c r="A135" s="30" t="str">
        <x:v>BREVUSDT</x:v>
      </x:c>
      <x:c r="B135" s="30" t="str">
        <x:v>BREV</x:v>
      </x:c>
      <x:c r="C135" s="30" t="str">
        <x:v>USDT</x:v>
      </x:c>
      <x:c r="D135" s="30" t="str">
        <x:v>TRADING</x:v>
      </x:c>
      <x:c r="E135" s="31" t="b">
        <x:v>1</x:v>
      </x:c>
      <x:c r="F135" s="32" t="n">
        <x:v>46028</x:v>
      </x:c>
      <x:c r="G135" s="32" t="n">
        <x:v>46028.999999988424</x:v>
      </x:c>
      <x:c r="H135" s="33" t="n">
        <x:f>IF(F135="","",('Summary'!$B$5-F135)/365.25)</x:f>
        <x:v>0.5722450138793839</x:v>
      </x:c>
      <x:c r="I135" s="34" t="n">
        <x:v>0.07</x:v>
      </x:c>
      <x:c r="J135" s="35" t="n">
        <x:v>-0.014079999999999999</x:v>
      </x:c>
      <x:c r="K135" s="36" t="n">
        <x:v>788446.4</x:v>
      </x:c>
      <x:c r="L135" s="36" t="n">
        <x:v>55238.90353</x:v>
      </x:c>
      <x:c r="M135" s="37" t="n">
        <x:v>1188</x:v>
      </x:c>
      <x:c r="N135" s="34" t="n">
        <x:v>0.0699</x:v>
      </x:c>
      <x:c r="O135" s="34" t="n">
        <x:v>0.07</x:v>
      </x:c>
      <x:c r="P135" s="38" t="n">
        <x:f>IF(OR(N135="",O135="",N135=0,O135=0),"",(O135-N135)/((O135+N135)/2))</x:f>
        <x:v>0.001429592566118697</x:v>
      </x:c>
      <x:c r="Q135" s="34" t="n">
        <x:v>0.07006044</x:v>
      </x:c>
      <x:c r="R135" s="34" t="n">
        <x:v>0.071</x:v>
      </x:c>
      <x:c r="S135" s="34" t="n">
        <x:v>0.0691</x:v>
      </x:c>
      <x:c r="T135" s="32" t="n">
        <x:v>46236.01205293981</x:v>
      </x:c>
      <x:c r="U135" s="32" t="n">
        <x:v>46237.01205293981</x:v>
      </x:c>
      <x:c r="V135" s="34" t="n">
        <x:v>5</x:v>
      </x:c>
      <x:c r="W135" s="34" t="n">
        <x:v>0.1</x:v>
      </x:c>
      <x:c r="X135" s="34" t="n">
        <x:v>0.1</x:v>
      </x:c>
      <x:c r="Y135" s="34" t="n">
        <x:v>0.0001</x:v>
      </x:c>
      <x:c r="Z135" s="30" t="str">
        <x:f>IF(AND(D135="TRADING",I135&lt;&gt;"",L135&lt;&gt;"",M135&lt;&gt;"",N135&lt;&gt;"",O135&lt;&gt;""),"Yes","No")</x:f>
        <x:v>Yes</x:v>
      </x:c>
      <x:c r="AA135" s="39" t="str">
        <x:v>https://developers.binance.com/en/docs/catalog/core-trading-spot-trading/api/rest-api</x:v>
      </x:c>
    </x:row>
    <x:row r="136">
      <x:c r="A136" s="30" t="str">
        <x:v>BROCCOLI714USDT</x:v>
      </x:c>
      <x:c r="B136" s="30" t="str">
        <x:v>BROCCOLI714</x:v>
      </x:c>
      <x:c r="C136" s="30" t="str">
        <x:v>USDT</x:v>
      </x:c>
      <x:c r="D136" s="30" t="str">
        <x:v>TRADING</x:v>
      </x:c>
      <x:c r="E136" s="31" t="b">
        <x:v>1</x:v>
      </x:c>
      <x:c r="F136" s="32" t="n">
        <x:v>45743</x:v>
      </x:c>
      <x:c r="G136" s="32" t="n">
        <x:v>45743.999999988424</x:v>
      </x:c>
      <x:c r="H136" s="33" t="n">
        <x:f>IF(F136="","",('Summary'!$B$5-F136)/365.25)</x:f>
        <x:v>1.3525324882120326</x:v>
      </x:c>
      <x:c r="I136" s="34" t="n">
        <x:v>0.0133</x:v>
      </x:c>
      <x:c r="J136" s="35" t="n">
        <x:v>-0.06272</x:v>
      </x:c>
      <x:c r="K136" s="36" t="n">
        <x:v>65163173</x:v>
      </x:c>
      <x:c r="L136" s="36" t="n">
        <x:v>875320.08398</x:v>
      </x:c>
      <x:c r="M136" s="37" t="n">
        <x:v>12053</x:v>
      </x:c>
      <x:c r="N136" s="34" t="n">
        <x:v>0.01329</x:v>
      </x:c>
      <x:c r="O136" s="34" t="n">
        <x:v>0.0133</x:v>
      </x:c>
      <x:c r="P136" s="38" t="n">
        <x:f>IF(OR(N136="",O136="",N136=0,O136=0),"",(O136-N136)/((O136+N136)/2))</x:f>
        <x:v>0.0007521624670928615</x:v>
      </x:c>
      <x:c r="Q136" s="34" t="n">
        <x:v>0.01343274</x:v>
      </x:c>
      <x:c r="R136" s="34" t="n">
        <x:v>0.01428</x:v>
      </x:c>
      <x:c r="S136" s="34" t="n">
        <x:v>0.01293</x:v>
      </x:c>
      <x:c r="T136" s="32" t="n">
        <x:v>46236.01234331018</x:v>
      </x:c>
      <x:c r="U136" s="32" t="n">
        <x:v>46237.01234331018</x:v>
      </x:c>
      <x:c r="V136" s="34" t="n">
        <x:v>1</x:v>
      </x:c>
      <x:c r="W136" s="34" t="n">
        <x:v>1</x:v>
      </x:c>
      <x:c r="X136" s="34" t="n">
        <x:v>1</x:v>
      </x:c>
      <x:c r="Y136" s="34" t="n">
        <x:v>0.00001</x:v>
      </x:c>
      <x:c r="Z136" s="30" t="str">
        <x:f>IF(AND(D136="TRADING",I136&lt;&gt;"",L136&lt;&gt;"",M136&lt;&gt;"",N136&lt;&gt;"",O136&lt;&gt;""),"Yes","No")</x:f>
        <x:v>Yes</x:v>
      </x:c>
      <x:c r="AA136" s="39" t="str">
        <x:v>https://developers.binance.com/en/docs/catalog/core-trading-spot-trading/api/rest-api</x:v>
      </x:c>
    </x:row>
    <x:row r="137">
      <x:c r="A137" s="30" t="str">
        <x:v>BSWUSDT</x:v>
      </x:c>
      <x:c r="B137" s="30" t="str">
        <x:v>BSW</x:v>
      </x:c>
      <x:c r="C137" s="30" t="str">
        <x:v>USDT</x:v>
      </x:c>
      <x:c r="D137" s="30" t="str">
        <x:v>BREAK</x:v>
      </x:c>
      <x:c r="E137" s="31" t="b">
        <x:v>1</x:v>
      </x:c>
      <x:c r="F137" s="32" t="n">
        <x:v>44641</x:v>
      </x:c>
      <x:c r="G137" s="32" t="n">
        <x:v>44641.999999988424</x:v>
      </x:c>
      <x:c r="H137" s="33" t="n">
        <x:f>IF(F137="","",('Summary'!$B$5-F137)/365.25)</x:f>
        <x:v>4.369644055631609</x:v>
      </x:c>
      <x:c r="I137" s="34" t="n">
        <x:v>0.0112</x:v>
      </x:c>
      <x:c r="J137" s="35" t="n">
        <x:v>-0.08943</x:v>
      </x:c>
      <x:c r="K137" s="36" t="n">
        <x:v>49262095.8</x:v>
      </x:c>
      <x:c r="L137" s="36" t="n">
        <x:v>564542.19557</x:v>
      </x:c>
      <x:c r="M137" s="37" t="n">
        <x:v>4001</x:v>
      </x:c>
      <x:c r="N137" s="34" t="n">
        <x:v>0</x:v>
      </x:c>
      <x:c r="O137" s="34" t="n">
        <x:v>0</x:v>
      </x:c>
      <x:c r="P137" s="38" t="str">
        <x:f>IF(OR(N137="",O137="",N137=0,O137=0),"",(O137-N137)/((O137+N137)/2))</x:f>
      </x:c>
      <x:c r="Q137" s="34" t="n">
        <x:v>0.01145997</x:v>
      </x:c>
      <x:c r="R137" s="34" t="n">
        <x:v>0.0131</x:v>
      </x:c>
      <x:c r="S137" s="34" t="n">
        <x:v>0.0083</x:v>
      </x:c>
      <x:c r="T137" s="32" t="n">
        <x:v>46209.26112309028</x:v>
      </x:c>
      <x:c r="U137" s="32" t="n">
        <x:v>46210.26112309028</x:v>
      </x:c>
      <x:c r="V137" s="34" t="n">
        <x:v>5</x:v>
      </x:c>
      <x:c r="W137" s="34" t="n">
        <x:v>0.1</x:v>
      </x:c>
      <x:c r="X137" s="34" t="n">
        <x:v>0.1</x:v>
      </x:c>
      <x:c r="Y137" s="34" t="n">
        <x:v>0.0001</x:v>
      </x:c>
      <x:c r="Z137" s="30" t="str">
        <x:f>IF(AND(D137="TRADING",I137&lt;&gt;"",L137&lt;&gt;"",M137&lt;&gt;"",N137&lt;&gt;"",O137&lt;&gt;""),"Yes","No")</x:f>
        <x:v>No</x:v>
      </x:c>
      <x:c r="AA137" s="39" t="str">
        <x:v>https://developers.binance.com/en/docs/catalog/core-trading-spot-trading/api/rest-api</x:v>
      </x:c>
    </x:row>
    <x:row r="138">
      <x:c r="A138" s="30" t="str">
        <x:v>BTCSTUSDT</x:v>
      </x:c>
      <x:c r="B138" s="30" t="str">
        <x:v>BTCST</x:v>
      </x:c>
      <x:c r="C138" s="30" t="str">
        <x:v>USDT</x:v>
      </x:c>
      <x:c r="D138" s="30" t="str">
        <x:v>BREAK</x:v>
      </x:c>
      <x:c r="E138" s="31" t="b">
        <x:v>1</x:v>
      </x:c>
      <x:c r="F138" s="32" t="n">
        <x:v>44209</x:v>
      </x:c>
      <x:c r="G138" s="32" t="n">
        <x:v>44209.999999988424</x:v>
      </x:c>
      <x:c r="H138" s="33" t="n">
        <x:f>IF(F138="","",('Summary'!$B$5-F138)/365.25)</x:f>
        <x:v>5.552395595672676</x:v>
      </x:c>
      <x:c r="I138" s="34" t="n">
        <x:v>5.35</x:v>
      </x:c>
      <x:c r="J138" s="35" t="n">
        <x:v>-0.05142</x:v>
      </x:c>
      <x:c r="K138" s="36" t="n">
        <x:v>121233.48</x:v>
      </x:c>
      <x:c r="L138" s="36" t="n">
        <x:v>662594.7346</x:v>
      </x:c>
      <x:c r="M138" s="37" t="n">
        <x:v>4001</x:v>
      </x:c>
      <x:c r="N138" s="34" t="n">
        <x:v>0</x:v>
      </x:c>
      <x:c r="O138" s="34" t="n">
        <x:v>0</x:v>
      </x:c>
      <x:c r="P138" s="38" t="str">
        <x:f>IF(OR(N138="",O138="",N138=0,O138=0),"",(O138-N138)/((O138+N138)/2))</x:f>
      </x:c>
      <x:c r="Q138" s="34" t="n">
        <x:v>5.46544349</x:v>
      </x:c>
      <x:c r="R138" s="34" t="n">
        <x:v>5.7</x:v>
      </x:c>
      <x:c r="S138" s="34" t="n">
        <x:v>5.17</x:v>
      </x:c>
      <x:c r="T138" s="32" t="n">
        <x:v>46209.26112309028</x:v>
      </x:c>
      <x:c r="U138" s="32" t="n">
        <x:v>46210.26112309028</x:v>
      </x:c>
      <x:c r="V138" s="34" t="n">
        <x:v>10</x:v>
      </x:c>
      <x:c r="W138" s="34" t="n">
        <x:v>0.01</x:v>
      </x:c>
      <x:c r="X138" s="34" t="n">
        <x:v>0.01</x:v>
      </x:c>
      <x:c r="Y138" s="34" t="n">
        <x:v>0.01</x:v>
      </x:c>
      <x:c r="Z138" s="30" t="str">
        <x:f>IF(AND(D138="TRADING",I138&lt;&gt;"",L138&lt;&gt;"",M138&lt;&gt;"",N138&lt;&gt;"",O138&lt;&gt;""),"Yes","No")</x:f>
        <x:v>No</x:v>
      </x:c>
      <x:c r="AA138" s="39" t="str">
        <x:v>https://developers.binance.com/en/docs/catalog/core-trading-spot-trading/api/rest-api</x:v>
      </x:c>
    </x:row>
    <x:row r="139">
      <x:c r="A139" s="30" t="str">
        <x:v>BTCUSDT</x:v>
      </x:c>
      <x:c r="B139" s="30" t="str">
        <x:v>BTC</x:v>
      </x:c>
      <x:c r="C139" s="30" t="str">
        <x:v>USDT</x:v>
      </x:c>
      <x:c r="D139" s="30" t="str">
        <x:v>TRADING</x:v>
      </x:c>
      <x:c r="E139" s="31" t="b">
        <x:v>1</x:v>
      </x:c>
      <x:c r="F139" s="32" t="n">
        <x:v>42964</x:v>
      </x:c>
      <x:c r="G139" s="32" t="n">
        <x:v>42964.999999988424</x:v>
      </x:c>
      <x:c r="H139" s="33" t="n">
        <x:f>IF(F139="","",('Summary'!$B$5-F139)/365.25)</x:f>
        <x:v>8.961019825652143</x:v>
      </x:c>
      <x:c r="I139" s="34" t="n">
        <x:v>63436.95</x:v>
      </x:c>
      <x:c r="J139" s="35" t="n">
        <x:v>0.008060000000000001</x:v>
      </x:c>
      <x:c r="K139" s="36" t="n">
        <x:v>8370.50971</x:v>
      </x:c>
      <x:c r="L139" s="36" t="n">
        <x:v>530261465.526717</x:v>
      </x:c>
      <x:c r="M139" s="37" t="n">
        <x:v>1302160</x:v>
      </x:c>
      <x:c r="N139" s="34" t="n">
        <x:v>63436.95</x:v>
      </x:c>
      <x:c r="O139" s="34" t="n">
        <x:v>63436.96</x:v>
      </x:c>
      <x:c r="P139" s="38" t="n">
        <x:f>IF(OR(N139="",O139="",N139=0,O139=0),"",(O139-N139)/((O139+N139)/2))</x:f>
        <x:v>1.576368222913169e-7</x:v>
      </x:c>
      <x:c r="Q139" s="34" t="n">
        <x:v>63348.76655041</x:v>
      </x:c>
      <x:c r="R139" s="34" t="n">
        <x:v>63796.33</x:v>
      </x:c>
      <x:c r="S139" s="34" t="n">
        <x:v>62806.58</x:v>
      </x:c>
      <x:c r="T139" s="32" t="n">
        <x:v>46236.0124884375</x:v>
      </x:c>
      <x:c r="U139" s="32" t="n">
        <x:v>46237.0124884375</x:v>
      </x:c>
      <x:c r="V139" s="34" t="n">
        <x:v>5</x:v>
      </x:c>
      <x:c r="W139" s="34" t="n">
        <x:v>0.00001</x:v>
      </x:c>
      <x:c r="X139" s="34" t="n">
        <x:v>0.00001</x:v>
      </x:c>
      <x:c r="Y139" s="34" t="n">
        <x:v>0.01</x:v>
      </x:c>
      <x:c r="Z139" s="30" t="str">
        <x:f>IF(AND(D139="TRADING",I139&lt;&gt;"",L139&lt;&gt;"",M139&lt;&gt;"",N139&lt;&gt;"",O139&lt;&gt;""),"Yes","No")</x:f>
        <x:v>Yes</x:v>
      </x:c>
      <x:c r="AA139" s="39" t="str">
        <x:v>https://developers.binance.com/en/docs/catalog/core-trading-spot-trading/api/rest-api</x:v>
      </x:c>
    </x:row>
    <x:row r="140">
      <x:c r="A140" s="30" t="str">
        <x:v>BTGUSDT</x:v>
      </x:c>
      <x:c r="B140" s="30" t="str">
        <x:v>BTG</x:v>
      </x:c>
      <x:c r="C140" s="30" t="str">
        <x:v>USDT</x:v>
      </x:c>
      <x:c r="D140" s="30" t="str">
        <x:v>BREAK</x:v>
      </x:c>
      <x:c r="E140" s="31" t="b">
        <x:v>1</x:v>
      </x:c>
      <x:c r="F140" s="32" t="n">
        <x:v>44302</x:v>
      </x:c>
      <x:c r="G140" s="32" t="n">
        <x:v>44302.999999988424</x:v>
      </x:c>
      <x:c r="H140" s="33" t="n">
        <x:f>IF(F140="","",('Summary'!$B$5-F140)/365.25)</x:f>
        <x:v>5.29777547246939</x:v>
      </x:c>
      <x:c r="I140" s="34" t="n">
        <x:v>17.65</x:v>
      </x:c>
      <x:c r="J140" s="35" t="n">
        <x:v>-0.018349999999999998</x:v>
      </x:c>
      <x:c r="K140" s="36" t="n">
        <x:v>40036.54</x:v>
      </x:c>
      <x:c r="L140" s="36" t="n">
        <x:v>723201.9681</x:v>
      </x:c>
      <x:c r="M140" s="37" t="n">
        <x:v>4001</x:v>
      </x:c>
      <x:c r="N140" s="34" t="n">
        <x:v>0</x:v>
      </x:c>
      <x:c r="O140" s="34" t="n">
        <x:v>0</x:v>
      </x:c>
      <x:c r="P140" s="38" t="str">
        <x:f>IF(OR(N140="",O140="",N140=0,O140=0),"",(O140-N140)/((O140+N140)/2))</x:f>
      </x:c>
      <x:c r="Q140" s="34" t="n">
        <x:v>18.06354815</x:v>
      </x:c>
      <x:c r="R140" s="34" t="n">
        <x:v>19</x:v>
      </x:c>
      <x:c r="S140" s="34" t="n">
        <x:v>17.59</x:v>
      </x:c>
      <x:c r="T140" s="32" t="n">
        <x:v>46209.26112309028</x:v>
      </x:c>
      <x:c r="U140" s="32" t="n">
        <x:v>46210.26112309028</x:v>
      </x:c>
      <x:c r="V140" s="34" t="n">
        <x:v>10</x:v>
      </x:c>
      <x:c r="W140" s="34" t="n">
        <x:v>0.01</x:v>
      </x:c>
      <x:c r="X140" s="34" t="n">
        <x:v>0.01</x:v>
      </x:c>
      <x:c r="Y140" s="34" t="n">
        <x:v>0.01</x:v>
      </x:c>
      <x:c r="Z140" s="30" t="str">
        <x:f>IF(AND(D140="TRADING",I140&lt;&gt;"",L140&lt;&gt;"",M140&lt;&gt;"",N140&lt;&gt;"",O140&lt;&gt;""),"Yes","No")</x:f>
        <x:v>No</x:v>
      </x:c>
      <x:c r="AA140" s="39" t="str">
        <x:v>https://developers.binance.com/en/docs/catalog/core-trading-spot-trading/api/rest-api</x:v>
      </x:c>
    </x:row>
    <x:row r="141">
      <x:c r="A141" s="30" t="str">
        <x:v>BTSUSDT</x:v>
      </x:c>
      <x:c r="B141" s="30" t="str">
        <x:v>BTS</x:v>
      </x:c>
      <x:c r="C141" s="30" t="str">
        <x:v>USDT</x:v>
      </x:c>
      <x:c r="D141" s="30" t="str">
        <x:v>BREAK</x:v>
      </x:c>
      <x:c r="E141" s="31" t="b">
        <x:v>1</x:v>
      </x:c>
      <x:c r="F141" s="32" t="n">
        <x:v>43867</x:v>
      </x:c>
      <x:c r="G141" s="32" t="n">
        <x:v>43867.999999988424</x:v>
      </x:c>
      <x:c r="H141" s="33" t="n">
        <x:f>IF(F141="","",('Summary'!$B$5-F141)/365.25)</x:f>
        <x:v>6.488740564871855</x:v>
      </x:c>
      <x:c r="I141" s="34" t="n">
        <x:v>0.0054</x:v>
      </x:c>
      <x:c r="J141" s="35" t="n">
        <x:v>0.00746</x:v>
      </x:c>
      <x:c r="K141" s="36" t="n">
        <x:v>49593414.8</x:v>
      </x:c>
      <x:c r="L141" s="36" t="n">
        <x:v>262741.669508</x:v>
      </x:c>
      <x:c r="M141" s="37" t="n">
        <x:v>4001</x:v>
      </x:c>
      <x:c r="N141" s="34" t="n">
        <x:v>0</x:v>
      </x:c>
      <x:c r="O141" s="34" t="n">
        <x:v>0</x:v>
      </x:c>
      <x:c r="P141" s="38" t="str">
        <x:f>IF(OR(N141="",O141="",N141=0,O141=0),"",(O141-N141)/((O141+N141)/2))</x:f>
      </x:c>
      <x:c r="Q141" s="34" t="n">
        <x:v>0.00529791</x:v>
      </x:c>
      <x:c r="R141" s="34" t="n">
        <x:v>0.00548</x:v>
      </x:c>
      <x:c r="S141" s="34" t="n">
        <x:v>0.00512</x:v>
      </x:c>
      <x:c r="T141" s="32" t="n">
        <x:v>46209.26112309028</x:v>
      </x:c>
      <x:c r="U141" s="32" t="n">
        <x:v>46210.26112309028</x:v>
      </x:c>
      <x:c r="V141" s="34" t="n">
        <x:v>5</x:v>
      </x:c>
      <x:c r="W141" s="34" t="n">
        <x:v>0.1</x:v>
      </x:c>
      <x:c r="X141" s="34" t="n">
        <x:v>0.1</x:v>
      </x:c>
      <x:c r="Y141" s="34" t="n">
        <x:v>0.00001</x:v>
      </x:c>
      <x:c r="Z141" s="30" t="str">
        <x:f>IF(AND(D141="TRADING",I141&lt;&gt;"",L141&lt;&gt;"",M141&lt;&gt;"",N141&lt;&gt;"",O141&lt;&gt;""),"Yes","No")</x:f>
        <x:v>No</x:v>
      </x:c>
      <x:c r="AA141" s="39" t="str">
        <x:v>https://developers.binance.com/en/docs/catalog/core-trading-spot-trading/api/rest-api</x:v>
      </x:c>
    </x:row>
    <x:row r="142">
      <x:c r="A142" s="30" t="str">
        <x:v>BTTCUSDT</x:v>
      </x:c>
      <x:c r="B142" s="30" t="str">
        <x:v>BTTC</x:v>
      </x:c>
      <x:c r="C142" s="30" t="str">
        <x:v>USDT</x:v>
      </x:c>
      <x:c r="D142" s="30" t="str">
        <x:v>TRADING</x:v>
      </x:c>
      <x:c r="E142" s="31" t="b">
        <x:v>1</x:v>
      </x:c>
      <x:c r="F142" s="32" t="n">
        <x:v>44586</x:v>
      </x:c>
      <x:c r="G142" s="32" t="n">
        <x:v>44586.999999988424</x:v>
      </x:c>
      <x:c r="H142" s="33" t="n">
        <x:f>IF(F142="","",('Summary'!$B$5-F142)/365.25)</x:f>
        <x:v>4.520225848923874</x:v>
      </x:c>
      <x:c r="I142" s="34" t="n">
        <x:v>2.7e-7</x:v>
      </x:c>
      <x:c r="J142" s="35" t="n">
        <x:v>0</x:v>
      </x:c>
      <x:c r="K142" s="36" t="n">
        <x:v>423490461202</x:v>
      </x:c>
      <x:c r="L142" s="36" t="n">
        <x:v>112183.53075384</x:v>
      </x:c>
      <x:c r="M142" s="37" t="n">
        <x:v>4306</x:v>
      </x:c>
      <x:c r="N142" s="34" t="n">
        <x:v>2.6e-7</x:v>
      </x:c>
      <x:c r="O142" s="34" t="n">
        <x:v>2.7e-7</x:v>
      </x:c>
      <x:c r="P142" s="38" t="n">
        <x:f>IF(OR(N142="",O142="",N142=0,O142=0),"",(O142-N142)/((O142+N142)/2))</x:f>
        <x:v>0.037735849056603814</x:v>
      </x:c>
      <x:c r="Q142" s="34" t="n">
        <x:v>2.6e-7</x:v>
      </x:c>
      <x:c r="R142" s="34" t="n">
        <x:v>2.7e-7</x:v>
      </x:c>
      <x:c r="S142" s="34" t="n">
        <x:v>2.6e-7</x:v>
      </x:c>
      <x:c r="T142" s="32" t="n">
        <x:v>46236.0124384838</x:v>
      </x:c>
      <x:c r="U142" s="32" t="n">
        <x:v>46237.0124384838</x:v>
      </x:c>
      <x:c r="V142" s="34" t="n">
        <x:v>5</x:v>
      </x:c>
      <x:c r="W142" s="34" t="n">
        <x:v>1</x:v>
      </x:c>
      <x:c r="X142" s="34" t="n">
        <x:v>1</x:v>
      </x:c>
      <x:c r="Y142" s="34" t="n">
        <x:v>1e-8</x:v>
      </x:c>
      <x:c r="Z142" s="30" t="str">
        <x:f>IF(AND(D142="TRADING",I142&lt;&gt;"",L142&lt;&gt;"",M142&lt;&gt;"",N142&lt;&gt;"",O142&lt;&gt;""),"Yes","No")</x:f>
        <x:v>Yes</x:v>
      </x:c>
      <x:c r="AA142" s="39" t="str">
        <x:v>https://developers.binance.com/en/docs/catalog/core-trading-spot-trading/api/rest-api</x:v>
      </x:c>
    </x:row>
    <x:row r="143">
      <x:c r="A143" s="30" t="str">
        <x:v>BTTUSDT</x:v>
      </x:c>
      <x:c r="B143" s="30" t="str">
        <x:v>BTT</x:v>
      </x:c>
      <x:c r="C143" s="30" t="str">
        <x:v>USDT</x:v>
      </x:c>
      <x:c r="D143" s="30" t="str">
        <x:v>BREAK</x:v>
      </x:c>
      <x:c r="E143" s="31" t="b">
        <x:v>1</x:v>
      </x:c>
      <x:c r="F143" s="32" t="n">
        <x:v>43496</x:v>
      </x:c>
      <x:c r="G143" s="32" t="n">
        <x:v>43496.999999988424</x:v>
      </x:c>
      <x:c r="H143" s="33" t="n">
        <x:f>IF(F143="","",('Summary'!$B$5-F143)/365.25)</x:f>
        <x:v>7.504483206897865</x:v>
      </x:c>
      <x:c r="I143" s="34" t="n">
        <x:v>0</x:v>
      </x:c>
      <x:c r="J143" s="35" t="n">
        <x:v>0</x:v>
      </x:c>
      <x:c r="K143" s="36" t="n">
        <x:v>0</x:v>
      </x:c>
      <x:c r="L143" s="36" t="n">
        <x:v>0</x:v>
      </x:c>
      <x:c r="M143" s="37" t="n">
        <x:v>0</x:v>
      </x:c>
      <x:c r="N143" s="34" t="n">
        <x:v>0</x:v>
      </x:c>
      <x:c r="O143" s="34" t="n">
        <x:v>0</x:v>
      </x:c>
      <x:c r="P143" s="38" t="str">
        <x:f>IF(OR(N143="",O143="",N143=0,O143=0),"",(O143-N143)/((O143+N143)/2))</x:f>
      </x:c>
      <x:c r="Q143" s="34" t="n">
        <x:v>0</x:v>
      </x:c>
      <x:c r="R143" s="34" t="n">
        <x:v>0</x:v>
      </x:c>
      <x:c r="S143" s="34" t="n">
        <x:v>0</x:v>
      </x:c>
      <x:c r="T143" s="32" t="n">
        <x:v>46209.26112309028</x:v>
      </x:c>
      <x:c r="U143" s="32" t="n">
        <x:v>46210.26112309028</x:v>
      </x:c>
      <x:c r="V143" s="34" t="n">
        <x:v>10</x:v>
      </x:c>
      <x:c r="W143" s="34" t="n">
        <x:v>1</x:v>
      </x:c>
      <x:c r="X143" s="34" t="n">
        <x:v>1</x:v>
      </x:c>
      <x:c r="Y143" s="34" t="n">
        <x:v>0.000001</x:v>
      </x:c>
      <x:c r="Z143" s="30" t="str">
        <x:f>IF(AND(D143="TRADING",I143&lt;&gt;"",L143&lt;&gt;"",M143&lt;&gt;"",N143&lt;&gt;"",O143&lt;&gt;""),"Yes","No")</x:f>
        <x:v>No</x:v>
      </x:c>
      <x:c r="AA143" s="39" t="str">
        <x:v>https://developers.binance.com/en/docs/catalog/core-trading-spot-trading/api/rest-api</x:v>
      </x:c>
    </x:row>
    <x:row r="144">
      <x:c r="A144" s="30" t="str">
        <x:v>BULLUSDT</x:v>
      </x:c>
      <x:c r="B144" s="30" t="str">
        <x:v>BULL</x:v>
      </x:c>
      <x:c r="C144" s="30" t="str">
        <x:v>USDT</x:v>
      </x:c>
      <x:c r="D144" s="30" t="str">
        <x:v>BREAK</x:v>
      </x:c>
      <x:c r="E144" s="31" t="b">
        <x:v>1</x:v>
      </x:c>
      <x:c r="F144" s="32" t="n">
        <x:v>43847</x:v>
      </x:c>
      <x:c r="G144" s="32" t="n">
        <x:v>43847.999999988424</x:v>
      </x:c>
      <x:c r="H144" s="33" t="n">
        <x:f>IF(F144="","",('Summary'!$B$5-F144)/365.25)</x:f>
        <x:v>6.543497580614496</x:v>
      </x:c>
      <x:c r="I144" s="34" t="n">
        <x:v>0</x:v>
      </x:c>
      <x:c r="J144" s="35" t="n">
        <x:v>0</x:v>
      </x:c>
      <x:c r="K144" s="36" t="n">
        <x:v>0</x:v>
      </x:c>
      <x:c r="L144" s="36" t="n">
        <x:v>0</x:v>
      </x:c>
      <x:c r="M144" s="37" t="n">
        <x:v>0</x:v>
      </x:c>
      <x:c r="N144" s="34" t="n">
        <x:v>0</x:v>
      </x:c>
      <x:c r="O144" s="34" t="n">
        <x:v>0</x:v>
      </x:c>
      <x:c r="P144" s="38" t="str">
        <x:f>IF(OR(N144="",O144="",N144=0,O144=0),"",(O144-N144)/((O144+N144)/2))</x:f>
      </x:c>
      <x:c r="Q144" s="34" t="n">
        <x:v>0</x:v>
      </x:c>
      <x:c r="R144" s="34" t="n">
        <x:v>0</x:v>
      </x:c>
      <x:c r="S144" s="34" t="n">
        <x:v>0</x:v>
      </x:c>
      <x:c r="T144" s="32" t="n">
        <x:v>46209.26112309028</x:v>
      </x:c>
      <x:c r="U144" s="32" t="n">
        <x:v>46210.26112309028</x:v>
      </x:c>
      <x:c r="V144" s="34" t="n">
        <x:v>10</x:v>
      </x:c>
      <x:c r="W144" s="34" t="n">
        <x:v>0.000001</x:v>
      </x:c>
      <x:c r="X144" s="34" t="n">
        <x:v>0.000001</x:v>
      </x:c>
      <x:c r="Y144" s="34" t="n">
        <x:v>0.01</x:v>
      </x:c>
      <x:c r="Z144" s="30" t="str">
        <x:f>IF(AND(D144="TRADING",I144&lt;&gt;"",L144&lt;&gt;"",M144&lt;&gt;"",N144&lt;&gt;"",O144&lt;&gt;""),"Yes","No")</x:f>
        <x:v>No</x:v>
      </x:c>
      <x:c r="AA144" s="39" t="str">
        <x:v>https://developers.binance.com/en/docs/catalog/core-trading-spot-trading/api/rest-api</x:v>
      </x:c>
    </x:row>
    <x:row r="145">
      <x:c r="A145" s="30" t="str">
        <x:v>BURGERUSDT</x:v>
      </x:c>
      <x:c r="B145" s="30" t="str">
        <x:v>BURGER</x:v>
      </x:c>
      <x:c r="C145" s="30" t="str">
        <x:v>USDT</x:v>
      </x:c>
      <x:c r="D145" s="30" t="str">
        <x:v>BREAK</x:v>
      </x:c>
      <x:c r="E145" s="31" t="b">
        <x:v>1</x:v>
      </x:c>
      <x:c r="F145" s="32" t="n">
        <x:v>44316</x:v>
      </x:c>
      <x:c r="G145" s="32" t="n">
        <x:v>44316.999999988424</x:v>
      </x:c>
      <x:c r="H145" s="33" t="n">
        <x:f>IF(F145="","",('Summary'!$B$5-F145)/365.25)</x:f>
        <x:v>5.2594455614495415</x:v>
      </x:c>
      <x:c r="I145" s="34" t="n">
        <x:v>0.0172</x:v>
      </x:c>
      <x:c r="J145" s="35" t="n">
        <x:v>-0.28631</x:v>
      </x:c>
      <x:c r="K145" s="36" t="n">
        <x:v>10439094.1</x:v>
      </x:c>
      <x:c r="L145" s="36" t="n">
        <x:v>216978.21736</x:v>
      </x:c>
      <x:c r="M145" s="37" t="n">
        <x:v>4001</x:v>
      </x:c>
      <x:c r="N145" s="34" t="n">
        <x:v>0</x:v>
      </x:c>
      <x:c r="O145" s="34" t="n">
        <x:v>0</x:v>
      </x:c>
      <x:c r="P145" s="38" t="str">
        <x:f>IF(OR(N145="",O145="",N145=0,O145=0),"",(O145-N145)/((O145+N145)/2))</x:f>
      </x:c>
      <x:c r="Q145" s="34" t="n">
        <x:v>0.02078516</x:v>
      </x:c>
      <x:c r="R145" s="34" t="n">
        <x:v>0.0255</x:v>
      </x:c>
      <x:c r="S145" s="34" t="n">
        <x:v>0.0166</x:v>
      </x:c>
      <x:c r="T145" s="32" t="n">
        <x:v>46209.26112309028</x:v>
      </x:c>
      <x:c r="U145" s="32" t="n">
        <x:v>46210.26112309028</x:v>
      </x:c>
      <x:c r="V145" s="34" t="n">
        <x:v>5</x:v>
      </x:c>
      <x:c r="W145" s="34" t="n">
        <x:v>0.1</x:v>
      </x:c>
      <x:c r="X145" s="34" t="n">
        <x:v>0.1</x:v>
      </x:c>
      <x:c r="Y145" s="34" t="n">
        <x:v>0.0001</x:v>
      </x:c>
      <x:c r="Z145" s="30" t="str">
        <x:f>IF(AND(D145="TRADING",I145&lt;&gt;"",L145&lt;&gt;"",M145&lt;&gt;"",N145&lt;&gt;"",O145&lt;&gt;""),"Yes","No")</x:f>
        <x:v>No</x:v>
      </x:c>
      <x:c r="AA145" s="39" t="str">
        <x:v>https://developers.binance.com/en/docs/catalog/core-trading-spot-trading/api/rest-api</x:v>
      </x:c>
    </x:row>
    <x:row r="146">
      <x:c r="A146" s="30" t="str">
        <x:v>BUSDUSDT</x:v>
      </x:c>
      <x:c r="B146" s="30" t="str">
        <x:v>BUSD</x:v>
      </x:c>
      <x:c r="C146" s="30" t="str">
        <x:v>USDT</x:v>
      </x:c>
      <x:c r="D146" s="30" t="str">
        <x:v>BREAK</x:v>
      </x:c>
      <x:c r="E146" s="31" t="b">
        <x:v>1</x:v>
      </x:c>
      <x:c r="F146" s="32" t="n">
        <x:v>43728</x:v>
      </x:c>
      <x:c r="G146" s="32" t="n">
        <x:v>43728.999999988424</x:v>
      </x:c>
      <x:c r="H146" s="33" t="n">
        <x:f>IF(F146="","",('Summary'!$B$5-F146)/365.25)</x:f>
        <x:v>6.869301824283217</x:v>
      </x:c>
      <x:c r="I146" s="34" t="n">
        <x:v>1.0003</x:v>
      </x:c>
      <x:c r="J146" s="35" t="n">
        <x:v>-0.0003</x:v>
      </x:c>
      <x:c r="K146" s="36" t="n">
        <x:v>1691539</x:v>
      </x:c>
      <x:c r="L146" s="36" t="n">
        <x:v>1692463.3392</x:v>
      </x:c>
      <x:c r="M146" s="37" t="n">
        <x:v>4001</x:v>
      </x:c>
      <x:c r="N146" s="34" t="n">
        <x:v>0</x:v>
      </x:c>
      <x:c r="O146" s="34" t="n">
        <x:v>0</x:v>
      </x:c>
      <x:c r="P146" s="38" t="str">
        <x:f>IF(OR(N146="",O146="",N146=0,O146=0),"",(O146-N146)/((O146+N146)/2))</x:f>
      </x:c>
      <x:c r="Q146" s="34" t="n">
        <x:v>1.00054645</x:v>
      </x:c>
      <x:c r="R146" s="34" t="n">
        <x:v>1.0013</x:v>
      </x:c>
      <x:c r="S146" s="34" t="n">
        <x:v>1.0002</x:v>
      </x:c>
      <x:c r="T146" s="32" t="n">
        <x:v>46209.26112309028</x:v>
      </x:c>
      <x:c r="U146" s="32" t="n">
        <x:v>46210.26112309028</x:v>
      </x:c>
      <x:c r="V146" s="34" t="n">
        <x:v>5</x:v>
      </x:c>
      <x:c r="W146" s="34" t="n">
        <x:v>1</x:v>
      </x:c>
      <x:c r="X146" s="34" t="n">
        <x:v>1</x:v>
      </x:c>
      <x:c r="Y146" s="34" t="n">
        <x:v>0.0001</x:v>
      </x:c>
      <x:c r="Z146" s="30" t="str">
        <x:f>IF(AND(D146="TRADING",I146&lt;&gt;"",L146&lt;&gt;"",M146&lt;&gt;"",N146&lt;&gt;"",O146&lt;&gt;""),"Yes","No")</x:f>
        <x:v>No</x:v>
      </x:c>
      <x:c r="AA146" s="39" t="str">
        <x:v>https://developers.binance.com/en/docs/catalog/core-trading-spot-trading/api/rest-api</x:v>
      </x:c>
    </x:row>
    <x:row r="147">
      <x:c r="A147" s="30" t="str">
        <x:v>BZRXUSDT</x:v>
      </x:c>
      <x:c r="B147" s="30" t="str">
        <x:v>BZRX</x:v>
      </x:c>
      <x:c r="C147" s="30" t="str">
        <x:v>USDT</x:v>
      </x:c>
      <x:c r="D147" s="30" t="str">
        <x:v>BREAK</x:v>
      </x:c>
      <x:c r="E147" s="31" t="b">
        <x:v>1</x:v>
      </x:c>
      <x:c r="F147" s="32" t="n">
        <x:v>44074</x:v>
      </x:c>
      <x:c r="G147" s="32" t="n">
        <x:v>44074.999999988424</x:v>
      </x:c>
      <x:c r="H147" s="33" t="n">
        <x:f>IF(F147="","",('Summary'!$B$5-F147)/365.25)</x:f>
        <x:v>5.92200545193551</x:v>
      </x:c>
      <x:c r="I147" s="34" t="n">
        <x:v>0</x:v>
      </x:c>
      <x:c r="J147" s="35" t="n">
        <x:v>0</x:v>
      </x:c>
      <x:c r="K147" s="36" t="n">
        <x:v>0</x:v>
      </x:c>
      <x:c r="L147" s="36" t="n">
        <x:v>0</x:v>
      </x:c>
      <x:c r="M147" s="37" t="n">
        <x:v>0</x:v>
      </x:c>
      <x:c r="N147" s="34" t="n">
        <x:v>0</x:v>
      </x:c>
      <x:c r="O147" s="34" t="n">
        <x:v>0</x:v>
      </x:c>
      <x:c r="P147" s="38" t="str">
        <x:f>IF(OR(N147="",O147="",N147=0,O147=0),"",(O147-N147)/((O147+N147)/2))</x:f>
      </x:c>
      <x:c r="Q147" s="34" t="n">
        <x:v>0</x:v>
      </x:c>
      <x:c r="R147" s="34" t="n">
        <x:v>0</x:v>
      </x:c>
      <x:c r="S147" s="34" t="n">
        <x:v>0</x:v>
      </x:c>
      <x:c r="T147" s="32" t="n">
        <x:v>46209.26112309028</x:v>
      </x:c>
      <x:c r="U147" s="32" t="n">
        <x:v>46210.26112309028</x:v>
      </x:c>
      <x:c r="V147" s="34" t="n">
        <x:v>10</x:v>
      </x:c>
      <x:c r="W147" s="34" t="n">
        <x:v>1</x:v>
      </x:c>
      <x:c r="X147" s="34" t="n">
        <x:v>1</x:v>
      </x:c>
      <x:c r="Y147" s="34" t="n">
        <x:v>0.0001</x:v>
      </x:c>
      <x:c r="Z147" s="30" t="str">
        <x:f>IF(AND(D147="TRADING",I147&lt;&gt;"",L147&lt;&gt;"",M147&lt;&gt;"",N147&lt;&gt;"",O147&lt;&gt;""),"Yes","No")</x:f>
        <x:v>No</x:v>
      </x:c>
      <x:c r="AA147" s="39" t="str">
        <x:v>https://developers.binance.com/en/docs/catalog/core-trading-spot-trading/api/rest-api</x:v>
      </x:c>
    </x:row>
    <x:row r="148">
      <x:c r="A148" s="30" t="str">
        <x:v>C98USDT</x:v>
      </x:c>
      <x:c r="B148" s="30" t="str">
        <x:v>C98</x:v>
      </x:c>
      <x:c r="C148" s="30" t="str">
        <x:v>USDT</x:v>
      </x:c>
      <x:c r="D148" s="30" t="str">
        <x:v>TRADING</x:v>
      </x:c>
      <x:c r="E148" s="31" t="b">
        <x:v>1</x:v>
      </x:c>
      <x:c r="F148" s="32" t="n">
        <x:v>44400</x:v>
      </x:c>
      <x:c r="G148" s="32" t="n">
        <x:v>44400.999999988424</x:v>
      </x:c>
      <x:c r="H148" s="33" t="n">
        <x:f>IF(F148="","",('Summary'!$B$5-F148)/365.25)</x:f>
        <x:v>5.029466095330445</x:v>
      </x:c>
      <x:c r="I148" s="34" t="n">
        <x:v>0.01185</x:v>
      </x:c>
      <x:c r="J148" s="35" t="n">
        <x:v>0.00851</x:v>
      </x:c>
      <x:c r="K148" s="36" t="n">
        <x:v>5200538</x:v>
      </x:c>
      <x:c r="L148" s="36" t="n">
        <x:v>61703.504467</x:v>
      </x:c>
      <x:c r="M148" s="37" t="n">
        <x:v>954</x:v>
      </x:c>
      <x:c r="N148" s="34" t="n">
        <x:v>0.01185</x:v>
      </x:c>
      <x:c r="O148" s="34" t="n">
        <x:v>0.01186</x:v>
      </x:c>
      <x:c r="P148" s="38" t="n">
        <x:f>IF(OR(N148="",O148="",N148=0,O148=0),"",(O148-N148)/((O148+N148)/2))</x:f>
        <x:v>0.0008435259384227184</x:v>
      </x:c>
      <x:c r="Q148" s="34" t="n">
        <x:v>0.01186483</x:v>
      </x:c>
      <x:c r="R148" s="34" t="n">
        <x:v>0.01196</x:v>
      </x:c>
      <x:c r="S148" s="34" t="n">
        <x:v>0.01172</x:v>
      </x:c>
      <x:c r="T148" s="32" t="n">
        <x:v>46236.01235509259</x:v>
      </x:c>
      <x:c r="U148" s="32" t="n">
        <x:v>46237.01235509259</x:v>
      </x:c>
      <x:c r="V148" s="34" t="n">
        <x:v>5</x:v>
      </x:c>
      <x:c r="W148" s="34" t="n">
        <x:v>0.1</x:v>
      </x:c>
      <x:c r="X148" s="34" t="n">
        <x:v>0.1</x:v>
      </x:c>
      <x:c r="Y148" s="34" t="n">
        <x:v>0.00001</x:v>
      </x:c>
      <x:c r="Z148" s="30" t="str">
        <x:f>IF(AND(D148="TRADING",I148&lt;&gt;"",L148&lt;&gt;"",M148&lt;&gt;"",N148&lt;&gt;"",O148&lt;&gt;""),"Yes","No")</x:f>
        <x:v>Yes</x:v>
      </x:c>
      <x:c r="AA148" s="39" t="str">
        <x:v>https://developers.binance.com/en/docs/catalog/core-trading-spot-trading/api/rest-api</x:v>
      </x:c>
    </x:row>
    <x:row r="149">
      <x:c r="A149" s="30" t="str">
        <x:v>CAKEUSDT</x:v>
      </x:c>
      <x:c r="B149" s="30" t="str">
        <x:v>CAKE</x:v>
      </x:c>
      <x:c r="C149" s="30" t="str">
        <x:v>USDT</x:v>
      </x:c>
      <x:c r="D149" s="30" t="str">
        <x:v>TRADING</x:v>
      </x:c>
      <x:c r="E149" s="31" t="b">
        <x:v>1</x:v>
      </x:c>
      <x:c r="F149" s="32" t="n">
        <x:v>44246</x:v>
      </x:c>
      <x:c r="G149" s="32" t="n">
        <x:v>44246.999999988424</x:v>
      </x:c>
      <x:c r="H149" s="33" t="n">
        <x:f>IF(F149="","",('Summary'!$B$5-F149)/365.25)</x:f>
        <x:v>5.451095116548788</x:v>
      </x:c>
      <x:c r="I149" s="34" t="n">
        <x:v>1.442</x:v>
      </x:c>
      <x:c r="J149" s="35" t="n">
        <x:v>0.0227</x:v>
      </x:c>
      <x:c r="K149" s="36" t="n">
        <x:v>628162.17</x:v>
      </x:c>
      <x:c r="L149" s="36" t="n">
        <x:v>899626.84346</x:v>
      </x:c>
      <x:c r="M149" s="37" t="n">
        <x:v>14378</x:v>
      </x:c>
      <x:c r="N149" s="34" t="n">
        <x:v>1.441</x:v>
      </x:c>
      <x:c r="O149" s="34" t="n">
        <x:v>1.442</x:v>
      </x:c>
      <x:c r="P149" s="38" t="n">
        <x:f>IF(OR(N149="",O149="",N149=0,O149=0),"",(O149-N149)/((O149+N149)/2))</x:f>
        <x:v>0.0006937218175510855</x:v>
      </x:c>
      <x:c r="Q149" s="34" t="n">
        <x:v>1.43215699</x:v>
      </x:c>
      <x:c r="R149" s="34" t="n">
        <x:v>1.455</x:v>
      </x:c>
      <x:c r="S149" s="34" t="n">
        <x:v>1.407</x:v>
      </x:c>
      <x:c r="T149" s="32" t="n">
        <x:v>46236.01247724537</x:v>
      </x:c>
      <x:c r="U149" s="32" t="n">
        <x:v>46237.01247724537</x:v>
      </x:c>
      <x:c r="V149" s="34" t="n">
        <x:v>5</x:v>
      </x:c>
      <x:c r="W149" s="34" t="n">
        <x:v>0.01</x:v>
      </x:c>
      <x:c r="X149" s="34" t="n">
        <x:v>0.01</x:v>
      </x:c>
      <x:c r="Y149" s="34" t="n">
        <x:v>0.001</x:v>
      </x:c>
      <x:c r="Z149" s="30" t="str">
        <x:f>IF(AND(D149="TRADING",I149&lt;&gt;"",L149&lt;&gt;"",M149&lt;&gt;"",N149&lt;&gt;"",O149&lt;&gt;""),"Yes","No")</x:f>
        <x:v>Yes</x:v>
      </x:c>
      <x:c r="AA149" s="39" t="str">
        <x:v>https://developers.binance.com/en/docs/catalog/core-trading-spot-trading/api/rest-api</x:v>
      </x:c>
    </x:row>
    <x:row r="150">
      <x:c r="A150" s="30" t="str">
        <x:v>CATIUSDT</x:v>
      </x:c>
      <x:c r="B150" s="30" t="str">
        <x:v>CATI</x:v>
      </x:c>
      <x:c r="C150" s="30" t="str">
        <x:v>USDT</x:v>
      </x:c>
      <x:c r="D150" s="30" t="str">
        <x:v>TRADING</x:v>
      </x:c>
      <x:c r="E150" s="31" t="b">
        <x:v>1</x:v>
      </x:c>
      <x:c r="F150" s="32" t="n">
        <x:v>45555</x:v>
      </x:c>
      <x:c r="G150" s="32" t="n">
        <x:v>45555.999999988424</x:v>
      </x:c>
      <x:c r="H150" s="33" t="n">
        <x:f>IF(F150="","",('Summary'!$B$5-F150)/365.25)</x:f>
        <x:v>1.8672484361928678</x:v>
      </x:c>
      <x:c r="I150" s="34" t="n">
        <x:v>0.03675</x:v>
      </x:c>
      <x:c r="J150" s="35" t="n">
        <x:v>-0.01236</x:v>
      </x:c>
      <x:c r="K150" s="36" t="n">
        <x:v>1130276.7</x:v>
      </x:c>
      <x:c r="L150" s="36" t="n">
        <x:v>41359.111218</x:v>
      </x:c>
      <x:c r="M150" s="37" t="n">
        <x:v>2225</x:v>
      </x:c>
      <x:c r="N150" s="34" t="n">
        <x:v>0.03673</x:v>
      </x:c>
      <x:c r="O150" s="34" t="n">
        <x:v>0.03677</x:v>
      </x:c>
      <x:c r="P150" s="38" t="n">
        <x:f>IF(OR(N150="",O150="",N150=0,O150=0),"",(O150-N150)/((O150+N150)/2))</x:f>
        <x:v>0.0010884353741496156</x:v>
      </x:c>
      <x:c r="Q150" s="34" t="n">
        <x:v>0.03659202</x:v>
      </x:c>
      <x:c r="R150" s="34" t="n">
        <x:v>0.03759</x:v>
      </x:c>
      <x:c r="S150" s="34" t="n">
        <x:v>0.036</x:v>
      </x:c>
      <x:c r="T150" s="32" t="n">
        <x:v>46236.01246856481</x:v>
      </x:c>
      <x:c r="U150" s="32" t="n">
        <x:v>46237.01246856481</x:v>
      </x:c>
      <x:c r="V150" s="34" t="n">
        <x:v>1</x:v>
      </x:c>
      <x:c r="W150" s="34" t="n">
        <x:v>0.1</x:v>
      </x:c>
      <x:c r="X150" s="34" t="n">
        <x:v>0.1</x:v>
      </x:c>
      <x:c r="Y150" s="34" t="n">
        <x:v>0.00001</x:v>
      </x:c>
      <x:c r="Z150" s="30" t="str">
        <x:f>IF(AND(D150="TRADING",I150&lt;&gt;"",L150&lt;&gt;"",M150&lt;&gt;"",N150&lt;&gt;"",O150&lt;&gt;""),"Yes","No")</x:f>
        <x:v>Yes</x:v>
      </x:c>
      <x:c r="AA150" s="39" t="str">
        <x:v>https://developers.binance.com/en/docs/catalog/core-trading-spot-trading/api/rest-api</x:v>
      </x:c>
    </x:row>
    <x:row r="151">
      <x:c r="A151" s="30" t="str">
        <x:v>CBRSBUSDT</x:v>
      </x:c>
      <x:c r="B151" s="30" t="str">
        <x:v>CBRSB</x:v>
      </x:c>
      <x:c r="C151" s="30" t="str">
        <x:v>USDT</x:v>
      </x:c>
      <x:c r="D151" s="30" t="str">
        <x:v>TRADING</x:v>
      </x:c>
      <x:c r="E151" s="31" t="b">
        <x:v>1</x:v>
      </x:c>
      <x:c r="F151" s="32" t="n">
        <x:v>46210</x:v>
      </x:c>
      <x:c r="G151" s="32" t="n">
        <x:v>46210.999999988424</x:v>
      </x:c>
      <x:c r="H151" s="33" t="n">
        <x:f>IF(F151="","",('Summary'!$B$5-F151)/365.25)</x:f>
        <x:v>0.07395617062134144</x:v>
      </x:c>
      <x:c r="I151" s="34" t="n">
        <x:v>202.1</x:v>
      </x:c>
      <x:c r="J151" s="35" t="n">
        <x:v>0.03281</x:v>
      </x:c>
      <x:c r="K151" s="36" t="n">
        <x:v>740.544</x:v>
      </x:c>
      <x:c r="L151" s="36" t="n">
        <x:v>146048.10092</x:v>
      </x:c>
      <x:c r="M151" s="37" t="n">
        <x:v>3014</x:v>
      </x:c>
      <x:c r="N151" s="34" t="n">
        <x:v>202.2</x:v>
      </x:c>
      <x:c r="O151" s="34" t="n">
        <x:v>202.66</x:v>
      </x:c>
      <x:c r="P151" s="38" t="n">
        <x:f>IF(OR(N151="",O151="",N151=0,O151=0),"",(O151-N151)/((O151+N151)/2))</x:f>
        <x:v>0.0022723904559601243</x:v>
      </x:c>
      <x:c r="Q151" s="34" t="n">
        <x:v>197.21731716</x:v>
      </x:c>
      <x:c r="R151" s="34" t="n">
        <x:v>202.62</x:v>
      </x:c>
      <x:c r="S151" s="34" t="n">
        <x:v>193.64</x:v>
      </x:c>
      <x:c r="T151" s="32" t="n">
        <x:v>46236.01247908565</x:v>
      </x:c>
      <x:c r="U151" s="32" t="n">
        <x:v>46237.01247908565</x:v>
      </x:c>
      <x:c r="V151" s="34" t="n">
        <x:v>5</x:v>
      </x:c>
      <x:c r="W151" s="34" t="n">
        <x:v>0.001</x:v>
      </x:c>
      <x:c r="X151" s="34" t="n">
        <x:v>0.001</x:v>
      </x:c>
      <x:c r="Y151" s="34" t="n">
        <x:v>0.01</x:v>
      </x:c>
      <x:c r="Z151" s="30" t="str">
        <x:f>IF(AND(D151="TRADING",I151&lt;&gt;"",L151&lt;&gt;"",M151&lt;&gt;"",N151&lt;&gt;"",O151&lt;&gt;""),"Yes","No")</x:f>
        <x:v>Yes</x:v>
      </x:c>
      <x:c r="AA151" s="39" t="str">
        <x:v>https://developers.binance.com/en/docs/catalog/core-trading-spot-trading/api/rest-api</x:v>
      </x:c>
    </x:row>
    <x:row r="152">
      <x:c r="A152" s="30" t="str">
        <x:v>CELOUSDT</x:v>
      </x:c>
      <x:c r="B152" s="30" t="str">
        <x:v>CELO</x:v>
      </x:c>
      <x:c r="C152" s="30" t="str">
        <x:v>USDT</x:v>
      </x:c>
      <x:c r="D152" s="30" t="str">
        <x:v>TRADING</x:v>
      </x:c>
      <x:c r="E152" s="31" t="b">
        <x:v>1</x:v>
      </x:c>
      <x:c r="F152" s="32" t="n">
        <x:v>44201</x:v>
      </x:c>
      <x:c r="G152" s="32" t="n">
        <x:v>44201.999999988424</x:v>
      </x:c>
      <x:c r="H152" s="33" t="n">
        <x:f>IF(F152="","",('Summary'!$B$5-F152)/365.25)</x:f>
        <x:v>5.574298401969733</x:v>
      </x:c>
      <x:c r="I152" s="34" t="n">
        <x:v>0.06261</x:v>
      </x:c>
      <x:c r="J152" s="35" t="n">
        <x:v>-0.006979999999999999</x:v>
      </x:c>
      <x:c r="K152" s="36" t="n">
        <x:v>1391890.4</x:v>
      </x:c>
      <x:c r="L152" s="36" t="n">
        <x:v>87677.189871</x:v>
      </x:c>
      <x:c r="M152" s="37" t="n">
        <x:v>2555</x:v>
      </x:c>
      <x:c r="N152" s="34" t="n">
        <x:v>0.06263</x:v>
      </x:c>
      <x:c r="O152" s="34" t="n">
        <x:v>0.06267</x:v>
      </x:c>
      <x:c r="P152" s="38" t="n">
        <x:f>IF(OR(N152="",O152="",N152=0,O152=0),"",(O152-N152)/((O152+N152)/2))</x:f>
        <x:v>0.0006384676775737966</x:v>
      </x:c>
      <x:c r="Q152" s="34" t="n">
        <x:v>0.06299145</x:v>
      </x:c>
      <x:c r="R152" s="34" t="n">
        <x:v>0.0639</x:v>
      </x:c>
      <x:c r="S152" s="34" t="n">
        <x:v>0.06247</x:v>
      </x:c>
      <x:c r="T152" s="32" t="n">
        <x:v>46236.01077746528</x:v>
      </x:c>
      <x:c r="U152" s="32" t="n">
        <x:v>46237.01077746528</x:v>
      </x:c>
      <x:c r="V152" s="34" t="n">
        <x:v>5</x:v>
      </x:c>
      <x:c r="W152" s="34" t="n">
        <x:v>0.1</x:v>
      </x:c>
      <x:c r="X152" s="34" t="n">
        <x:v>0.1</x:v>
      </x:c>
      <x:c r="Y152" s="34" t="n">
        <x:v>0.00001</x:v>
      </x:c>
      <x:c r="Z152" s="30" t="str">
        <x:f>IF(AND(D152="TRADING",I152&lt;&gt;"",L152&lt;&gt;"",M152&lt;&gt;"",N152&lt;&gt;"",O152&lt;&gt;""),"Yes","No")</x:f>
        <x:v>Yes</x:v>
      </x:c>
      <x:c r="AA152" s="39" t="str">
        <x:v>https://developers.binance.com/en/docs/catalog/core-trading-spot-trading/api/rest-api</x:v>
      </x:c>
    </x:row>
    <x:row r="153">
      <x:c r="A153" s="30" t="str">
        <x:v>CELRUSDT</x:v>
      </x:c>
      <x:c r="B153" s="30" t="str">
        <x:v>CELR</x:v>
      </x:c>
      <x:c r="C153" s="30" t="str">
        <x:v>USDT</x:v>
      </x:c>
      <x:c r="D153" s="30" t="str">
        <x:v>TRADING</x:v>
      </x:c>
      <x:c r="E153" s="31" t="b">
        <x:v>1</x:v>
      </x:c>
      <x:c r="F153" s="32" t="n">
        <x:v>43549</x:v>
      </x:c>
      <x:c r="G153" s="32" t="n">
        <x:v>43549.999999988424</x:v>
      </x:c>
      <x:c r="H153" s="33" t="n">
        <x:f>IF(F153="","",('Summary'!$B$5-F153)/365.25)</x:f>
        <x:v>7.359377115179863</x:v>
      </x:c>
      <x:c r="I153" s="34" t="n">
        <x:v>0.001652</x:v>
      </x:c>
      <x:c r="J153" s="35" t="n">
        <x:v>0.05357</x:v>
      </x:c>
      <x:c r="K153" s="36" t="n">
        <x:v>269435832.7</x:v>
      </x:c>
      <x:c r="L153" s="36" t="n">
        <x:v>436087.6999314</x:v>
      </x:c>
      <x:c r="M153" s="37" t="n">
        <x:v>23062</x:v>
      </x:c>
      <x:c r="N153" s="34" t="n">
        <x:v>0.001652</x:v>
      </x:c>
      <x:c r="O153" s="34" t="n">
        <x:v>0.001653</x:v>
      </x:c>
      <x:c r="P153" s="38" t="n">
        <x:f>IF(OR(N153="",O153="",N153=0,O153=0),"",(O153-N153)/((O153+N153)/2))</x:f>
        <x:v>0.0006051437216338371</x:v>
      </x:c>
      <x:c r="Q153" s="34" t="n">
        <x:v>0.00161852</x:v>
      </x:c>
      <x:c r="R153" s="34" t="n">
        <x:v>0.001708</x:v>
      </x:c>
      <x:c r="S153" s="34" t="n">
        <x:v>0.001551</x:v>
      </x:c>
      <x:c r="T153" s="32" t="n">
        <x:v>46236.012388090276</x:v>
      </x:c>
      <x:c r="U153" s="32" t="n">
        <x:v>46237.012388090276</x:v>
      </x:c>
      <x:c r="V153" s="34" t="n">
        <x:v>5</x:v>
      </x:c>
      <x:c r="W153" s="34" t="n">
        <x:v>0.1</x:v>
      </x:c>
      <x:c r="X153" s="34" t="n">
        <x:v>0.1</x:v>
      </x:c>
      <x:c r="Y153" s="34" t="n">
        <x:v>0.000001</x:v>
      </x:c>
      <x:c r="Z153" s="30" t="str">
        <x:f>IF(AND(D153="TRADING",I153&lt;&gt;"",L153&lt;&gt;"",M153&lt;&gt;"",N153&lt;&gt;"",O153&lt;&gt;""),"Yes","No")</x:f>
        <x:v>Yes</x:v>
      </x:c>
      <x:c r="AA153" s="39" t="str">
        <x:v>https://developers.binance.com/en/docs/catalog/core-trading-spot-trading/api/rest-api</x:v>
      </x:c>
    </x:row>
    <x:row r="154">
      <x:c r="A154" s="30" t="str">
        <x:v>CETUSUSDT</x:v>
      </x:c>
      <x:c r="B154" s="30" t="str">
        <x:v>CETUS</x:v>
      </x:c>
      <x:c r="C154" s="30" t="str">
        <x:v>USDT</x:v>
      </x:c>
      <x:c r="D154" s="30" t="str">
        <x:v>TRADING</x:v>
      </x:c>
      <x:c r="E154" s="31" t="b">
        <x:v>1</x:v>
      </x:c>
      <x:c r="F154" s="32" t="n">
        <x:v>45602</x:v>
      </x:c>
      <x:c r="G154" s="32" t="n">
        <x:v>45602.999999988424</x:v>
      </x:c>
      <x:c r="H154" s="33" t="n">
        <x:f>IF(F154="","",('Summary'!$B$5-F154)/365.25)</x:f>
        <x:v>1.738569449197659</x:v>
      </x:c>
      <x:c r="I154" s="34" t="n">
        <x:v>0.01763</x:v>
      </x:c>
      <x:c r="J154" s="35" t="n">
        <x:v>0.008579999999999999</x:v>
      </x:c>
      <x:c r="K154" s="36" t="n">
        <x:v>3297791.4</x:v>
      </x:c>
      <x:c r="L154" s="36" t="n">
        <x:v>58558.625716</x:v>
      </x:c>
      <x:c r="M154" s="37" t="n">
        <x:v>1323</x:v>
      </x:c>
      <x:c r="N154" s="34" t="n">
        <x:v>0.01764</x:v>
      </x:c>
      <x:c r="O154" s="34" t="n">
        <x:v>0.01765</x:v>
      </x:c>
      <x:c r="P154" s="38" t="n">
        <x:f>IF(OR(N154="",O154="",N154=0,O154=0),"",(O154-N154)/((O154+N154)/2))</x:f>
        <x:v>0.0005667327854916175</x:v>
      </x:c>
      <x:c r="Q154" s="34" t="n">
        <x:v>0.01775692</x:v>
      </x:c>
      <x:c r="R154" s="34" t="n">
        <x:v>0.01789</x:v>
      </x:c>
      <x:c r="S154" s="34" t="n">
        <x:v>0.01746</x:v>
      </x:c>
      <x:c r="T154" s="32" t="n">
        <x:v>46236.01247837963</x:v>
      </x:c>
      <x:c r="U154" s="32" t="n">
        <x:v>46237.01247837963</x:v>
      </x:c>
      <x:c r="V154" s="34" t="n">
        <x:v>5</x:v>
      </x:c>
      <x:c r="W154" s="34" t="n">
        <x:v>0.1</x:v>
      </x:c>
      <x:c r="X154" s="34" t="n">
        <x:v>0.1</x:v>
      </x:c>
      <x:c r="Y154" s="34" t="n">
        <x:v>0.00001</x:v>
      </x:c>
      <x:c r="Z154" s="30" t="str">
        <x:f>IF(AND(D154="TRADING",I154&lt;&gt;"",L154&lt;&gt;"",M154&lt;&gt;"",N154&lt;&gt;"",O154&lt;&gt;""),"Yes","No")</x:f>
        <x:v>Yes</x:v>
      </x:c>
      <x:c r="AA154" s="39" t="str">
        <x:v>https://developers.binance.com/en/docs/catalog/core-trading-spot-trading/api/rest-api</x:v>
      </x:c>
    </x:row>
    <x:row r="155">
      <x:c r="A155" s="30" t="str">
        <x:v>CFGUSDT</x:v>
      </x:c>
      <x:c r="B155" s="30" t="str">
        <x:v>CFG</x:v>
      </x:c>
      <x:c r="C155" s="30" t="str">
        <x:v>USDT</x:v>
      </x:c>
      <x:c r="D155" s="30" t="str">
        <x:v>TRADING</x:v>
      </x:c>
      <x:c r="E155" s="31" t="b">
        <x:v>1</x:v>
      </x:c>
      <x:c r="F155" s="32" t="n">
        <x:v>46097</x:v>
      </x:c>
      <x:c r="G155" s="32" t="n">
        <x:v>46097.999999988424</x:v>
      </x:c>
      <x:c r="H155" s="33" t="n">
        <x:f>IF(F155="","",('Summary'!$B$5-F155)/365.25)</x:f>
        <x:v>0.3833333095672689</x:v>
      </x:c>
      <x:c r="I155" s="34" t="n">
        <x:v>0.1756</x:v>
      </x:c>
      <x:c r="J155" s="35" t="n">
        <x:v>0.013859999999999999</x:v>
      </x:c>
      <x:c r="K155" s="36" t="n">
        <x:v>2486469.2</x:v>
      </x:c>
      <x:c r="L155" s="36" t="n">
        <x:v>440556.37408</x:v>
      </x:c>
      <x:c r="M155" s="37" t="n">
        <x:v>6235</x:v>
      </x:c>
      <x:c r="N155" s="34" t="n">
        <x:v>0.1755</x:v>
      </x:c>
      <x:c r="O155" s="34" t="n">
        <x:v>0.1756</x:v>
      </x:c>
      <x:c r="P155" s="38" t="n">
        <x:f>IF(OR(N155="",O155="",N155=0,O155=0),"",(O155-N155)/((O155+N155)/2))</x:f>
        <x:v>0.0005696382796924908</x:v>
      </x:c>
      <x:c r="Q155" s="34" t="n">
        <x:v>0.17718151</x:v>
      </x:c>
      <x:c r="R155" s="34" t="n">
        <x:v>0.1812</x:v>
      </x:c>
      <x:c r="S155" s="34" t="n">
        <x:v>0.1724</x:v>
      </x:c>
      <x:c r="T155" s="32" t="n">
        <x:v>46236.01247836806</x:v>
      </x:c>
      <x:c r="U155" s="32" t="n">
        <x:v>46237.01247836806</x:v>
      </x:c>
      <x:c r="V155" s="34" t="n">
        <x:v>5</x:v>
      </x:c>
      <x:c r="W155" s="34" t="n">
        <x:v>0.1</x:v>
      </x:c>
      <x:c r="X155" s="34" t="n">
        <x:v>0.1</x:v>
      </x:c>
      <x:c r="Y155" s="34" t="n">
        <x:v>0.0001</x:v>
      </x:c>
      <x:c r="Z155" s="30" t="str">
        <x:f>IF(AND(D155="TRADING",I155&lt;&gt;"",L155&lt;&gt;"",M155&lt;&gt;"",N155&lt;&gt;"",O155&lt;&gt;""),"Yes","No")</x:f>
        <x:v>Yes</x:v>
      </x:c>
      <x:c r="AA155" s="39" t="str">
        <x:v>https://developers.binance.com/en/docs/catalog/core-trading-spot-trading/api/rest-api</x:v>
      </x:c>
    </x:row>
    <x:row r="156">
      <x:c r="A156" s="30" t="str">
        <x:v>CFXUSDT</x:v>
      </x:c>
      <x:c r="B156" s="30" t="str">
        <x:v>CFX</x:v>
      </x:c>
      <x:c r="C156" s="30" t="str">
        <x:v>USDT</x:v>
      </x:c>
      <x:c r="D156" s="30" t="str">
        <x:v>TRADING</x:v>
      </x:c>
      <x:c r="E156" s="31" t="b">
        <x:v>1</x:v>
      </x:c>
      <x:c r="F156" s="32" t="n">
        <x:v>44284</x:v>
      </x:c>
      <x:c r="G156" s="32" t="n">
        <x:v>44284.999999988424</x:v>
      </x:c>
      <x:c r="H156" s="33" t="n">
        <x:f>IF(F156="","",('Summary'!$B$5-F156)/365.25)</x:f>
        <x:v>5.3470567866377685</x:v>
      </x:c>
      <x:c r="I156" s="34" t="n">
        <x:v>0.04192</x:v>
      </x:c>
      <x:c r="J156" s="35" t="n">
        <x:v>-0.025339999999999998</x:v>
      </x:c>
      <x:c r="K156" s="36" t="n">
        <x:v>24918468</x:v>
      </x:c>
      <x:c r="L156" s="36" t="n">
        <x:v>1056784.7752</x:v>
      </x:c>
      <x:c r="M156" s="37" t="n">
        <x:v>21630</x:v>
      </x:c>
      <x:c r="N156" s="34" t="n">
        <x:v>0.04192</x:v>
      </x:c>
      <x:c r="O156" s="34" t="n">
        <x:v>0.04193</x:v>
      </x:c>
      <x:c r="P156" s="38" t="n">
        <x:f>IF(OR(N156="",O156="",N156=0,O156=0),"",(O156-N156)/((O156+N156)/2))</x:f>
        <x:v>0.00023852116875379992</x:v>
      </x:c>
      <x:c r="Q156" s="34" t="n">
        <x:v>0.0424097</x:v>
      </x:c>
      <x:c r="R156" s="34" t="n">
        <x:v>0.04334</x:v>
      </x:c>
      <x:c r="S156" s="34" t="n">
        <x:v>0.04167</x:v>
      </x:c>
      <x:c r="T156" s="32" t="n">
        <x:v>46236.01218986111</x:v>
      </x:c>
      <x:c r="U156" s="32" t="n">
        <x:v>46237.01218986111</x:v>
      </x:c>
      <x:c r="V156" s="34" t="n">
        <x:v>5</x:v>
      </x:c>
      <x:c r="W156" s="34" t="n">
        <x:v>1</x:v>
      </x:c>
      <x:c r="X156" s="34" t="n">
        <x:v>1</x:v>
      </x:c>
      <x:c r="Y156" s="34" t="n">
        <x:v>0.00001</x:v>
      </x:c>
      <x:c r="Z156" s="30" t="str">
        <x:f>IF(AND(D156="TRADING",I156&lt;&gt;"",L156&lt;&gt;"",M156&lt;&gt;"",N156&lt;&gt;"",O156&lt;&gt;""),"Yes","No")</x:f>
        <x:v>Yes</x:v>
      </x:c>
      <x:c r="AA156" s="39" t="str">
        <x:v>https://developers.binance.com/en/docs/catalog/core-trading-spot-trading/api/rest-api</x:v>
      </x:c>
    </x:row>
    <x:row r="157">
      <x:c r="A157" s="30" t="str">
        <x:v>CGPTUSDT</x:v>
      </x:c>
      <x:c r="B157" s="30" t="str">
        <x:v>CGPT</x:v>
      </x:c>
      <x:c r="C157" s="30" t="str">
        <x:v>USDT</x:v>
      </x:c>
      <x:c r="D157" s="30" t="str">
        <x:v>TRADING</x:v>
      </x:c>
      <x:c r="E157" s="31" t="b">
        <x:v>1</x:v>
      </x:c>
      <x:c r="F157" s="32" t="n">
        <x:v>45667</x:v>
      </x:c>
      <x:c r="G157" s="32" t="n">
        <x:v>45667.999999988424</x:v>
      </x:c>
      <x:c r="H157" s="33" t="n">
        <x:f>IF(F157="","",('Summary'!$B$5-F157)/365.25)</x:f>
        <x:v>1.5606091480340725</x:v>
      </x:c>
      <x:c r="I157" s="34" t="n">
        <x:v>0.01826</x:v>
      </x:c>
      <x:c r="J157" s="35" t="n">
        <x:v>-0.0151</x:v>
      </x:c>
      <x:c r="K157" s="36" t="n">
        <x:v>7690901.9</x:v>
      </x:c>
      <x:c r="L157" s="36" t="n">
        <x:v>141588.400777</x:v>
      </x:c>
      <x:c r="M157" s="37" t="n">
        <x:v>4137</x:v>
      </x:c>
      <x:c r="N157" s="34" t="n">
        <x:v>0.01826</x:v>
      </x:c>
      <x:c r="O157" s="34" t="n">
        <x:v>0.01828</x:v>
      </x:c>
      <x:c r="P157" s="38" t="n">
        <x:f>IF(OR(N157="",O157="",N157=0,O157=0),"",(O157-N157)/((O157+N157)/2))</x:f>
        <x:v>0.0010946907498633088</x:v>
      </x:c>
      <x:c r="Q157" s="34" t="n">
        <x:v>0.01840986</x:v>
      </x:c>
      <x:c r="R157" s="34" t="n">
        <x:v>0.01865</x:v>
      </x:c>
      <x:c r="S157" s="34" t="n">
        <x:v>0.01825</x:v>
      </x:c>
      <x:c r="T157" s="32" t="n">
        <x:v>46236.01248578704</x:v>
      </x:c>
      <x:c r="U157" s="32" t="n">
        <x:v>46237.01248578704</x:v>
      </x:c>
      <x:c r="V157" s="34" t="n">
        <x:v>5</x:v>
      </x:c>
      <x:c r="W157" s="34" t="n">
        <x:v>0.1</x:v>
      </x:c>
      <x:c r="X157" s="34" t="n">
        <x:v>0.1</x:v>
      </x:c>
      <x:c r="Y157" s="34" t="n">
        <x:v>0.00001</x:v>
      </x:c>
      <x:c r="Z157" s="30" t="str">
        <x:f>IF(AND(D157="TRADING",I157&lt;&gt;"",L157&lt;&gt;"",M157&lt;&gt;"",N157&lt;&gt;"",O157&lt;&gt;""),"Yes","No")</x:f>
        <x:v>Yes</x:v>
      </x:c>
      <x:c r="AA157" s="39" t="str">
        <x:v>https://developers.binance.com/en/docs/catalog/core-trading-spot-trading/api/rest-api</x:v>
      </x:c>
    </x:row>
    <x:row r="158">
      <x:c r="A158" s="30" t="str">
        <x:v>CHESSUSDT</x:v>
      </x:c>
      <x:c r="B158" s="30" t="str">
        <x:v>CHESS</x:v>
      </x:c>
      <x:c r="C158" s="30" t="str">
        <x:v>USDT</x:v>
      </x:c>
      <x:c r="D158" s="30" t="str">
        <x:v>BREAK</x:v>
      </x:c>
      <x:c r="E158" s="31" t="b">
        <x:v>1</x:v>
      </x:c>
      <x:c r="F158" s="32" t="n">
        <x:v>44491</x:v>
      </x:c>
      <x:c r="G158" s="32" t="n">
        <x:v>44491.999999988424</x:v>
      </x:c>
      <x:c r="H158" s="33" t="n">
        <x:f>IF(F158="","",('Summary'!$B$5-F158)/365.25)</x:f>
        <x:v>4.780321673701423</x:v>
      </x:c>
      <x:c r="I158" s="34" t="n">
        <x:v>0.00281</x:v>
      </x:c>
      <x:c r="J158" s="35" t="n">
        <x:v>-0.16864</x:v>
      </x:c>
      <x:c r="K158" s="36" t="n">
        <x:v>52870057.5</x:v>
      </x:c>
      <x:c r="L158" s="36" t="n">
        <x:v>167264.084137</x:v>
      </x:c>
      <x:c r="M158" s="37" t="n">
        <x:v>4001</x:v>
      </x:c>
      <x:c r="N158" s="34" t="n">
        <x:v>0</x:v>
      </x:c>
      <x:c r="O158" s="34" t="n">
        <x:v>0</x:v>
      </x:c>
      <x:c r="P158" s="38" t="str">
        <x:f>IF(OR(N158="",O158="",N158=0,O158=0),"",(O158-N158)/((O158+N158)/2))</x:f>
      </x:c>
      <x:c r="Q158" s="34" t="n">
        <x:v>0.00316368</x:v>
      </x:c>
      <x:c r="R158" s="34" t="n">
        <x:v>0.00388</x:v>
      </x:c>
      <x:c r="S158" s="34" t="n">
        <x:v>0.00255</x:v>
      </x:c>
      <x:c r="T158" s="32" t="n">
        <x:v>46209.26112309028</x:v>
      </x:c>
      <x:c r="U158" s="32" t="n">
        <x:v>46210.26112309028</x:v>
      </x:c>
      <x:c r="V158" s="34" t="n">
        <x:v>5</x:v>
      </x:c>
      <x:c r="W158" s="34" t="n">
        <x:v>0.1</x:v>
      </x:c>
      <x:c r="X158" s="34" t="n">
        <x:v>0.1</x:v>
      </x:c>
      <x:c r="Y158" s="34" t="n">
        <x:v>0.00001</x:v>
      </x:c>
      <x:c r="Z158" s="30" t="str">
        <x:f>IF(AND(D158="TRADING",I158&lt;&gt;"",L158&lt;&gt;"",M158&lt;&gt;"",N158&lt;&gt;"",O158&lt;&gt;""),"Yes","No")</x:f>
        <x:v>No</x:v>
      </x:c>
      <x:c r="AA158" s="39" t="str">
        <x:v>https://developers.binance.com/en/docs/catalog/core-trading-spot-trading/api/rest-api</x:v>
      </x:c>
    </x:row>
    <x:row r="159">
      <x:c r="A159" s="30" t="str">
        <x:v>CHIPUSDT</x:v>
      </x:c>
      <x:c r="B159" s="30" t="str">
        <x:v>CHIP</x:v>
      </x:c>
      <x:c r="C159" s="30" t="str">
        <x:v>USDT</x:v>
      </x:c>
      <x:c r="D159" s="30" t="str">
        <x:v>TRADING</x:v>
      </x:c>
      <x:c r="E159" s="31" t="b">
        <x:v>1</x:v>
      </x:c>
      <x:c r="F159" s="32" t="n">
        <x:v>46133</x:v>
      </x:c>
      <x:c r="G159" s="32" t="n">
        <x:v>46133.999999988424</x:v>
      </x:c>
      <x:c r="H159" s="33" t="n">
        <x:f>IF(F159="","",('Summary'!$B$5-F159)/365.25)</x:f>
        <x:v>0.28477068123051325</x:v>
      </x:c>
      <x:c r="I159" s="34" t="n">
        <x:v>0.02513</x:v>
      </x:c>
      <x:c r="J159" s="35" t="n">
        <x:v>-0.01024</x:v>
      </x:c>
      <x:c r="K159" s="36" t="n">
        <x:v>12915106</x:v>
      </x:c>
      <x:c r="L159" s="36" t="n">
        <x:v>327965.7255</x:v>
      </x:c>
      <x:c r="M159" s="37" t="n">
        <x:v>5643</x:v>
      </x:c>
      <x:c r="N159" s="34" t="n">
        <x:v>0.02512</x:v>
      </x:c>
      <x:c r="O159" s="34" t="n">
        <x:v>0.02513</x:v>
      </x:c>
      <x:c r="P159" s="38" t="n">
        <x:f>IF(OR(N159="",O159="",N159=0,O159=0),"",(O159-N159)/((O159+N159)/2))</x:f>
        <x:v>0.00039800995024874</x:v>
      </x:c>
      <x:c r="Q159" s="34" t="n">
        <x:v>0.02539396</x:v>
      </x:c>
      <x:c r="R159" s="34" t="n">
        <x:v>0.0258</x:v>
      </x:c>
      <x:c r="S159" s="34" t="n">
        <x:v>0.02495</x:v>
      </x:c>
      <x:c r="T159" s="32" t="n">
        <x:v>46236.012370046294</x:v>
      </x:c>
      <x:c r="U159" s="32" t="n">
        <x:v>46237.012370046294</x:v>
      </x:c>
      <x:c r="V159" s="34" t="n">
        <x:v>5</x:v>
      </x:c>
      <x:c r="W159" s="34" t="n">
        <x:v>1</x:v>
      </x:c>
      <x:c r="X159" s="34" t="n">
        <x:v>1</x:v>
      </x:c>
      <x:c r="Y159" s="34" t="n">
        <x:v>0.00001</x:v>
      </x:c>
      <x:c r="Z159" s="30" t="str">
        <x:f>IF(AND(D159="TRADING",I159&lt;&gt;"",L159&lt;&gt;"",M159&lt;&gt;"",N159&lt;&gt;"",O159&lt;&gt;""),"Yes","No")</x:f>
        <x:v>Yes</x:v>
      </x:c>
      <x:c r="AA159" s="39" t="str">
        <x:v>https://developers.binance.com/en/docs/catalog/core-trading-spot-trading/api/rest-api</x:v>
      </x:c>
    </x:row>
    <x:row r="160">
      <x:c r="A160" s="30" t="str">
        <x:v>CHRUSDT</x:v>
      </x:c>
      <x:c r="B160" s="30" t="str">
        <x:v>CHR</x:v>
      </x:c>
      <x:c r="C160" s="30" t="str">
        <x:v>USDT</x:v>
      </x:c>
      <x:c r="D160" s="30" t="str">
        <x:v>TRADING</x:v>
      </x:c>
      <x:c r="E160" s="31" t="b">
        <x:v>1</x:v>
      </x:c>
      <x:c r="F160" s="32" t="n">
        <x:v>43958</x:v>
      </x:c>
      <x:c r="G160" s="32" t="n">
        <x:v>43958.999999988424</x:v>
      </x:c>
      <x:c r="H160" s="33" t="n">
        <x:f>IF(F160="","",('Summary'!$B$5-F160)/365.25)</x:f>
        <x:v>6.239596143242833</x:v>
      </x:c>
      <x:c r="I160" s="34" t="n">
        <x:v>0.01319</x:v>
      </x:c>
      <x:c r="J160" s="35" t="n">
        <x:v>0.04766</x:v>
      </x:c>
      <x:c r="K160" s="36" t="n">
        <x:v>10613468</x:v>
      </x:c>
      <x:c r="L160" s="36" t="n">
        <x:v>136580.0121</x:v>
      </x:c>
      <x:c r="M160" s="37" t="n">
        <x:v>1474</x:v>
      </x:c>
      <x:c r="N160" s="34" t="n">
        <x:v>0.01316</x:v>
      </x:c>
      <x:c r="O160" s="34" t="n">
        <x:v>0.01319</x:v>
      </x:c>
      <x:c r="P160" s="38" t="n">
        <x:f>IF(OR(N160="",O160="",N160=0,O160=0),"",(O160-N160)/((O160+N160)/2))</x:f>
        <x:v>0.0022770398481973824</x:v>
      </x:c>
      <x:c r="Q160" s="34" t="n">
        <x:v>0.01286856</x:v>
      </x:c>
      <x:c r="R160" s="34" t="n">
        <x:v>0.01337</x:v>
      </x:c>
      <x:c r="S160" s="34" t="n">
        <x:v>0.01246</x:v>
      </x:c>
      <x:c r="T160" s="32" t="n">
        <x:v>46236.01188825232</x:v>
      </x:c>
      <x:c r="U160" s="32" t="n">
        <x:v>46237.01188825232</x:v>
      </x:c>
      <x:c r="V160" s="34" t="n">
        <x:v>5</x:v>
      </x:c>
      <x:c r="W160" s="34" t="n">
        <x:v>1</x:v>
      </x:c>
      <x:c r="X160" s="34" t="n">
        <x:v>1</x:v>
      </x:c>
      <x:c r="Y160" s="34" t="n">
        <x:v>0.00001</x:v>
      </x:c>
      <x:c r="Z160" s="30" t="str">
        <x:f>IF(AND(D160="TRADING",I160&lt;&gt;"",L160&lt;&gt;"",M160&lt;&gt;"",N160&lt;&gt;"",O160&lt;&gt;""),"Yes","No")</x:f>
        <x:v>Yes</x:v>
      </x:c>
      <x:c r="AA160" s="39" t="str">
        <x:v>https://developers.binance.com/en/docs/catalog/core-trading-spot-trading/api/rest-api</x:v>
      </x:c>
    </x:row>
    <x:row r="161">
      <x:c r="A161" s="30" t="str">
        <x:v>CHZUSDT</x:v>
      </x:c>
      <x:c r="B161" s="30" t="str">
        <x:v>CHZ</x:v>
      </x:c>
      <x:c r="C161" s="30" t="str">
        <x:v>USDT</x:v>
      </x:c>
      <x:c r="D161" s="30" t="str">
        <x:v>TRADING</x:v>
      </x:c>
      <x:c r="E161" s="31" t="b">
        <x:v>1</x:v>
      </x:c>
      <x:c r="F161" s="32" t="n">
        <x:v>43714</x:v>
      </x:c>
      <x:c r="G161" s="32" t="n">
        <x:v>43714.999999988424</x:v>
      </x:c>
      <x:c r="H161" s="33" t="n">
        <x:f>IF(F161="","",('Summary'!$B$5-F161)/365.25)</x:f>
        <x:v>6.907631735303066</x:v>
      </x:c>
      <x:c r="I161" s="34" t="n">
        <x:v>0.01284</x:v>
      </x:c>
      <x:c r="J161" s="35" t="n">
        <x:v>0.01582</x:v>
      </x:c>
      <x:c r="K161" s="36" t="n">
        <x:v>58645463</x:v>
      </x:c>
      <x:c r="L161" s="36" t="n">
        <x:v>753176.22992</x:v>
      </x:c>
      <x:c r="M161" s="37" t="n">
        <x:v>7207</x:v>
      </x:c>
      <x:c r="N161" s="34" t="n">
        <x:v>0.01283</x:v>
      </x:c>
      <x:c r="O161" s="34" t="n">
        <x:v>0.01284</x:v>
      </x:c>
      <x:c r="P161" s="38" t="n">
        <x:f>IF(OR(N161="",O161="",N161=0,O161=0),"",(O161-N161)/((O161+N161)/2))</x:f>
        <x:v>0.0007791195948579141</x:v>
      </x:c>
      <x:c r="Q161" s="34" t="n">
        <x:v>0.01284287</x:v>
      </x:c>
      <x:c r="R161" s="34" t="n">
        <x:v>0.013</x:v>
      </x:c>
      <x:c r="S161" s="34" t="n">
        <x:v>0.01262</x:v>
      </x:c>
      <x:c r="T161" s="32" t="n">
        <x:v>46236.01245475694</x:v>
      </x:c>
      <x:c r="U161" s="32" t="n">
        <x:v>46237.01245475694</x:v>
      </x:c>
      <x:c r="V161" s="34" t="n">
        <x:v>5</x:v>
      </x:c>
      <x:c r="W161" s="34" t="n">
        <x:v>1</x:v>
      </x:c>
      <x:c r="X161" s="34" t="n">
        <x:v>1</x:v>
      </x:c>
      <x:c r="Y161" s="34" t="n">
        <x:v>0.00001</x:v>
      </x:c>
      <x:c r="Z161" s="30" t="str">
        <x:f>IF(AND(D161="TRADING",I161&lt;&gt;"",L161&lt;&gt;"",M161&lt;&gt;"",N161&lt;&gt;"",O161&lt;&gt;""),"Yes","No")</x:f>
        <x:v>Yes</x:v>
      </x:c>
      <x:c r="AA161" s="39" t="str">
        <x:v>https://developers.binance.com/en/docs/catalog/core-trading-spot-trading/api/rest-api</x:v>
      </x:c>
    </x:row>
    <x:row r="162">
      <x:c r="A162" s="30" t="str">
        <x:v>CITYUSDT</x:v>
      </x:c>
      <x:c r="B162" s="30" t="str">
        <x:v>CITY</x:v>
      </x:c>
      <x:c r="C162" s="30" t="str">
        <x:v>USDT</x:v>
      </x:c>
      <x:c r="D162" s="30" t="str">
        <x:v>TRADING</x:v>
      </x:c>
      <x:c r="E162" s="31" t="b">
        <x:v>1</x:v>
      </x:c>
      <x:c r="F162" s="32" t="n">
        <x:v>44510</x:v>
      </x:c>
      <x:c r="G162" s="32" t="n">
        <x:v>44510.999999988424</x:v>
      </x:c>
      <x:c r="H162" s="33" t="n">
        <x:f>IF(F162="","",('Summary'!$B$5-F162)/365.25)</x:f>
        <x:v>4.728302508745914</x:v>
      </x:c>
      <x:c r="I162" s="34" t="n">
        <x:v>0.364</x:v>
      </x:c>
      <x:c r="J162" s="35" t="n">
        <x:v>0.005520000000000001</x:v>
      </x:c>
      <x:c r="K162" s="36" t="n">
        <x:v>251837.13</x:v>
      </x:c>
      <x:c r="L162" s="36" t="n">
        <x:v>91741.46052</x:v>
      </x:c>
      <x:c r="M162" s="37" t="n">
        <x:v>2247</x:v>
      </x:c>
      <x:c r="N162" s="34" t="n">
        <x:v>0.363</x:v>
      </x:c>
      <x:c r="O162" s="34" t="n">
        <x:v>0.364</x:v>
      </x:c>
      <x:c r="P162" s="38" t="n">
        <x:f>IF(OR(N162="",O162="",N162=0,O162=0),"",(O162-N162)/((O162+N162)/2))</x:f>
        <x:v>0.0027510316368638266</x:v>
      </x:c>
      <x:c r="Q162" s="34" t="n">
        <x:v>0.36428886</x:v>
      </x:c>
      <x:c r="R162" s="34" t="n">
        <x:v>0.367</x:v>
      </x:c>
      <x:c r="S162" s="34" t="n">
        <x:v>0.362</x:v>
      </x:c>
      <x:c r="T162" s="32" t="n">
        <x:v>46236.00942355324</x:v>
      </x:c>
      <x:c r="U162" s="32" t="n">
        <x:v>46237.00942355324</x:v>
      </x:c>
      <x:c r="V162" s="34" t="n">
        <x:v>5</x:v>
      </x:c>
      <x:c r="W162" s="34" t="n">
        <x:v>0.01</x:v>
      </x:c>
      <x:c r="X162" s="34" t="n">
        <x:v>0.01</x:v>
      </x:c>
      <x:c r="Y162" s="34" t="n">
        <x:v>0.001</x:v>
      </x:c>
      <x:c r="Z162" s="30" t="str">
        <x:f>IF(AND(D162="TRADING",I162&lt;&gt;"",L162&lt;&gt;"",M162&lt;&gt;"",N162&lt;&gt;"",O162&lt;&gt;""),"Yes","No")</x:f>
        <x:v>Yes</x:v>
      </x:c>
      <x:c r="AA162" s="39" t="str">
        <x:v>https://developers.binance.com/en/docs/catalog/core-trading-spot-trading/api/rest-api</x:v>
      </x:c>
    </x:row>
    <x:row r="163">
      <x:c r="A163" s="30" t="str">
        <x:v>CKBUSDT</x:v>
      </x:c>
      <x:c r="B163" s="30" t="str">
        <x:v>CKB</x:v>
      </x:c>
      <x:c r="C163" s="30" t="str">
        <x:v>USDT</x:v>
      </x:c>
      <x:c r="D163" s="30" t="str">
        <x:v>TRADING</x:v>
      </x:c>
      <x:c r="E163" s="31" t="b">
        <x:v>1</x:v>
      </x:c>
      <x:c r="F163" s="32" t="n">
        <x:v>44222</x:v>
      </x:c>
      <x:c r="G163" s="32" t="n">
        <x:v>44222.999999988424</x:v>
      </x:c>
      <x:c r="H163" s="33" t="n">
        <x:f>IF(F163="","",('Summary'!$B$5-F163)/365.25)</x:f>
        <x:v>5.5168035354399585</x:v>
      </x:c>
      <x:c r="I163" s="34" t="n">
        <x:v>0.000819</x:v>
      </x:c>
      <x:c r="J163" s="35" t="n">
        <x:v>0.00862</x:v>
      </x:c>
      <x:c r="K163" s="36" t="n">
        <x:v>120044306</x:v>
      </x:c>
      <x:c r="L163" s="36" t="n">
        <x:v>98593.071312</x:v>
      </x:c>
      <x:c r="M163" s="37" t="n">
        <x:v>1515</x:v>
      </x:c>
      <x:c r="N163" s="34" t="n">
        <x:v>0.000819</x:v>
      </x:c>
      <x:c r="O163" s="34" t="n">
        <x:v>0.00082</x:v>
      </x:c>
      <x:c r="P163" s="38" t="n">
        <x:f>IF(OR(N163="",O163="",N163=0,O163=0),"",(O163-N163)/((O163+N163)/2))</x:f>
        <x:v>0.0012202562538133307</x:v>
      </x:c>
      <x:c r="Q163" s="34" t="n">
        <x:v>0.00082131</x:v>
      </x:c>
      <x:c r="R163" s="34" t="n">
        <x:v>0.000832</x:v>
      </x:c>
      <x:c r="S163" s="34" t="n">
        <x:v>0.000811</x:v>
      </x:c>
      <x:c r="T163" s="32" t="n">
        <x:v>46236.01210180556</x:v>
      </x:c>
      <x:c r="U163" s="32" t="n">
        <x:v>46237.01210180556</x:v>
      </x:c>
      <x:c r="V163" s="34" t="n">
        <x:v>5</x:v>
      </x:c>
      <x:c r="W163" s="34" t="n">
        <x:v>1</x:v>
      </x:c>
      <x:c r="X163" s="34" t="n">
        <x:v>1</x:v>
      </x:c>
      <x:c r="Y163" s="34" t="n">
        <x:v>0.000001</x:v>
      </x:c>
      <x:c r="Z163" s="30" t="str">
        <x:f>IF(AND(D163="TRADING",I163&lt;&gt;"",L163&lt;&gt;"",M163&lt;&gt;"",N163&lt;&gt;"",O163&lt;&gt;""),"Yes","No")</x:f>
        <x:v>Yes</x:v>
      </x:c>
      <x:c r="AA163" s="39" t="str">
        <x:v>https://developers.binance.com/en/docs/catalog/core-trading-spot-trading/api/rest-api</x:v>
      </x:c>
    </x:row>
    <x:row r="164">
      <x:c r="A164" s="30" t="str">
        <x:v>CLVUSDT</x:v>
      </x:c>
      <x:c r="B164" s="30" t="str">
        <x:v>CLV</x:v>
      </x:c>
      <x:c r="C164" s="30" t="str">
        <x:v>USDT</x:v>
      </x:c>
      <x:c r="D164" s="30" t="str">
        <x:v>BREAK</x:v>
      </x:c>
      <x:c r="E164" s="31" t="b">
        <x:v>1</x:v>
      </x:c>
      <x:c r="F164" s="32" t="n">
        <x:v>44406</x:v>
      </x:c>
      <x:c r="G164" s="32" t="n">
        <x:v>44406.999999988424</x:v>
      </x:c>
      <x:c r="H164" s="33" t="n">
        <x:f>IF(F164="","",('Summary'!$B$5-F164)/365.25)</x:f>
        <x:v>5.013038990607652</x:v>
      </x:c>
      <x:c r="I164" s="34" t="n">
        <x:v>0.02937</x:v>
      </x:c>
      <x:c r="J164" s="35" t="n">
        <x:v>0.13970000000000002</x:v>
      </x:c>
      <x:c r="K164" s="36" t="n">
        <x:v>13386084.7</x:v>
      </x:c>
      <x:c r="L164" s="36" t="n">
        <x:v>349014.844454</x:v>
      </x:c>
      <x:c r="M164" s="37" t="n">
        <x:v>4001</x:v>
      </x:c>
      <x:c r="N164" s="34" t="n">
        <x:v>0</x:v>
      </x:c>
      <x:c r="O164" s="34" t="n">
        <x:v>0</x:v>
      </x:c>
      <x:c r="P164" s="38" t="str">
        <x:f>IF(OR(N164="",O164="",N164=0,O164=0),"",(O164-N164)/((O164+N164)/2))</x:f>
      </x:c>
      <x:c r="Q164" s="34" t="n">
        <x:v>0.02607296</x:v>
      </x:c>
      <x:c r="R164" s="34" t="n">
        <x:v>0.03082</x:v>
      </x:c>
      <x:c r="S164" s="34" t="n">
        <x:v>0.02062</x:v>
      </x:c>
      <x:c r="T164" s="32" t="n">
        <x:v>46209.26112309028</x:v>
      </x:c>
      <x:c r="U164" s="32" t="n">
        <x:v>46210.26112309028</x:v>
      </x:c>
      <x:c r="V164" s="34" t="n">
        <x:v>5</x:v>
      </x:c>
      <x:c r="W164" s="34" t="n">
        <x:v>0.1</x:v>
      </x:c>
      <x:c r="X164" s="34" t="n">
        <x:v>0.1</x:v>
      </x:c>
      <x:c r="Y164" s="34" t="n">
        <x:v>0.00001</x:v>
      </x:c>
      <x:c r="Z164" s="30" t="str">
        <x:f>IF(AND(D164="TRADING",I164&lt;&gt;"",L164&lt;&gt;"",M164&lt;&gt;"",N164&lt;&gt;"",O164&lt;&gt;""),"Yes","No")</x:f>
        <x:v>No</x:v>
      </x:c>
      <x:c r="AA164" s="39" t="str">
        <x:v>https://developers.binance.com/en/docs/catalog/core-trading-spot-trading/api/rest-api</x:v>
      </x:c>
    </x:row>
    <x:row r="165">
      <x:c r="A165" s="30" t="str">
        <x:v>COCOSUSDT</x:v>
      </x:c>
      <x:c r="B165" s="30" t="str">
        <x:v>COCOS</x:v>
      </x:c>
      <x:c r="C165" s="30" t="str">
        <x:v>USDT</x:v>
      </x:c>
      <x:c r="D165" s="30" t="str">
        <x:v>BREAK</x:v>
      </x:c>
      <x:c r="E165" s="31" t="b">
        <x:v>1</x:v>
      </x:c>
      <x:c r="F165" s="32" t="n">
        <x:v>43698</x:v>
      </x:c>
      <x:c r="G165" s="32" t="n">
        <x:v>43698.999999988424</x:v>
      </x:c>
      <x:c r="H165" s="33" t="n">
        <x:f>IF(F165="","",('Summary'!$B$5-F165)/365.25)</x:f>
        <x:v>6.95143734789718</x:v>
      </x:c>
      <x:c r="I165" s="34" t="n">
        <x:v>1.7546</x:v>
      </x:c>
      <x:c r="J165" s="35" t="n">
        <x:v>0.03443</x:v>
      </x:c>
      <x:c r="K165" s="36" t="n">
        <x:v>889158</x:v>
      </x:c>
      <x:c r="L165" s="36" t="n">
        <x:v>1531715.9424</x:v>
      </x:c>
      <x:c r="M165" s="37" t="n">
        <x:v>4001</x:v>
      </x:c>
      <x:c r="N165" s="34" t="n">
        <x:v>0</x:v>
      </x:c>
      <x:c r="O165" s="34" t="n">
        <x:v>0</x:v>
      </x:c>
      <x:c r="P165" s="38" t="str">
        <x:f>IF(OR(N165="",O165="",N165=0,O165=0),"",(O165-N165)/((O165+N165)/2))</x:f>
      </x:c>
      <x:c r="Q165" s="34" t="n">
        <x:v>1.7226589</x:v>
      </x:c>
      <x:c r="R165" s="34" t="n">
        <x:v>1.7698</x:v>
      </x:c>
      <x:c r="S165" s="34" t="n">
        <x:v>1.6921</x:v>
      </x:c>
      <x:c r="T165" s="32" t="n">
        <x:v>46209.26112309028</x:v>
      </x:c>
      <x:c r="U165" s="32" t="n">
        <x:v>46210.26112309028</x:v>
      </x:c>
      <x:c r="V165" s="34" t="n">
        <x:v>10</x:v>
      </x:c>
      <x:c r="W165" s="34" t="n">
        <x:v>1</x:v>
      </x:c>
      <x:c r="X165" s="34" t="n">
        <x:v>1</x:v>
      </x:c>
      <x:c r="Y165" s="34" t="n">
        <x:v>0.0001</x:v>
      </x:c>
      <x:c r="Z165" s="30" t="str">
        <x:f>IF(AND(D165="TRADING",I165&lt;&gt;"",L165&lt;&gt;"",M165&lt;&gt;"",N165&lt;&gt;"",O165&lt;&gt;""),"Yes","No")</x:f>
        <x:v>No</x:v>
      </x:c>
      <x:c r="AA165" s="39" t="str">
        <x:v>https://developers.binance.com/en/docs/catalog/core-trading-spot-trading/api/rest-api</x:v>
      </x:c>
    </x:row>
    <x:row r="166">
      <x:c r="A166" s="30" t="str">
        <x:v>COINBUSDT</x:v>
      </x:c>
      <x:c r="B166" s="30" t="str">
        <x:v>COINB</x:v>
      </x:c>
      <x:c r="C166" s="30" t="str">
        <x:v>USDT</x:v>
      </x:c>
      <x:c r="D166" s="30" t="str">
        <x:v>TRADING</x:v>
      </x:c>
      <x:c r="E166" s="31" t="b">
        <x:v>1</x:v>
      </x:c>
      <x:c r="F166" s="32" t="n">
        <x:v>46210</x:v>
      </x:c>
      <x:c r="G166" s="32" t="n">
        <x:v>46210.999999988424</x:v>
      </x:c>
      <x:c r="H166" s="33" t="n">
        <x:f>IF(F166="","",('Summary'!$B$5-F166)/365.25)</x:f>
        <x:v>0.07395617062134144</x:v>
      </x:c>
      <x:c r="I166" s="34" t="n">
        <x:v>148.18</x:v>
      </x:c>
      <x:c r="J166" s="35" t="n">
        <x:v>0.01898</x:v>
      </x:c>
      <x:c r="K166" s="36" t="n">
        <x:v>2070.777</x:v>
      </x:c>
      <x:c r="L166" s="36" t="n">
        <x:v>303487.41869</x:v>
      </x:c>
      <x:c r="M166" s="37" t="n">
        <x:v>3160</x:v>
      </x:c>
      <x:c r="N166" s="34" t="n">
        <x:v>147.97</x:v>
      </x:c>
      <x:c r="O166" s="34" t="n">
        <x:v>148.25</x:v>
      </x:c>
      <x:c r="P166" s="38" t="n">
        <x:f>IF(OR(N166="",O166="",N166=0,O166=0),"",(O166-N166)/((O166+N166)/2))</x:f>
        <x:v>0.001890486800351098</x:v>
      </x:c>
      <x:c r="Q166" s="34" t="n">
        <x:v>146.55726748</x:v>
      </x:c>
      <x:c r="R166" s="34" t="n">
        <x:v>148.68</x:v>
      </x:c>
      <x:c r="S166" s="34" t="n">
        <x:v>144.59</x:v>
      </x:c>
      <x:c r="T166" s="32" t="n">
        <x:v>46236.012432766205</x:v>
      </x:c>
      <x:c r="U166" s="32" t="n">
        <x:v>46237.012432766205</x:v>
      </x:c>
      <x:c r="V166" s="34" t="n">
        <x:v>5</x:v>
      </x:c>
      <x:c r="W166" s="34" t="n">
        <x:v>0.001</x:v>
      </x:c>
      <x:c r="X166" s="34" t="n">
        <x:v>0.001</x:v>
      </x:c>
      <x:c r="Y166" s="34" t="n">
        <x:v>0.01</x:v>
      </x:c>
      <x:c r="Z166" s="30" t="str">
        <x:f>IF(AND(D166="TRADING",I166&lt;&gt;"",L166&lt;&gt;"",M166&lt;&gt;"",N166&lt;&gt;"",O166&lt;&gt;""),"Yes","No")</x:f>
        <x:v>Yes</x:v>
      </x:c>
      <x:c r="AA166" s="39" t="str">
        <x:v>https://developers.binance.com/en/docs/catalog/core-trading-spot-trading/api/rest-api</x:v>
      </x:c>
    </x:row>
    <x:row r="167">
      <x:c r="A167" s="30" t="str">
        <x:v>COMBOUSDT</x:v>
      </x:c>
      <x:c r="B167" s="30" t="str">
        <x:v>COMBO</x:v>
      </x:c>
      <x:c r="C167" s="30" t="str">
        <x:v>USDT</x:v>
      </x:c>
      <x:c r="D167" s="30" t="str">
        <x:v>BREAK</x:v>
      </x:c>
      <x:c r="E167" s="31" t="b">
        <x:v>1</x:v>
      </x:c>
      <x:c r="F167" s="32" t="n">
        <x:v>45079</x:v>
      </x:c>
      <x:c r="G167" s="32" t="n">
        <x:v>45079.999999988424</x:v>
      </x:c>
      <x:c r="H167" s="33" t="n">
        <x:f>IF(F167="","",('Summary'!$B$5-F167)/365.25)</x:f>
        <x:v>3.170465410867748</x:v>
      </x:c>
      <x:c r="I167" s="34" t="n">
        <x:v>0.0276</x:v>
      </x:c>
      <x:c r="J167" s="35" t="n">
        <x:v>-0.16616</x:v>
      </x:c>
      <x:c r="K167" s="36" t="n">
        <x:v>10075449.9</x:v>
      </x:c>
      <x:c r="L167" s="36" t="n">
        <x:v>320262.66019</x:v>
      </x:c>
      <x:c r="M167" s="37" t="n">
        <x:v>4001</x:v>
      </x:c>
      <x:c r="N167" s="34" t="n">
        <x:v>0</x:v>
      </x:c>
      <x:c r="O167" s="34" t="n">
        <x:v>0</x:v>
      </x:c>
      <x:c r="P167" s="38" t="str">
        <x:f>IF(OR(N167="",O167="",N167=0,O167=0),"",(O167-N167)/((O167+N167)/2))</x:f>
      </x:c>
      <x:c r="Q167" s="34" t="n">
        <x:v>0.03178644</x:v>
      </x:c>
      <x:c r="R167" s="34" t="n">
        <x:v>0.039</x:v>
      </x:c>
      <x:c r="S167" s="34" t="n">
        <x:v>0.0275</x:v>
      </x:c>
      <x:c r="T167" s="32" t="n">
        <x:v>46209.26112309028</x:v>
      </x:c>
      <x:c r="U167" s="32" t="n">
        <x:v>46210.26112309028</x:v>
      </x:c>
      <x:c r="V167" s="34" t="n">
        <x:v>5</x:v>
      </x:c>
      <x:c r="W167" s="34" t="n">
        <x:v>0.1</x:v>
      </x:c>
      <x:c r="X167" s="34" t="n">
        <x:v>0.1</x:v>
      </x:c>
      <x:c r="Y167" s="34" t="n">
        <x:v>0.0001</x:v>
      </x:c>
      <x:c r="Z167" s="30" t="str">
        <x:f>IF(AND(D167="TRADING",I167&lt;&gt;"",L167&lt;&gt;"",M167&lt;&gt;"",N167&lt;&gt;"",O167&lt;&gt;""),"Yes","No")</x:f>
        <x:v>No</x:v>
      </x:c>
      <x:c r="AA167" s="39" t="str">
        <x:v>https://developers.binance.com/en/docs/catalog/core-trading-spot-trading/api/rest-api</x:v>
      </x:c>
    </x:row>
    <x:row r="168">
      <x:c r="A168" s="30" t="str">
        <x:v>COMPUSDT</x:v>
      </x:c>
      <x:c r="B168" s="30" t="str">
        <x:v>COMP</x:v>
      </x:c>
      <x:c r="C168" s="30" t="str">
        <x:v>USDT</x:v>
      </x:c>
      <x:c r="D168" s="30" t="str">
        <x:v>TRADING</x:v>
      </x:c>
      <x:c r="E168" s="31" t="b">
        <x:v>1</x:v>
      </x:c>
      <x:c r="F168" s="32" t="n">
        <x:v>44007</x:v>
      </x:c>
      <x:c r="G168" s="32" t="n">
        <x:v>44007.999999988424</x:v>
      </x:c>
      <x:c r="H168" s="33" t="n">
        <x:f>IF(F168="","",('Summary'!$B$5-F168)/365.25)</x:f>
        <x:v>6.10544145467336</x:v>
      </x:c>
      <x:c r="I168" s="34" t="n">
        <x:v>16.44</x:v>
      </x:c>
      <x:c r="J168" s="35" t="n">
        <x:v>-0.00424</x:v>
      </x:c>
      <x:c r="K168" s="36" t="n">
        <x:v>11692.284</x:v>
      </x:c>
      <x:c r="L168" s="36" t="n">
        <x:v>193066.75292</x:v>
      </x:c>
      <x:c r="M168" s="37" t="n">
        <x:v>1797</x:v>
      </x:c>
      <x:c r="N168" s="34" t="n">
        <x:v>16.44</x:v>
      </x:c>
      <x:c r="O168" s="34" t="n">
        <x:v>16.45</x:v>
      </x:c>
      <x:c r="P168" s="38" t="n">
        <x:f>IF(OR(N168="",O168="",N168=0,O168=0),"",(O168-N168)/((O168+N168)/2))</x:f>
        <x:v>0.0006080875646091828</x:v>
      </x:c>
      <x:c r="Q168" s="34" t="n">
        <x:v>16.51232154</x:v>
      </x:c>
      <x:c r="R168" s="34" t="n">
        <x:v>16.67</x:v>
      </x:c>
      <x:c r="S168" s="34" t="n">
        <x:v>16.34</x:v>
      </x:c>
      <x:c r="T168" s="32" t="n">
        <x:v>46236.01105318287</x:v>
      </x:c>
      <x:c r="U168" s="32" t="n">
        <x:v>46237.01105318287</x:v>
      </x:c>
      <x:c r="V168" s="34" t="n">
        <x:v>5</x:v>
      </x:c>
      <x:c r="W168" s="34" t="n">
        <x:v>0.001</x:v>
      </x:c>
      <x:c r="X168" s="34" t="n">
        <x:v>0.001</x:v>
      </x:c>
      <x:c r="Y168" s="34" t="n">
        <x:v>0.01</x:v>
      </x:c>
      <x:c r="Z168" s="30" t="str">
        <x:f>IF(AND(D168="TRADING",I168&lt;&gt;"",L168&lt;&gt;"",M168&lt;&gt;"",N168&lt;&gt;"",O168&lt;&gt;""),"Yes","No")</x:f>
        <x:v>Yes</x:v>
      </x:c>
      <x:c r="AA168" s="39" t="str">
        <x:v>https://developers.binance.com/en/docs/catalog/core-trading-spot-trading/api/rest-api</x:v>
      </x:c>
    </x:row>
    <x:row r="169">
      <x:c r="A169" s="30" t="str">
        <x:v>COOKIEUSDT</x:v>
      </x:c>
      <x:c r="B169" s="30" t="str">
        <x:v>COOKIE</x:v>
      </x:c>
      <x:c r="C169" s="30" t="str">
        <x:v>USDT</x:v>
      </x:c>
      <x:c r="D169" s="30" t="str">
        <x:v>TRADING</x:v>
      </x:c>
      <x:c r="E169" s="31" t="b">
        <x:v>1</x:v>
      </x:c>
      <x:c r="F169" s="32" t="n">
        <x:v>45667</x:v>
      </x:c>
      <x:c r="G169" s="32" t="n">
        <x:v>45667.999999988424</x:v>
      </x:c>
      <x:c r="H169" s="33" t="n">
        <x:f>IF(F169="","",('Summary'!$B$5-F169)/365.25)</x:f>
        <x:v>1.5606091480340725</x:v>
      </x:c>
      <x:c r="I169" s="34" t="n">
        <x:v>0.0077</x:v>
      </x:c>
      <x:c r="J169" s="35" t="n">
        <x:v>0</x:v>
      </x:c>
      <x:c r="K169" s="36" t="n">
        <x:v>18897524.9</x:v>
      </x:c>
      <x:c r="L169" s="36" t="n">
        <x:v>147343.13914</x:v>
      </x:c>
      <x:c r="M169" s="37" t="n">
        <x:v>1156</x:v>
      </x:c>
      <x:c r="N169" s="34" t="n">
        <x:v>0.0077</x:v>
      </x:c>
      <x:c r="O169" s="34" t="n">
        <x:v>0.0078</x:v>
      </x:c>
      <x:c r="P169" s="38" t="n">
        <x:f>IF(OR(N169="",O169="",N169=0,O169=0),"",(O169-N169)/((O169+N169)/2))</x:f>
        <x:v>0.012903225806451535</x:v>
      </x:c>
      <x:c r="Q169" s="34" t="n">
        <x:v>0.00779695</x:v>
      </x:c>
      <x:c r="R169" s="34" t="n">
        <x:v>0.008</x:v>
      </x:c>
      <x:c r="S169" s="34" t="n">
        <x:v>0.0076</x:v>
      </x:c>
      <x:c r="T169" s="32" t="n">
        <x:v>46236.01181376157</x:v>
      </x:c>
      <x:c r="U169" s="32" t="n">
        <x:v>46237.01181376157</x:v>
      </x:c>
      <x:c r="V169" s="34" t="n">
        <x:v>5</x:v>
      </x:c>
      <x:c r="W169" s="34" t="n">
        <x:v>0.1</x:v>
      </x:c>
      <x:c r="X169" s="34" t="n">
        <x:v>0.1</x:v>
      </x:c>
      <x:c r="Y169" s="34" t="n">
        <x:v>0.0001</x:v>
      </x:c>
      <x:c r="Z169" s="30" t="str">
        <x:f>IF(AND(D169="TRADING",I169&lt;&gt;"",L169&lt;&gt;"",M169&lt;&gt;"",N169&lt;&gt;"",O169&lt;&gt;""),"Yes","No")</x:f>
        <x:v>Yes</x:v>
      </x:c>
      <x:c r="AA169" s="39" t="str">
        <x:v>https://developers.binance.com/en/docs/catalog/core-trading-spot-trading/api/rest-api</x:v>
      </x:c>
    </x:row>
    <x:row r="170">
      <x:c r="A170" s="30" t="str">
        <x:v>COSUSDT</x:v>
      </x:c>
      <x:c r="B170" s="30" t="str">
        <x:v>COS</x:v>
      </x:c>
      <x:c r="C170" s="30" t="str">
        <x:v>USDT</x:v>
      </x:c>
      <x:c r="D170" s="30" t="str">
        <x:v>BREAK</x:v>
      </x:c>
      <x:c r="E170" s="31" t="b">
        <x:v>1</x:v>
      </x:c>
      <x:c r="F170" s="32" t="n">
        <x:v>43680</x:v>
      </x:c>
      <x:c r="G170" s="32" t="n">
        <x:v>43680.999999988424</x:v>
      </x:c>
      <x:c r="H170" s="33" t="n">
        <x:f>IF(F170="","",('Summary'!$B$5-F170)/365.25)</x:f>
        <x:v>7.000718662065558</x:v>
      </x:c>
      <x:c r="I170" s="34" t="n">
        <x:v>0.000251</x:v>
      </x:c>
      <x:c r="J170" s="35" t="n">
        <x:v>-0.4108</x:v>
      </x:c>
      <x:c r="K170" s="36" t="n">
        <x:v>2834611233</x:v>
      </x:c>
      <x:c r="L170" s="36" t="n">
        <x:v>878801.6265423</x:v>
      </x:c>
      <x:c r="M170" s="37" t="n">
        <x:v>15245</x:v>
      </x:c>
      <x:c r="N170" s="34" t="n">
        <x:v>0</x:v>
      </x:c>
      <x:c r="O170" s="34" t="n">
        <x:v>0</x:v>
      </x:c>
      <x:c r="P170" s="38" t="str">
        <x:f>IF(OR(N170="",O170="",N170=0,O170=0),"",(O170-N170)/((O170+N170)/2))</x:f>
      </x:c>
      <x:c r="Q170" s="34" t="n">
        <x:v>0.00031003</x:v>
      </x:c>
      <x:c r="R170" s="34" t="n">
        <x:v>0.000491</x:v>
      </x:c>
      <x:c r="S170" s="34" t="n">
        <x:v>0.000211</x:v>
      </x:c>
      <x:c r="T170" s="32" t="n">
        <x:v>46209.26112309028</x:v>
      </x:c>
      <x:c r="U170" s="32" t="n">
        <x:v>46210.26112309028</x:v>
      </x:c>
      <x:c r="V170" s="34" t="n">
        <x:v>5</x:v>
      </x:c>
      <x:c r="W170" s="34" t="n">
        <x:v>0.1</x:v>
      </x:c>
      <x:c r="X170" s="34" t="n">
        <x:v>0.1</x:v>
      </x:c>
      <x:c r="Y170" s="34" t="n">
        <x:v>0.000001</x:v>
      </x:c>
      <x:c r="Z170" s="30" t="str">
        <x:f>IF(AND(D170="TRADING",I170&lt;&gt;"",L170&lt;&gt;"",M170&lt;&gt;"",N170&lt;&gt;"",O170&lt;&gt;""),"Yes","No")</x:f>
        <x:v>No</x:v>
      </x:c>
      <x:c r="AA170" s="39" t="str">
        <x:v>https://developers.binance.com/en/docs/catalog/core-trading-spot-trading/api/rest-api</x:v>
      </x:c>
    </x:row>
    <x:row r="171">
      <x:c r="A171" s="30" t="str">
        <x:v>COTIUSDT</x:v>
      </x:c>
      <x:c r="B171" s="30" t="str">
        <x:v>COTI</x:v>
      </x:c>
      <x:c r="C171" s="30" t="str">
        <x:v>USDT</x:v>
      </x:c>
      <x:c r="D171" s="30" t="str">
        <x:v>TRADING</x:v>
      </x:c>
      <x:c r="E171" s="31" t="b">
        <x:v>1</x:v>
      </x:c>
      <x:c r="F171" s="32" t="n">
        <x:v>43887</x:v>
      </x:c>
      <x:c r="G171" s="32" t="n">
        <x:v>43887.999999988424</x:v>
      </x:c>
      <x:c r="H171" s="33" t="n">
        <x:f>IF(F171="","",('Summary'!$B$5-F171)/365.25)</x:f>
        <x:v>6.433983549129213</x:v>
      </x:c>
      <x:c r="I171" s="34" t="n">
        <x:v>0.01247</x:v>
      </x:c>
      <x:c r="J171" s="35" t="n">
        <x:v>-0.16477</x:v>
      </x:c>
      <x:c r="K171" s="36" t="n">
        <x:v>375416860</x:v>
      </x:c>
      <x:c r="L171" s="36" t="n">
        <x:v>5118261.92015</x:v>
      </x:c>
      <x:c r="M171" s="37" t="n">
        <x:v>70158</x:v>
      </x:c>
      <x:c r="N171" s="34" t="n">
        <x:v>0.01247</x:v>
      </x:c>
      <x:c r="O171" s="34" t="n">
        <x:v>0.01248</x:v>
      </x:c>
      <x:c r="P171" s="38" t="n">
        <x:f>IF(OR(N171="",O171="",N171=0,O171=0),"",(O171-N171)/((O171+N171)/2))</x:f>
        <x:v>0.000801603206412793</x:v>
      </x:c>
      <x:c r="Q171" s="34" t="n">
        <x:v>0.01363354</x:v>
      </x:c>
      <x:c r="R171" s="34" t="n">
        <x:v>0.01497</x:v>
      </x:c>
      <x:c r="S171" s="34" t="n">
        <x:v>0.01247</x:v>
      </x:c>
      <x:c r="T171" s="32" t="n">
        <x:v>46236.01248196759</x:v>
      </x:c>
      <x:c r="U171" s="32" t="n">
        <x:v>46237.01248196759</x:v>
      </x:c>
      <x:c r="V171" s="34" t="n">
        <x:v>5</x:v>
      </x:c>
      <x:c r="W171" s="34" t="n">
        <x:v>1</x:v>
      </x:c>
      <x:c r="X171" s="34" t="n">
        <x:v>1</x:v>
      </x:c>
      <x:c r="Y171" s="34" t="n">
        <x:v>0.00001</x:v>
      </x:c>
      <x:c r="Z171" s="30" t="str">
        <x:f>IF(AND(D171="TRADING",I171&lt;&gt;"",L171&lt;&gt;"",M171&lt;&gt;"",N171&lt;&gt;"",O171&lt;&gt;""),"Yes","No")</x:f>
        <x:v>Yes</x:v>
      </x:c>
      <x:c r="AA171" s="39" t="str">
        <x:v>https://developers.binance.com/en/docs/catalog/core-trading-spot-trading/api/rest-api</x:v>
      </x:c>
    </x:row>
    <x:row r="172">
      <x:c r="A172" s="30" t="str">
        <x:v>COWUSDT</x:v>
      </x:c>
      <x:c r="B172" s="30" t="str">
        <x:v>COW</x:v>
      </x:c>
      <x:c r="C172" s="30" t="str">
        <x:v>USDT</x:v>
      </x:c>
      <x:c r="D172" s="30" t="str">
        <x:v>TRADING</x:v>
      </x:c>
      <x:c r="E172" s="31" t="b">
        <x:v>1</x:v>
      </x:c>
      <x:c r="F172" s="32" t="n">
        <x:v>45602</x:v>
      </x:c>
      <x:c r="G172" s="32" t="n">
        <x:v>45602.999999988424</x:v>
      </x:c>
      <x:c r="H172" s="33" t="n">
        <x:f>IF(F172="","",('Summary'!$B$5-F172)/365.25)</x:f>
        <x:v>1.738569449197659</x:v>
      </x:c>
      <x:c r="I172" s="34" t="n">
        <x:v>0.1139</x:v>
      </x:c>
      <x:c r="J172" s="35" t="n">
        <x:v>0.0035199999999999997</x:v>
      </x:c>
      <x:c r="K172" s="36" t="n">
        <x:v>469068.5</x:v>
      </x:c>
      <x:c r="L172" s="36" t="n">
        <x:v>53592.36886</x:v>
      </x:c>
      <x:c r="M172" s="37" t="n">
        <x:v>681</x:v>
      </x:c>
      <x:c r="N172" s="34" t="n">
        <x:v>0.1139</x:v>
      </x:c>
      <x:c r="O172" s="34" t="n">
        <x:v>0.114</x:v>
      </x:c>
      <x:c r="P172" s="38" t="n">
        <x:f>IF(OR(N172="",O172="",N172=0,O172=0),"",(O172-N172)/((O172+N172)/2))</x:f>
        <x:v>0.0008775778850373222</x:v>
      </x:c>
      <x:c r="Q172" s="34" t="n">
        <x:v>0.11425276</x:v>
      </x:c>
      <x:c r="R172" s="34" t="n">
        <x:v>0.115</x:v>
      </x:c>
      <x:c r="S172" s="34" t="n">
        <x:v>0.1132</x:v>
      </x:c>
      <x:c r="T172" s="32" t="n">
        <x:v>46236.012399375</x:v>
      </x:c>
      <x:c r="U172" s="32" t="n">
        <x:v>46237.012399375</x:v>
      </x:c>
      <x:c r="V172" s="34" t="n">
        <x:v>5</x:v>
      </x:c>
      <x:c r="W172" s="34" t="n">
        <x:v>0.1</x:v>
      </x:c>
      <x:c r="X172" s="34" t="n">
        <x:v>0.1</x:v>
      </x:c>
      <x:c r="Y172" s="34" t="n">
        <x:v>0.0001</x:v>
      </x:c>
      <x:c r="Z172" s="30" t="str">
        <x:f>IF(AND(D172="TRADING",I172&lt;&gt;"",L172&lt;&gt;"",M172&lt;&gt;"",N172&lt;&gt;"",O172&lt;&gt;""),"Yes","No")</x:f>
        <x:v>Yes</x:v>
      </x:c>
      <x:c r="AA172" s="39" t="str">
        <x:v>https://developers.binance.com/en/docs/catalog/core-trading-spot-trading/api/rest-api</x:v>
      </x:c>
    </x:row>
    <x:row r="173">
      <x:c r="A173" s="30" t="str">
        <x:v>CRCLBUSDT</x:v>
      </x:c>
      <x:c r="B173" s="30" t="str">
        <x:v>CRCLB</x:v>
      </x:c>
      <x:c r="C173" s="30" t="str">
        <x:v>USDT</x:v>
      </x:c>
      <x:c r="D173" s="30" t="str">
        <x:v>TRADING</x:v>
      </x:c>
      <x:c r="E173" s="31" t="b">
        <x:v>1</x:v>
      </x:c>
      <x:c r="F173" s="32" t="n">
        <x:v>46184</x:v>
      </x:c>
      <x:c r="G173" s="32" t="n">
        <x:v>46184.999999988424</x:v>
      </x:c>
      <x:c r="H173" s="33" t="n">
        <x:f>IF(F173="","",('Summary'!$B$5-F173)/365.25)</x:f>
        <x:v>0.14514029108677606</x:v>
      </x:c>
      <x:c r="I173" s="34" t="n">
        <x:v>62.27</x:v>
      </x:c>
      <x:c r="J173" s="35" t="n">
        <x:v>0.02418</x:v>
      </x:c>
      <x:c r="K173" s="36" t="n">
        <x:v>36298.92</x:v>
      </x:c>
      <x:c r="L173" s="36" t="n">
        <x:v>2222513.7798</x:v>
      </x:c>
      <x:c r="M173" s="37" t="n">
        <x:v>13224</x:v>
      </x:c>
      <x:c r="N173" s="34" t="n">
        <x:v>62.26</x:v>
      </x:c>
      <x:c r="O173" s="34" t="n">
        <x:v>62.29</x:v>
      </x:c>
      <x:c r="P173" s="38" t="n">
        <x:f>IF(OR(N173="",O173="",N173=0,O173=0),"",(O173-N173)/((O173+N173)/2))</x:f>
        <x:v>0.0004817342432758111</x:v>
      </x:c>
      <x:c r="Q173" s="34" t="n">
        <x:v>61.22809659</x:v>
      </x:c>
      <x:c r="R173" s="34" t="n">
        <x:v>62.45</x:v>
      </x:c>
      <x:c r="S173" s="34" t="n">
        <x:v>60.46</x:v>
      </x:c>
      <x:c r="T173" s="32" t="n">
        <x:v>46236.01247962963</x:v>
      </x:c>
      <x:c r="U173" s="32" t="n">
        <x:v>46237.01247962963</x:v>
      </x:c>
      <x:c r="V173" s="34" t="n">
        <x:v>5</x:v>
      </x:c>
      <x:c r="W173" s="34" t="n">
        <x:v>0.01</x:v>
      </x:c>
      <x:c r="X173" s="34" t="n">
        <x:v>0.01</x:v>
      </x:c>
      <x:c r="Y173" s="34" t="n">
        <x:v>0.01</x:v>
      </x:c>
      <x:c r="Z173" s="30" t="str">
        <x:f>IF(AND(D173="TRADING",I173&lt;&gt;"",L173&lt;&gt;"",M173&lt;&gt;"",N173&lt;&gt;"",O173&lt;&gt;""),"Yes","No")</x:f>
        <x:v>Yes</x:v>
      </x:c>
      <x:c r="AA173" s="39" t="str">
        <x:v>https://developers.binance.com/en/docs/catalog/core-trading-spot-trading/api/rest-api</x:v>
      </x:c>
    </x:row>
    <x:row r="174">
      <x:c r="A174" s="30" t="str">
        <x:v>CREAMUSDT</x:v>
      </x:c>
      <x:c r="B174" s="30" t="str">
        <x:v>CREAM</x:v>
      </x:c>
      <x:c r="C174" s="30" t="str">
        <x:v>USDT</x:v>
      </x:c>
      <x:c r="D174" s="30" t="str">
        <x:v>BREAK</x:v>
      </x:c>
      <x:c r="E174" s="31" t="b">
        <x:v>1</x:v>
      </x:c>
      <x:c r="F174" s="32" t="n">
        <x:v>45191</x:v>
      </x:c>
      <x:c r="G174" s="32" t="n">
        <x:v>45191.999999988424</x:v>
      </x:c>
      <x:c r="H174" s="33" t="n">
        <x:f>IF(F174="","",('Summary'!$B$5-F174)/365.25)</x:f>
        <x:v>2.8638261227089528</x:v>
      </x:c>
      <x:c r="I174" s="34" t="n">
        <x:v>2.1</x:v>
      </x:c>
      <x:c r="J174" s="35" t="n">
        <x:v>0.65354</x:v>
      </x:c>
      <x:c r="K174" s="36" t="n">
        <x:v>184081.172</x:v>
      </x:c>
      <x:c r="L174" s="36" t="n">
        <x:v>276098.07379</x:v>
      </x:c>
      <x:c r="M174" s="37" t="n">
        <x:v>4001</x:v>
      </x:c>
      <x:c r="N174" s="34" t="n">
        <x:v>0</x:v>
      </x:c>
      <x:c r="O174" s="34" t="n">
        <x:v>0</x:v>
      </x:c>
      <x:c r="P174" s="38" t="str">
        <x:f>IF(OR(N174="",O174="",N174=0,O174=0),"",(O174-N174)/((O174+N174)/2))</x:f>
      </x:c>
      <x:c r="Q174" s="34" t="n">
        <x:v>1.49987134</x:v>
      </x:c>
      <x:c r="R174" s="34" t="n">
        <x:v>2.25</x:v>
      </x:c>
      <x:c r="S174" s="34" t="n">
        <x:v>1.22</x:v>
      </x:c>
      <x:c r="T174" s="32" t="n">
        <x:v>46209.26112309028</x:v>
      </x:c>
      <x:c r="U174" s="32" t="n">
        <x:v>46210.26112309028</x:v>
      </x:c>
      <x:c r="V174" s="34" t="n">
        <x:v>1</x:v>
      </x:c>
      <x:c r="W174" s="34" t="n">
        <x:v>0.001</x:v>
      </x:c>
      <x:c r="X174" s="34" t="n">
        <x:v>0.001</x:v>
      </x:c>
      <x:c r="Y174" s="34" t="n">
        <x:v>0.01</x:v>
      </x:c>
      <x:c r="Z174" s="30" t="str">
        <x:f>IF(AND(D174="TRADING",I174&lt;&gt;"",L174&lt;&gt;"",M174&lt;&gt;"",N174&lt;&gt;"",O174&lt;&gt;""),"Yes","No")</x:f>
        <x:v>No</x:v>
      </x:c>
      <x:c r="AA174" s="39" t="str">
        <x:v>https://developers.binance.com/en/docs/catalog/core-trading-spot-trading/api/rest-api</x:v>
      </x:c>
    </x:row>
    <x:row r="175">
      <x:c r="A175" s="30" t="str">
        <x:v>CRVUSDT</x:v>
      </x:c>
      <x:c r="B175" s="30" t="str">
        <x:v>CRV</x:v>
      </x:c>
      <x:c r="C175" s="30" t="str">
        <x:v>USDT</x:v>
      </x:c>
      <x:c r="D175" s="30" t="str">
        <x:v>TRADING</x:v>
      </x:c>
      <x:c r="E175" s="31" t="b">
        <x:v>1</x:v>
      </x:c>
      <x:c r="F175" s="32" t="n">
        <x:v>44058</x:v>
      </x:c>
      <x:c r="G175" s="32" t="n">
        <x:v>44058.999999988424</x:v>
      </x:c>
      <x:c r="H175" s="33" t="n">
        <x:f>IF(F175="","",('Summary'!$B$5-F175)/365.25)</x:f>
        <x:v>5.965811064529624</x:v>
      </x:c>
      <x:c r="I175" s="34" t="n">
        <x:v>0.2026</x:v>
      </x:c>
      <x:c r="J175" s="35" t="n">
        <x:v>0.01098</x:v>
      </x:c>
      <x:c r="K175" s="36" t="n">
        <x:v>5003404.9</x:v>
      </x:c>
      <x:c r="L175" s="36" t="n">
        <x:v>1022638.18585</x:v>
      </x:c>
      <x:c r="M175" s="37" t="n">
        <x:v>8461</x:v>
      </x:c>
      <x:c r="N175" s="34" t="n">
        <x:v>0.2026</x:v>
      </x:c>
      <x:c r="O175" s="34" t="n">
        <x:v>0.2027</x:v>
      </x:c>
      <x:c r="P175" s="38" t="n">
        <x:f>IF(OR(N175="",O175="",N175=0,O175=0),"",(O175-N175)/((O175+N175)/2))</x:f>
        <x:v>0.0004934616333579521</x:v>
      </x:c>
      <x:c r="Q175" s="34" t="n">
        <x:v>0.20438845</x:v>
      </x:c>
      <x:c r="R175" s="34" t="n">
        <x:v>0.2073</x:v>
      </x:c>
      <x:c r="S175" s="34" t="n">
        <x:v>0.2</x:v>
      </x:c>
      <x:c r="T175" s="32" t="n">
        <x:v>46236.012480081015</x:v>
      </x:c>
      <x:c r="U175" s="32" t="n">
        <x:v>46237.012480081015</x:v>
      </x:c>
      <x:c r="V175" s="34" t="n">
        <x:v>5</x:v>
      </x:c>
      <x:c r="W175" s="34" t="n">
        <x:v>0.1</x:v>
      </x:c>
      <x:c r="X175" s="34" t="n">
        <x:v>0.1</x:v>
      </x:c>
      <x:c r="Y175" s="34" t="n">
        <x:v>0.0001</x:v>
      </x:c>
      <x:c r="Z175" s="30" t="str">
        <x:f>IF(AND(D175="TRADING",I175&lt;&gt;"",L175&lt;&gt;"",M175&lt;&gt;"",N175&lt;&gt;"",O175&lt;&gt;""),"Yes","No")</x:f>
        <x:v>Yes</x:v>
      </x:c>
      <x:c r="AA175" s="39" t="str">
        <x:v>https://developers.binance.com/en/docs/catalog/core-trading-spot-trading/api/rest-api</x:v>
      </x:c>
    </x:row>
    <x:row r="176">
      <x:c r="A176" s="30" t="str">
        <x:v>CRWVBUSDT</x:v>
      </x:c>
      <x:c r="B176" s="30" t="str">
        <x:v>CRWVB</x:v>
      </x:c>
      <x:c r="C176" s="30" t="str">
        <x:v>USDT</x:v>
      </x:c>
      <x:c r="D176" s="30" t="str">
        <x:v>TRADING</x:v>
      </x:c>
      <x:c r="E176" s="31" t="b">
        <x:v>1</x:v>
      </x:c>
      <x:c r="F176" s="32" t="n">
        <x:v>46225</x:v>
      </x:c>
      <x:c r="G176" s="32" t="n">
        <x:v>46225.999999988424</x:v>
      </x:c>
      <x:c r="H176" s="33" t="n">
        <x:f>IF(F176="","",('Summary'!$B$5-F176)/365.25)</x:f>
        <x:v>0.03288840881435992</x:v>
      </x:c>
      <x:c r="I176" s="34" t="n">
        <x:v>73.76</x:v>
      </x:c>
      <x:c r="J176" s="35" t="n">
        <x:v>0.028730000000000002</x:v>
      </x:c>
      <x:c r="K176" s="36" t="n">
        <x:v>550.89</x:v>
      </x:c>
      <x:c r="L176" s="36" t="n">
        <x:v>39972.7643</x:v>
      </x:c>
      <x:c r="M176" s="37" t="n">
        <x:v>1361</x:v>
      </x:c>
      <x:c r="N176" s="34" t="n">
        <x:v>73.72</x:v>
      </x:c>
      <x:c r="O176" s="34" t="n">
        <x:v>73.97</x:v>
      </x:c>
      <x:c r="P176" s="38" t="n">
        <x:f>IF(OR(N176="",O176="",N176=0,O176=0),"",(O176-N176)/((O176+N176)/2))</x:f>
        <x:v>0.003385469564628614</x:v>
      </x:c>
      <x:c r="Q176" s="34" t="n">
        <x:v>72.56033745</x:v>
      </x:c>
      <x:c r="R176" s="34" t="n">
        <x:v>74.01</x:v>
      </x:c>
      <x:c r="S176" s="34" t="n">
        <x:v>71.2</x:v>
      </x:c>
      <x:c r="T176" s="32" t="n">
        <x:v>46236.0124709838</x:v>
      </x:c>
      <x:c r="U176" s="32" t="n">
        <x:v>46237.0124709838</x:v>
      </x:c>
      <x:c r="V176" s="34" t="n">
        <x:v>5</x:v>
      </x:c>
      <x:c r="W176" s="34" t="n">
        <x:v>0.01</x:v>
      </x:c>
      <x:c r="X176" s="34" t="n">
        <x:v>0.01</x:v>
      </x:c>
      <x:c r="Y176" s="34" t="n">
        <x:v>0.01</x:v>
      </x:c>
      <x:c r="Z176" s="30" t="str">
        <x:f>IF(AND(D176="TRADING",I176&lt;&gt;"",L176&lt;&gt;"",M176&lt;&gt;"",N176&lt;&gt;"",O176&lt;&gt;""),"Yes","No")</x:f>
        <x:v>Yes</x:v>
      </x:c>
      <x:c r="AA176" s="39" t="str">
        <x:v>https://developers.binance.com/en/docs/catalog/core-trading-spot-trading/api/rest-api</x:v>
      </x:c>
    </x:row>
    <x:row r="177">
      <x:c r="A177" s="30" t="str">
        <x:v>CTKUSDT</x:v>
      </x:c>
      <x:c r="B177" s="30" t="str">
        <x:v>CTK</x:v>
      </x:c>
      <x:c r="C177" s="30" t="str">
        <x:v>USDT</x:v>
      </x:c>
      <x:c r="D177" s="30" t="str">
        <x:v>TRADING</x:v>
      </x:c>
      <x:c r="E177" s="31" t="b">
        <x:v>1</x:v>
      </x:c>
      <x:c r="F177" s="32" t="n">
        <x:v>44131</x:v>
      </x:c>
      <x:c r="G177" s="32" t="n">
        <x:v>44131.999999988424</x:v>
      </x:c>
      <x:c r="H177" s="33" t="n">
        <x:f>IF(F177="","",('Summary'!$B$5-F177)/365.25)</x:f>
        <x:v>5.76594795706898</x:v>
      </x:c>
      <x:c r="I177" s="34" t="n">
        <x:v>0.1</x:v>
      </x:c>
      <x:c r="J177" s="35" t="n">
        <x:v>-0.04215</x:v>
      </x:c>
      <x:c r="K177" s="36" t="n">
        <x:v>1395470.5</x:v>
      </x:c>
      <x:c r="L177" s="36" t="n">
        <x:v>141238.22363</x:v>
      </x:c>
      <x:c r="M177" s="37" t="n">
        <x:v>1917</x:v>
      </x:c>
      <x:c r="N177" s="34" t="n">
        <x:v>0.0996</x:v>
      </x:c>
      <x:c r="O177" s="34" t="n">
        <x:v>0.0999</x:v>
      </x:c>
      <x:c r="P177" s="38" t="n">
        <x:f>IF(OR(N177="",O177="",N177=0,O177=0),"",(O177-N177)/((O177+N177)/2))</x:f>
        <x:v>0.0030075187969925673</x:v>
      </x:c>
      <x:c r="Q177" s="34" t="n">
        <x:v>0.1012119</x:v>
      </x:c>
      <x:c r="R177" s="34" t="n">
        <x:v>0.1044</x:v>
      </x:c>
      <x:c r="S177" s="34" t="n">
        <x:v>0.0995</x:v>
      </x:c>
      <x:c r="T177" s="32" t="n">
        <x:v>46236.012486087966</x:v>
      </x:c>
      <x:c r="U177" s="32" t="n">
        <x:v>46237.012486087966</x:v>
      </x:c>
      <x:c r="V177" s="34" t="n">
        <x:v>5</x:v>
      </x:c>
      <x:c r="W177" s="34" t="n">
        <x:v>0.1</x:v>
      </x:c>
      <x:c r="X177" s="34" t="n">
        <x:v>0.1</x:v>
      </x:c>
      <x:c r="Y177" s="34" t="n">
        <x:v>0.0001</x:v>
      </x:c>
      <x:c r="Z177" s="30" t="str">
        <x:f>IF(AND(D177="TRADING",I177&lt;&gt;"",L177&lt;&gt;"",M177&lt;&gt;"",N177&lt;&gt;"",O177&lt;&gt;""),"Yes","No")</x:f>
        <x:v>Yes</x:v>
      </x:c>
      <x:c r="AA177" s="39" t="str">
        <x:v>https://developers.binance.com/en/docs/catalog/core-trading-spot-trading/api/rest-api</x:v>
      </x:c>
    </x:row>
    <x:row r="178">
      <x:c r="A178" s="30" t="str">
        <x:v>CTSIUSDT</x:v>
      </x:c>
      <x:c r="B178" s="30" t="str">
        <x:v>CTSI</x:v>
      </x:c>
      <x:c r="C178" s="30" t="str">
        <x:v>USDT</x:v>
      </x:c>
      <x:c r="D178" s="30" t="str">
        <x:v>TRADING</x:v>
      </x:c>
      <x:c r="E178" s="31" t="b">
        <x:v>1</x:v>
      </x:c>
      <x:c r="F178" s="32" t="n">
        <x:v>43944</x:v>
      </x:c>
      <x:c r="G178" s="32" t="n">
        <x:v>43944.999999988424</x:v>
      </x:c>
      <x:c r="H178" s="33" t="n">
        <x:f>IF(F178="","",('Summary'!$B$5-F178)/365.25)</x:f>
        <x:v>6.277926054262683</x:v>
      </x:c>
      <x:c r="I178" s="34" t="n">
        <x:v>0.02127</x:v>
      </x:c>
      <x:c r="J178" s="35" t="n">
        <x:v>0.00758</x:v>
      </x:c>
      <x:c r="K178" s="36" t="n">
        <x:v>2158849</x:v>
      </x:c>
      <x:c r="L178" s="36" t="n">
        <x:v>45749.16118</x:v>
      </x:c>
      <x:c r="M178" s="37" t="n">
        <x:v>837</x:v>
      </x:c>
      <x:c r="N178" s="34" t="n">
        <x:v>0.02127</x:v>
      </x:c>
      <x:c r="O178" s="34" t="n">
        <x:v>0.02129</x:v>
      </x:c>
      <x:c r="P178" s="38" t="n">
        <x:f>IF(OR(N178="",O178="",N178=0,O178=0),"",(O178-N178)/((O178+N178)/2))</x:f>
        <x:v>0.000939849624060112</x:v>
      </x:c>
      <x:c r="Q178" s="34" t="n">
        <x:v>0.02119146</x:v>
      </x:c>
      <x:c r="R178" s="34" t="n">
        <x:v>0.02148</x:v>
      </x:c>
      <x:c r="S178" s="34" t="n">
        <x:v>0.02101</x:v>
      </x:c>
      <x:c r="T178" s="32" t="n">
        <x:v>46236.012379050924</x:v>
      </x:c>
      <x:c r="U178" s="32" t="n">
        <x:v>46237.012379050924</x:v>
      </x:c>
      <x:c r="V178" s="34" t="n">
        <x:v>5</x:v>
      </x:c>
      <x:c r="W178" s="34" t="n">
        <x:v>1</x:v>
      </x:c>
      <x:c r="X178" s="34" t="n">
        <x:v>1</x:v>
      </x:c>
      <x:c r="Y178" s="34" t="n">
        <x:v>0.00001</x:v>
      </x:c>
      <x:c r="Z178" s="30" t="str">
        <x:f>IF(AND(D178="TRADING",I178&lt;&gt;"",L178&lt;&gt;"",M178&lt;&gt;"",N178&lt;&gt;"",O178&lt;&gt;""),"Yes","No")</x:f>
        <x:v>Yes</x:v>
      </x:c>
      <x:c r="AA178" s="39" t="str">
        <x:v>https://developers.binance.com/en/docs/catalog/core-trading-spot-trading/api/rest-api</x:v>
      </x:c>
    </x:row>
    <x:row r="179">
      <x:c r="A179" s="30" t="str">
        <x:v>CTXCUSDT</x:v>
      </x:c>
      <x:c r="B179" s="30" t="str">
        <x:v>CTXC</x:v>
      </x:c>
      <x:c r="C179" s="30" t="str">
        <x:v>USDT</x:v>
      </x:c>
      <x:c r="D179" s="30" t="str">
        <x:v>BREAK</x:v>
      </x:c>
      <x:c r="E179" s="31" t="b">
        <x:v>1</x:v>
      </x:c>
      <x:c r="F179" s="32" t="n">
        <x:v>43791</x:v>
      </x:c>
      <x:c r="G179" s="32" t="n">
        <x:v>43791.999999988424</x:v>
      </x:c>
      <x:c r="H179" s="33" t="n">
        <x:f>IF(F179="","",('Summary'!$B$5-F179)/365.25)</x:f>
        <x:v>6.696817224693895</x:v>
      </x:c>
      <x:c r="I179" s="34" t="n">
        <x:v>0.0634</x:v>
      </x:c>
      <x:c r="J179" s="35" t="n">
        <x:v>-0.00471</x:v>
      </x:c>
      <x:c r="K179" s="36" t="n">
        <x:v>4315072</x:v>
      </x:c>
      <x:c r="L179" s="36" t="n">
        <x:v>266988.9592</x:v>
      </x:c>
      <x:c r="M179" s="37" t="n">
        <x:v>4001</x:v>
      </x:c>
      <x:c r="N179" s="34" t="n">
        <x:v>0</x:v>
      </x:c>
      <x:c r="O179" s="34" t="n">
        <x:v>0</x:v>
      </x:c>
      <x:c r="P179" s="38" t="str">
        <x:f>IF(OR(N179="",O179="",N179=0,O179=0),"",(O179-N179)/((O179+N179)/2))</x:f>
      </x:c>
      <x:c r="Q179" s="34" t="n">
        <x:v>0.06187358</x:v>
      </x:c>
      <x:c r="R179" s="34" t="n">
        <x:v>0.0666</x:v>
      </x:c>
      <x:c r="S179" s="34" t="n">
        <x:v>0.059</x:v>
      </x:c>
      <x:c r="T179" s="32" t="n">
        <x:v>46209.26112309028</x:v>
      </x:c>
      <x:c r="U179" s="32" t="n">
        <x:v>46210.26112309028</x:v>
      </x:c>
      <x:c r="V179" s="34" t="n">
        <x:v>5</x:v>
      </x:c>
      <x:c r="W179" s="34" t="n">
        <x:v>1</x:v>
      </x:c>
      <x:c r="X179" s="34" t="n">
        <x:v>1</x:v>
      </x:c>
      <x:c r="Y179" s="34" t="n">
        <x:v>0.0001</x:v>
      </x:c>
      <x:c r="Z179" s="30" t="str">
        <x:f>IF(AND(D179="TRADING",I179&lt;&gt;"",L179&lt;&gt;"",M179&lt;&gt;"",N179&lt;&gt;"",O179&lt;&gt;""),"Yes","No")</x:f>
        <x:v>No</x:v>
      </x:c>
      <x:c r="AA179" s="39" t="str">
        <x:v>https://developers.binance.com/en/docs/catalog/core-trading-spot-trading/api/rest-api</x:v>
      </x:c>
    </x:row>
    <x:row r="180">
      <x:c r="A180" s="30" t="str">
        <x:v>CUSDT</x:v>
      </x:c>
      <x:c r="B180" s="30" t="str">
        <x:v>C</x:v>
      </x:c>
      <x:c r="C180" s="30" t="str">
        <x:v>USDT</x:v>
      </x:c>
      <x:c r="D180" s="30" t="str">
        <x:v>TRADING</x:v>
      </x:c>
      <x:c r="E180" s="31" t="b">
        <x:v>1</x:v>
      </x:c>
      <x:c r="F180" s="32" t="n">
        <x:v>45856</x:v>
      </x:c>
      <x:c r="G180" s="32" t="n">
        <x:v>45856.999999988424</x:v>
      </x:c>
      <x:c r="H180" s="33" t="n">
        <x:f>IF(F180="","",('Summary'!$B$5-F180)/365.25)</x:f>
        <x:v>1.0431553492661052</x:v>
      </x:c>
      <x:c r="I180" s="34" t="n">
        <x:v>0.052</x:v>
      </x:c>
      <x:c r="J180" s="35" t="n">
        <x:v>-0.03166</x:v>
      </x:c>
      <x:c r="K180" s="36" t="n">
        <x:v>1875378.2</x:v>
      </x:c>
      <x:c r="L180" s="36" t="n">
        <x:v>99389.53368</x:v>
      </x:c>
      <x:c r="M180" s="37" t="n">
        <x:v>1627</x:v>
      </x:c>
      <x:c r="N180" s="34" t="n">
        <x:v>0.0521</x:v>
      </x:c>
      <x:c r="O180" s="34" t="n">
        <x:v>0.0522</x:v>
      </x:c>
      <x:c r="P180" s="38" t="n">
        <x:f>IF(OR(N180="",O180="",N180=0,O180=0),"",(O180-N180)/((O180+N180)/2))</x:f>
        <x:v>0.0019175455417066703</x:v>
      </x:c>
      <x:c r="Q180" s="34" t="n">
        <x:v>0.05299706</x:v>
      </x:c>
      <x:c r="R180" s="34" t="n">
        <x:v>0.054</x:v>
      </x:c>
      <x:c r="S180" s="34" t="n">
        <x:v>0.0518</x:v>
      </x:c>
      <x:c r="T180" s="32" t="n">
        <x:v>46236.01246967592</x:v>
      </x:c>
      <x:c r="U180" s="32" t="n">
        <x:v>46237.01246967592</x:v>
      </x:c>
      <x:c r="V180" s="34" t="n">
        <x:v>5</x:v>
      </x:c>
      <x:c r="W180" s="34" t="n">
        <x:v>0.1</x:v>
      </x:c>
      <x:c r="X180" s="34" t="n">
        <x:v>0.1</x:v>
      </x:c>
      <x:c r="Y180" s="34" t="n">
        <x:v>0.0001</x:v>
      </x:c>
      <x:c r="Z180" s="30" t="str">
        <x:f>IF(AND(D180="TRADING",I180&lt;&gt;"",L180&lt;&gt;"",M180&lt;&gt;"",N180&lt;&gt;"",O180&lt;&gt;""),"Yes","No")</x:f>
        <x:v>Yes</x:v>
      </x:c>
      <x:c r="AA180" s="39" t="str">
        <x:v>https://developers.binance.com/en/docs/catalog/core-trading-spot-trading/api/rest-api</x:v>
      </x:c>
    </x:row>
    <x:row r="181">
      <x:c r="A181" s="30" t="str">
        <x:v>CVCUSDT</x:v>
      </x:c>
      <x:c r="B181" s="30" t="str">
        <x:v>CVC</x:v>
      </x:c>
      <x:c r="C181" s="30" t="str">
        <x:v>USDT</x:v>
      </x:c>
      <x:c r="D181" s="30" t="str">
        <x:v>TRADING</x:v>
      </x:c>
      <x:c r="E181" s="31" t="b">
        <x:v>1</x:v>
      </x:c>
      <x:c r="F181" s="32" t="n">
        <x:v>43704</x:v>
      </x:c>
      <x:c r="G181" s="32" t="n">
        <x:v>43704.999999988424</x:v>
      </x:c>
      <x:c r="H181" s="33" t="n">
        <x:f>IF(F181="","",('Summary'!$B$5-F181)/365.25)</x:f>
        <x:v>6.935010243174387</x:v>
      </x:c>
      <x:c r="I181" s="34" t="n">
        <x:v>0.01831</x:v>
      </x:c>
      <x:c r="J181" s="35" t="n">
        <x:v>-0.00705</x:v>
      </x:c>
      <x:c r="K181" s="36" t="n">
        <x:v>3212978</x:v>
      </x:c>
      <x:c r="L181" s="36" t="n">
        <x:v>59121.1586</x:v>
      </x:c>
      <x:c r="M181" s="37" t="n">
        <x:v>1356</x:v>
      </x:c>
      <x:c r="N181" s="34" t="n">
        <x:v>0.01829</x:v>
      </x:c>
      <x:c r="O181" s="34" t="n">
        <x:v>0.0183</x:v>
      </x:c>
      <x:c r="P181" s="38" t="n">
        <x:f>IF(OR(N181="",O181="",N181=0,O181=0),"",(O181-N181)/((O181+N181)/2))</x:f>
        <x:v>0.0005465974309920521</x:v>
      </x:c>
      <x:c r="Q181" s="34" t="n">
        <x:v>0.01840074</x:v>
      </x:c>
      <x:c r="R181" s="34" t="n">
        <x:v>0.01858</x:v>
      </x:c>
      <x:c r="S181" s="34" t="n">
        <x:v>0.01821</x:v>
      </x:c>
      <x:c r="T181" s="32" t="n">
        <x:v>46236.01247837963</x:v>
      </x:c>
      <x:c r="U181" s="32" t="n">
        <x:v>46237.01247837963</x:v>
      </x:c>
      <x:c r="V181" s="34" t="n">
        <x:v>5</x:v>
      </x:c>
      <x:c r="W181" s="34" t="n">
        <x:v>1</x:v>
      </x:c>
      <x:c r="X181" s="34" t="n">
        <x:v>1</x:v>
      </x:c>
      <x:c r="Y181" s="34" t="n">
        <x:v>0.00001</x:v>
      </x:c>
      <x:c r="Z181" s="30" t="str">
        <x:f>IF(AND(D181="TRADING",I181&lt;&gt;"",L181&lt;&gt;"",M181&lt;&gt;"",N181&lt;&gt;"",O181&lt;&gt;""),"Yes","No")</x:f>
        <x:v>Yes</x:v>
      </x:c>
      <x:c r="AA181" s="39" t="str">
        <x:v>https://developers.binance.com/en/docs/catalog/core-trading-spot-trading/api/rest-api</x:v>
      </x:c>
    </x:row>
    <x:row r="182">
      <x:c r="A182" s="30" t="str">
        <x:v>CVPUSDT</x:v>
      </x:c>
      <x:c r="B182" s="30" t="str">
        <x:v>CVP</x:v>
      </x:c>
      <x:c r="C182" s="30" t="str">
        <x:v>USDT</x:v>
      </x:c>
      <x:c r="D182" s="30" t="str">
        <x:v>BREAK</x:v>
      </x:c>
      <x:c r="E182" s="31" t="b">
        <x:v>1</x:v>
      </x:c>
      <x:c r="F182" s="32" t="n">
        <x:v>44473</x:v>
      </x:c>
      <x:c r="G182" s="32" t="n">
        <x:v>44473.999999988424</x:v>
      </x:c>
      <x:c r="H182" s="33" t="n">
        <x:f>IF(F182="","",('Summary'!$B$5-F182)/365.25)</x:f>
        <x:v>4.8296029878698015</x:v>
      </x:c>
      <x:c r="I182" s="34" t="n">
        <x:v>0.0339</x:v>
      </x:c>
      <x:c r="J182" s="35" t="n">
        <x:v>-0.23303000000000001</x:v>
      </x:c>
      <x:c r="K182" s="36" t="n">
        <x:v>10302989.3</x:v>
      </x:c>
      <x:c r="L182" s="36" t="n">
        <x:v>428914.93213</x:v>
      </x:c>
      <x:c r="M182" s="37" t="n">
        <x:v>4001</x:v>
      </x:c>
      <x:c r="N182" s="34" t="n">
        <x:v>0</x:v>
      </x:c>
      <x:c r="O182" s="34" t="n">
        <x:v>0</x:v>
      </x:c>
      <x:c r="P182" s="38" t="str">
        <x:f>IF(OR(N182="",O182="",N182=0,O182=0),"",(O182-N182)/((O182+N182)/2))</x:f>
      </x:c>
      <x:c r="Q182" s="34" t="n">
        <x:v>0.04163014</x:v>
      </x:c>
      <x:c r="R182" s="34" t="n">
        <x:v>0.049</x:v>
      </x:c>
      <x:c r="S182" s="34" t="n">
        <x:v>0.0328</x:v>
      </x:c>
      <x:c r="T182" s="32" t="n">
        <x:v>46209.26112309028</x:v>
      </x:c>
      <x:c r="U182" s="32" t="n">
        <x:v>46210.26112309028</x:v>
      </x:c>
      <x:c r="V182" s="34" t="n">
        <x:v>5</x:v>
      </x:c>
      <x:c r="W182" s="34" t="n">
        <x:v>0.1</x:v>
      </x:c>
      <x:c r="X182" s="34" t="n">
        <x:v>0.1</x:v>
      </x:c>
      <x:c r="Y182" s="34" t="n">
        <x:v>0.0001</x:v>
      </x:c>
      <x:c r="Z182" s="30" t="str">
        <x:f>IF(AND(D182="TRADING",I182&lt;&gt;"",L182&lt;&gt;"",M182&lt;&gt;"",N182&lt;&gt;"",O182&lt;&gt;""),"Yes","No")</x:f>
        <x:v>No</x:v>
      </x:c>
      <x:c r="AA182" s="39" t="str">
        <x:v>https://developers.binance.com/en/docs/catalog/core-trading-spot-trading/api/rest-api</x:v>
      </x:c>
    </x:row>
    <x:row r="183">
      <x:c r="A183" s="30" t="str">
        <x:v>CVXUSDT</x:v>
      </x:c>
      <x:c r="B183" s="30" t="str">
        <x:v>CVX</x:v>
      </x:c>
      <x:c r="C183" s="30" t="str">
        <x:v>USDT</x:v>
      </x:c>
      <x:c r="D183" s="30" t="str">
        <x:v>TRADING</x:v>
      </x:c>
      <x:c r="E183" s="31" t="b">
        <x:v>1</x:v>
      </x:c>
      <x:c r="F183" s="32" t="n">
        <x:v>44553</x:v>
      </x:c>
      <x:c r="G183" s="32" t="n">
        <x:v>44553.999999988424</x:v>
      </x:c>
      <x:c r="H183" s="33" t="n">
        <x:f>IF(F183="","",('Summary'!$B$5-F183)/365.25)</x:f>
        <x:v>4.610574924899233</x:v>
      </x:c>
      <x:c r="I183" s="34" t="n">
        <x:v>1.305</x:v>
      </x:c>
      <x:c r="J183" s="35" t="n">
        <x:v>0.028370000000000003</x:v>
      </x:c>
      <x:c r="K183" s="36" t="n">
        <x:v>167511.854</x:v>
      </x:c>
      <x:c r="L183" s="36" t="n">
        <x:v>217041.738844</x:v>
      </x:c>
      <x:c r="M183" s="37" t="n">
        <x:v>2760</x:v>
      </x:c>
      <x:c r="N183" s="34" t="n">
        <x:v>1.303</x:v>
      </x:c>
      <x:c r="O183" s="34" t="n">
        <x:v>1.306</x:v>
      </x:c>
      <x:c r="P183" s="38" t="n">
        <x:f>IF(OR(N183="",O183="",N183=0,O183=0),"",(O183-N183)/((O183+N183)/2))</x:f>
        <x:v>0.0022997316979686574</x:v>
      </x:c>
      <x:c r="Q183" s="34" t="n">
        <x:v>1.29567988</x:v>
      </x:c>
      <x:c r="R183" s="34" t="n">
        <x:v>1.321</x:v>
      </x:c>
      <x:c r="S183" s="34" t="n">
        <x:v>1.269</x:v>
      </x:c>
      <x:c r="T183" s="32" t="n">
        <x:v>46236.01235464121</x:v>
      </x:c>
      <x:c r="U183" s="32" t="n">
        <x:v>46237.01235464121</x:v>
      </x:c>
      <x:c r="V183" s="34" t="n">
        <x:v>5</x:v>
      </x:c>
      <x:c r="W183" s="34" t="n">
        <x:v>0.001</x:v>
      </x:c>
      <x:c r="X183" s="34" t="n">
        <x:v>0.001</x:v>
      </x:c>
      <x:c r="Y183" s="34" t="n">
        <x:v>0.001</x:v>
      </x:c>
      <x:c r="Z183" s="30" t="str">
        <x:f>IF(AND(D183="TRADING",I183&lt;&gt;"",L183&lt;&gt;"",M183&lt;&gt;"",N183&lt;&gt;"",O183&lt;&gt;""),"Yes","No")</x:f>
        <x:v>Yes</x:v>
      </x:c>
      <x:c r="AA183" s="39" t="str">
        <x:v>https://developers.binance.com/en/docs/catalog/core-trading-spot-trading/api/rest-api</x:v>
      </x:c>
    </x:row>
    <x:row r="184">
      <x:c r="A184" s="30" t="str">
        <x:v>CYBERUSDT</x:v>
      </x:c>
      <x:c r="B184" s="30" t="str">
        <x:v>CYBER</x:v>
      </x:c>
      <x:c r="C184" s="30" t="str">
        <x:v>USDT</x:v>
      </x:c>
      <x:c r="D184" s="30" t="str">
        <x:v>TRADING</x:v>
      </x:c>
      <x:c r="E184" s="31" t="b">
        <x:v>1</x:v>
      </x:c>
      <x:c r="F184" s="32" t="n">
        <x:v>45153</x:v>
      </x:c>
      <x:c r="G184" s="32" t="n">
        <x:v>45153.999999988424</x:v>
      </x:c>
      <x:c r="H184" s="33" t="n">
        <x:f>IF(F184="","",('Summary'!$B$5-F184)/365.25)</x:f>
        <x:v>2.9678644526199727</x:v>
      </x:c>
      <x:c r="I184" s="34" t="n">
        <x:v>0.302</x:v>
      </x:c>
      <x:c r="J184" s="35" t="n">
        <x:v>0.00332</x:v>
      </x:c>
      <x:c r="K184" s="36" t="n">
        <x:v>323891.91</x:v>
      </x:c>
      <x:c r="L184" s="36" t="n">
        <x:v>98112.30364</x:v>
      </x:c>
      <x:c r="M184" s="37" t="n">
        <x:v>1040</x:v>
      </x:c>
      <x:c r="N184" s="34" t="n">
        <x:v>0.302</x:v>
      </x:c>
      <x:c r="O184" s="34" t="n">
        <x:v>0.303</x:v>
      </x:c>
      <x:c r="P184" s="38" t="n">
        <x:f>IF(OR(N184="",O184="",N184=0,O184=0),"",(O184-N184)/((O184+N184)/2))</x:f>
        <x:v>0.003305785123966945</x:v>
      </x:c>
      <x:c r="Q184" s="34" t="n">
        <x:v>0.30291681</x:v>
      </x:c>
      <x:c r="R184" s="34" t="n">
        <x:v>0.306</x:v>
      </x:c>
      <x:c r="S184" s="34" t="n">
        <x:v>0.3</x:v>
      </x:c>
      <x:c r="T184" s="32" t="n">
        <x:v>46236.01237576389</x:v>
      </x:c>
      <x:c r="U184" s="32" t="n">
        <x:v>46237.01237576389</x:v>
      </x:c>
      <x:c r="V184" s="34" t="n">
        <x:v>5</x:v>
      </x:c>
      <x:c r="W184" s="34" t="n">
        <x:v>0.01</x:v>
      </x:c>
      <x:c r="X184" s="34" t="n">
        <x:v>0.01</x:v>
      </x:c>
      <x:c r="Y184" s="34" t="n">
        <x:v>0.001</x:v>
      </x:c>
      <x:c r="Z184" s="30" t="str">
        <x:f>IF(AND(D184="TRADING",I184&lt;&gt;"",L184&lt;&gt;"",M184&lt;&gt;"",N184&lt;&gt;"",O184&lt;&gt;""),"Yes","No")</x:f>
        <x:v>Yes</x:v>
      </x:c>
      <x:c r="AA184" s="39" t="str">
        <x:v>https://developers.binance.com/en/docs/catalog/core-trading-spot-trading/api/rest-api</x:v>
      </x:c>
    </x:row>
    <x:row r="185">
      <x:c r="A185" s="30" t="str">
        <x:v>DAIUSDT</x:v>
      </x:c>
      <x:c r="B185" s="30" t="str">
        <x:v>DAI</x:v>
      </x:c>
      <x:c r="C185" s="30" t="str">
        <x:v>USDT</x:v>
      </x:c>
      <x:c r="D185" s="30" t="str">
        <x:v>BREAK</x:v>
      </x:c>
      <x:c r="E185" s="31" t="b">
        <x:v>1</x:v>
      </x:c>
      <x:c r="F185" s="32" t="n">
        <x:v>44035</x:v>
      </x:c>
      <x:c r="G185" s="32" t="n">
        <x:v>44035.999999988424</x:v>
      </x:c>
      <x:c r="H185" s="33" t="n">
        <x:f>IF(F185="","",('Summary'!$B$5-F185)/365.25)</x:f>
        <x:v>6.028781632633661</x:v>
      </x:c>
      <x:c r="I185" s="34" t="n">
        <x:v>0</x:v>
      </x:c>
      <x:c r="J185" s="35" t="n">
        <x:v>0</x:v>
      </x:c>
      <x:c r="K185" s="36" t="n">
        <x:v>0</x:v>
      </x:c>
      <x:c r="L185" s="36" t="n">
        <x:v>0</x:v>
      </x:c>
      <x:c r="M185" s="37" t="n">
        <x:v>0</x:v>
      </x:c>
      <x:c r="N185" s="34" t="n">
        <x:v>0</x:v>
      </x:c>
      <x:c r="O185" s="34" t="n">
        <x:v>0</x:v>
      </x:c>
      <x:c r="P185" s="38" t="str">
        <x:f>IF(OR(N185="",O185="",N185=0,O185=0),"",(O185-N185)/((O185+N185)/2))</x:f>
      </x:c>
      <x:c r="Q185" s="34" t="n">
        <x:v>0</x:v>
      </x:c>
      <x:c r="R185" s="34" t="n">
        <x:v>0</x:v>
      </x:c>
      <x:c r="S185" s="34" t="n">
        <x:v>0</x:v>
      </x:c>
      <x:c r="T185" s="32" t="n">
        <x:v>46209.26112309028</x:v>
      </x:c>
      <x:c r="U185" s="32" t="n">
        <x:v>46210.26112309028</x:v>
      </x:c>
      <x:c r="V185" s="34" t="n">
        <x:v>10</x:v>
      </x:c>
      <x:c r="W185" s="34" t="n">
        <x:v>0.01</x:v>
      </x:c>
      <x:c r="X185" s="34" t="n">
        <x:v>0.01</x:v>
      </x:c>
      <x:c r="Y185" s="34" t="n">
        <x:v>0.0001</x:v>
      </x:c>
      <x:c r="Z185" s="30" t="str">
        <x:f>IF(AND(D185="TRADING",I185&lt;&gt;"",L185&lt;&gt;"",M185&lt;&gt;"",N185&lt;&gt;"",O185&lt;&gt;""),"Yes","No")</x:f>
        <x:v>No</x:v>
      </x:c>
      <x:c r="AA185" s="39" t="str">
        <x:v>https://developers.binance.com/en/docs/catalog/core-trading-spot-trading/api/rest-api</x:v>
      </x:c>
    </x:row>
    <x:row r="186">
      <x:c r="A186" s="30" t="str">
        <x:v>DARUSDT</x:v>
      </x:c>
      <x:c r="B186" s="30" t="str">
        <x:v>DAR</x:v>
      </x:c>
      <x:c r="C186" s="30" t="str">
        <x:v>USDT</x:v>
      </x:c>
      <x:c r="D186" s="30" t="str">
        <x:v>BREAK</x:v>
      </x:c>
      <x:c r="E186" s="31" t="b">
        <x:v>1</x:v>
      </x:c>
      <x:c r="F186" s="32" t="n">
        <x:v>44504</x:v>
      </x:c>
      <x:c r="G186" s="32" t="n">
        <x:v>44504.999999988424</x:v>
      </x:c>
      <x:c r="H186" s="33" t="n">
        <x:f>IF(F186="","",('Summary'!$B$5-F186)/365.25)</x:f>
        <x:v>4.7447296134687065</x:v>
      </x:c>
      <x:c r="I186" s="34" t="n">
        <x:v>0.21707</x:v>
      </x:c>
      <x:c r="J186" s="35" t="n">
        <x:v>0.02021</x:v>
      </x:c>
      <x:c r="K186" s="36" t="n">
        <x:v>3335747</x:v>
      </x:c>
      <x:c r="L186" s="36" t="n">
        <x:v>720889.29232</x:v>
      </x:c>
      <x:c r="M186" s="37" t="n">
        <x:v>4001</x:v>
      </x:c>
      <x:c r="N186" s="34" t="n">
        <x:v>0</x:v>
      </x:c>
      <x:c r="O186" s="34" t="n">
        <x:v>0</x:v>
      </x:c>
      <x:c r="P186" s="38" t="str">
        <x:f>IF(OR(N186="",O186="",N186=0,O186=0),"",(O186-N186)/((O186+N186)/2))</x:f>
      </x:c>
      <x:c r="Q186" s="34" t="n">
        <x:v>0.2161103</x:v>
      </x:c>
      <x:c r="R186" s="34" t="n">
        <x:v>0.21849</x:v>
      </x:c>
      <x:c r="S186" s="34" t="n">
        <x:v>0.21198</x:v>
      </x:c>
      <x:c r="T186" s="32" t="n">
        <x:v>46209.26112309028</x:v>
      </x:c>
      <x:c r="U186" s="32" t="n">
        <x:v>46210.26112309028</x:v>
      </x:c>
      <x:c r="V186" s="34" t="n">
        <x:v>5</x:v>
      </x:c>
      <x:c r="W186" s="34" t="n">
        <x:v>1</x:v>
      </x:c>
      <x:c r="X186" s="34" t="n">
        <x:v>1</x:v>
      </x:c>
      <x:c r="Y186" s="34" t="n">
        <x:v>0.00001</x:v>
      </x:c>
      <x:c r="Z186" s="30" t="str">
        <x:f>IF(AND(D186="TRADING",I186&lt;&gt;"",L186&lt;&gt;"",M186&lt;&gt;"",N186&lt;&gt;"",O186&lt;&gt;""),"Yes","No")</x:f>
        <x:v>No</x:v>
      </x:c>
      <x:c r="AA186" s="39" t="str">
        <x:v>https://developers.binance.com/en/docs/catalog/core-trading-spot-trading/api/rest-api</x:v>
      </x:c>
    </x:row>
    <x:row r="187">
      <x:c r="A187" s="30" t="str">
        <x:v>DASHUSDT</x:v>
      </x:c>
      <x:c r="B187" s="30" t="str">
        <x:v>DASH</x:v>
      </x:c>
      <x:c r="C187" s="30" t="str">
        <x:v>USDT</x:v>
      </x:c>
      <x:c r="D187" s="30" t="str">
        <x:v>TRADING</x:v>
      </x:c>
      <x:c r="E187" s="31" t="b">
        <x:v>1</x:v>
      </x:c>
      <x:c r="F187" s="32" t="n">
        <x:v>43552</x:v>
      </x:c>
      <x:c r="G187" s="32" t="n">
        <x:v>43552.999999988424</x:v>
      </x:c>
      <x:c r="H187" s="33" t="n">
        <x:f>IF(F187="","",('Summary'!$B$5-F187)/365.25)</x:f>
        <x:v>7.351163562818467</x:v>
      </x:c>
      <x:c r="I187" s="34" t="n">
        <x:v>31.32</x:v>
      </x:c>
      <x:c r="J187" s="35" t="n">
        <x:v>0.00449</x:v>
      </x:c>
      <x:c r="K187" s="36" t="n">
        <x:v>62905.891</x:v>
      </x:c>
      <x:c r="L187" s="36" t="n">
        <x:v>1976629.52201</x:v>
      </x:c>
      <x:c r="M187" s="37" t="n">
        <x:v>10449</x:v>
      </x:c>
      <x:c r="N187" s="34" t="n">
        <x:v>31.32</x:v>
      </x:c>
      <x:c r="O187" s="34" t="n">
        <x:v>31.33</x:v>
      </x:c>
      <x:c r="P187" s="38" t="n">
        <x:f>IF(OR(N187="",O187="",N187=0,O187=0),"",(O187-N187)/((O187+N187)/2))</x:f>
        <x:v>0.0003192338387868479</x:v>
      </x:c>
      <x:c r="Q187" s="34" t="n">
        <x:v>31.42200978</x:v>
      </x:c>
      <x:c r="R187" s="34" t="n">
        <x:v>31.75</x:v>
      </x:c>
      <x:c r="S187" s="34" t="n">
        <x:v>31.1</x:v>
      </x:c>
      <x:c r="T187" s="32" t="n">
        <x:v>46236.01241041667</x:v>
      </x:c>
      <x:c r="U187" s="32" t="n">
        <x:v>46237.01241041667</x:v>
      </x:c>
      <x:c r="V187" s="34" t="n">
        <x:v>5</x:v>
      </x:c>
      <x:c r="W187" s="34" t="n">
        <x:v>0.001</x:v>
      </x:c>
      <x:c r="X187" s="34" t="n">
        <x:v>0.001</x:v>
      </x:c>
      <x:c r="Y187" s="34" t="n">
        <x:v>0.01</x:v>
      </x:c>
      <x:c r="Z187" s="30" t="str">
        <x:f>IF(AND(D187="TRADING",I187&lt;&gt;"",L187&lt;&gt;"",M187&lt;&gt;"",N187&lt;&gt;"",O187&lt;&gt;""),"Yes","No")</x:f>
        <x:v>Yes</x:v>
      </x:c>
      <x:c r="AA187" s="39" t="str">
        <x:v>https://developers.binance.com/en/docs/catalog/core-trading-spot-trading/api/rest-api</x:v>
      </x:c>
    </x:row>
    <x:row r="188">
      <x:c r="A188" s="30" t="str">
        <x:v>DATAUSDT</x:v>
      </x:c>
      <x:c r="B188" s="30" t="str">
        <x:v>DATA</x:v>
      </x:c>
      <x:c r="C188" s="30" t="str">
        <x:v>USDT</x:v>
      </x:c>
      <x:c r="D188" s="30" t="str">
        <x:v>BREAK</x:v>
      </x:c>
      <x:c r="E188" s="31" t="b">
        <x:v>1</x:v>
      </x:c>
      <x:c r="F188" s="32" t="n">
        <x:v>43928</x:v>
      </x:c>
      <x:c r="G188" s="32" t="n">
        <x:v>43928.999999988424</x:v>
      </x:c>
      <x:c r="H188" s="33" t="n">
        <x:f>IF(F188="","",('Summary'!$B$5-F188)/365.25)</x:f>
        <x:v>6.321731666856796</x:v>
      </x:c>
      <x:c r="I188" s="34" t="n">
        <x:v>0.00088</x:v>
      </x:c>
      <x:c r="J188" s="35" t="n">
        <x:v>-0.3125</x:v>
      </x:c>
      <x:c r="K188" s="36" t="n">
        <x:v>109741867.2</x:v>
      </x:c>
      <x:c r="L188" s="36" t="n">
        <x:v>111558.29681</x:v>
      </x:c>
      <x:c r="M188" s="37" t="n">
        <x:v>4001</x:v>
      </x:c>
      <x:c r="N188" s="34" t="n">
        <x:v>0</x:v>
      </x:c>
      <x:c r="O188" s="34" t="n">
        <x:v>0</x:v>
      </x:c>
      <x:c r="P188" s="38" t="str">
        <x:f>IF(OR(N188="",O188="",N188=0,O188=0),"",(O188-N188)/((O188+N188)/2))</x:f>
      </x:c>
      <x:c r="Q188" s="34" t="n">
        <x:v>0.00101655</x:v>
      </x:c>
      <x:c r="R188" s="34" t="n">
        <x:v>0.00129</x:v>
      </x:c>
      <x:c r="S188" s="34" t="n">
        <x:v>0.00081</x:v>
      </x:c>
      <x:c r="T188" s="32" t="n">
        <x:v>46209.26112309028</x:v>
      </x:c>
      <x:c r="U188" s="32" t="n">
        <x:v>46210.26112309028</x:v>
      </x:c>
      <x:c r="V188" s="34" t="n">
        <x:v>5</x:v>
      </x:c>
      <x:c r="W188" s="34" t="n">
        <x:v>0.1</x:v>
      </x:c>
      <x:c r="X188" s="34" t="n">
        <x:v>0.1</x:v>
      </x:c>
      <x:c r="Y188" s="34" t="n">
        <x:v>0.00001</x:v>
      </x:c>
      <x:c r="Z188" s="30" t="str">
        <x:f>IF(AND(D188="TRADING",I188&lt;&gt;"",L188&lt;&gt;"",M188&lt;&gt;"",N188&lt;&gt;"",O188&lt;&gt;""),"Yes","No")</x:f>
        <x:v>No</x:v>
      </x:c>
      <x:c r="AA188" s="39" t="str">
        <x:v>https://developers.binance.com/en/docs/catalog/core-trading-spot-trading/api/rest-api</x:v>
      </x:c>
    </x:row>
    <x:row r="189">
      <x:c r="A189" s="30" t="str">
        <x:v>DCRUSDT</x:v>
      </x:c>
      <x:c r="B189" s="30" t="str">
        <x:v>DCR</x:v>
      </x:c>
      <x:c r="C189" s="30" t="str">
        <x:v>USDT</x:v>
      </x:c>
      <x:c r="D189" s="30" t="str">
        <x:v>TRADING</x:v>
      </x:c>
      <x:c r="E189" s="31" t="b">
        <x:v>1</x:v>
      </x:c>
      <x:c r="F189" s="32" t="n">
        <x:v>44042</x:v>
      </x:c>
      <x:c r="G189" s="32" t="n">
        <x:v>44042.999999988424</x:v>
      </x:c>
      <x:c r="H189" s="33" t="n">
        <x:f>IF(F189="","",('Summary'!$B$5-F189)/365.25)</x:f>
        <x:v>6.009616677123737</x:v>
      </x:c>
      <x:c r="I189" s="34" t="n">
        <x:v>13.32</x:v>
      </x:c>
      <x:c r="J189" s="35" t="n">
        <x:v>0.008329999999999999</x:v>
      </x:c>
      <x:c r="K189" s="36" t="n">
        <x:v>12034.979</x:v>
      </x:c>
      <x:c r="L189" s="36" t="n">
        <x:v>159603.68908</x:v>
      </x:c>
      <x:c r="M189" s="37" t="n">
        <x:v>2345</x:v>
      </x:c>
      <x:c r="N189" s="34" t="n">
        <x:v>13.29</x:v>
      </x:c>
      <x:c r="O189" s="34" t="n">
        <x:v>13.32</x:v>
      </x:c>
      <x:c r="P189" s="38" t="n">
        <x:f>IF(OR(N189="",O189="",N189=0,O189=0),"",(O189-N189)/((O189+N189)/2))</x:f>
        <x:v>0.0022547914317926445</x:v>
      </x:c>
      <x:c r="Q189" s="34" t="n">
        <x:v>13.26165082</x:v>
      </x:c>
      <x:c r="R189" s="34" t="n">
        <x:v>13.51</x:v>
      </x:c>
      <x:c r="S189" s="34" t="n">
        <x:v>13</x:v>
      </x:c>
      <x:c r="T189" s="32" t="n">
        <x:v>46236.01111778935</x:v>
      </x:c>
      <x:c r="U189" s="32" t="n">
        <x:v>46237.01111778935</x:v>
      </x:c>
      <x:c r="V189" s="34" t="n">
        <x:v>5</x:v>
      </x:c>
      <x:c r="W189" s="34" t="n">
        <x:v>0.001</x:v>
      </x:c>
      <x:c r="X189" s="34" t="n">
        <x:v>0.001</x:v>
      </x:c>
      <x:c r="Y189" s="34" t="n">
        <x:v>0.01</x:v>
      </x:c>
      <x:c r="Z189" s="30" t="str">
        <x:f>IF(AND(D189="TRADING",I189&lt;&gt;"",L189&lt;&gt;"",M189&lt;&gt;"",N189&lt;&gt;"",O189&lt;&gt;""),"Yes","No")</x:f>
        <x:v>Yes</x:v>
      </x:c>
      <x:c r="AA189" s="39" t="str">
        <x:v>https://developers.binance.com/en/docs/catalog/core-trading-spot-trading/api/rest-api</x:v>
      </x:c>
    </x:row>
    <x:row r="190">
      <x:c r="A190" s="30" t="str">
        <x:v>DEGOUSDT</x:v>
      </x:c>
      <x:c r="B190" s="30" t="str">
        <x:v>DEGO</x:v>
      </x:c>
      <x:c r="C190" s="30" t="str">
        <x:v>USDT</x:v>
      </x:c>
      <x:c r="D190" s="30" t="str">
        <x:v>BREAK</x:v>
      </x:c>
      <x:c r="E190" s="31" t="b">
        <x:v>1</x:v>
      </x:c>
      <x:c r="F190" s="32" t="n">
        <x:v>44265</x:v>
      </x:c>
      <x:c r="G190" s="32" t="n">
        <x:v>44265.999999988424</x:v>
      </x:c>
      <x:c r="H190" s="33" t="n">
        <x:f>IF(F190="","",('Summary'!$B$5-F190)/365.25)</x:f>
        <x:v>5.399075951593279</x:v>
      </x:c>
      <x:c r="I190" s="34" t="n">
        <x:v>0.028</x:v>
      </x:c>
      <x:c r="J190" s="35" t="n">
        <x:v>-0.5087700000000001</x:v>
      </x:c>
      <x:c r="K190" s="36" t="n">
        <x:v>17486766.03</x:v>
      </x:c>
      <x:c r="L190" s="36" t="n">
        <x:v>678681.72452</x:v>
      </x:c>
      <x:c r="M190" s="37" t="n">
        <x:v>7777</x:v>
      </x:c>
      <x:c r="N190" s="34" t="n">
        <x:v>0</x:v>
      </x:c>
      <x:c r="O190" s="34" t="n">
        <x:v>0</x:v>
      </x:c>
      <x:c r="P190" s="38" t="str">
        <x:f>IF(OR(N190="",O190="",N190=0,O190=0),"",(O190-N190)/((O190+N190)/2))</x:f>
      </x:c>
      <x:c r="Q190" s="34" t="n">
        <x:v>0.03881116</x:v>
      </x:c>
      <x:c r="R190" s="34" t="n">
        <x:v>0.058</x:v>
      </x:c>
      <x:c r="S190" s="34" t="n">
        <x:v>0.024</x:v>
      </x:c>
      <x:c r="T190" s="32" t="n">
        <x:v>46209.26112309028</x:v>
      </x:c>
      <x:c r="U190" s="32" t="n">
        <x:v>46210.26112309028</x:v>
      </x:c>
      <x:c r="V190" s="34" t="n">
        <x:v>5</x:v>
      </x:c>
      <x:c r="W190" s="34" t="n">
        <x:v>0.01</x:v>
      </x:c>
      <x:c r="X190" s="34" t="n">
        <x:v>0.01</x:v>
      </x:c>
      <x:c r="Y190" s="34" t="n">
        <x:v>0.001</x:v>
      </x:c>
      <x:c r="Z190" s="30" t="str">
        <x:f>IF(AND(D190="TRADING",I190&lt;&gt;"",L190&lt;&gt;"",M190&lt;&gt;"",N190&lt;&gt;"",O190&lt;&gt;""),"Yes","No")</x:f>
        <x:v>No</x:v>
      </x:c>
      <x:c r="AA190" s="39" t="str">
        <x:v>https://developers.binance.com/en/docs/catalog/core-trading-spot-trading/api/rest-api</x:v>
      </x:c>
    </x:row>
    <x:row r="191">
      <x:c r="A191" s="30" t="str">
        <x:v>DELLBUSDT</x:v>
      </x:c>
      <x:c r="B191" s="30" t="str">
        <x:v>DELLB</x:v>
      </x:c>
      <x:c r="C191" s="30" t="str">
        <x:v>USDT</x:v>
      </x:c>
      <x:c r="D191" s="30" t="str">
        <x:v>TRADING</x:v>
      </x:c>
      <x:c r="E191" s="31" t="b">
        <x:v>1</x:v>
      </x:c>
      <x:c r="F191" s="32" t="n">
        <x:v>46232</x:v>
      </x:c>
      <x:c r="G191" s="32" t="n">
        <x:v>46232.999999988424</x:v>
      </x:c>
      <x:c r="H191" s="33" t="n">
        <x:f>IF(F191="","",('Summary'!$B$5-F191)/365.25)</x:f>
        <x:v>0.013723453304435213</x:v>
      </x:c>
      <x:c r="I191" s="34" t="n">
        <x:v>412.09</x:v>
      </x:c>
      <x:c r="J191" s="35" t="n">
        <x:v>0.01054</x:v>
      </x:c>
      <x:c r="K191" s="36" t="n">
        <x:v>23.761</x:v>
      </x:c>
      <x:c r="L191" s="36" t="n">
        <x:v>9753.56358</x:v>
      </x:c>
      <x:c r="M191" s="37" t="n">
        <x:v>199</x:v>
      </x:c>
      <x:c r="N191" s="34" t="n">
        <x:v>411.96</x:v>
      </x:c>
      <x:c r="O191" s="34" t="n">
        <x:v>414.4</x:v>
      </x:c>
      <x:c r="P191" s="38" t="n">
        <x:f>IF(OR(N191="",O191="",N191=0,O191=0),"",(O191-N191)/((O191+N191)/2))</x:f>
        <x:v>0.005905416525485256</x:v>
      </x:c>
      <x:c r="Q191" s="34" t="n">
        <x:v>410.48624132</x:v>
      </x:c>
      <x:c r="R191" s="34" t="n">
        <x:v>414.71</x:v>
      </x:c>
      <x:c r="S191" s="34" t="n">
        <x:v>406.91</x:v>
      </x:c>
      <x:c r="T191" s="32" t="n">
        <x:v>46236.012484837964</x:v>
      </x:c>
      <x:c r="U191" s="32" t="n">
        <x:v>46237.012484837964</x:v>
      </x:c>
      <x:c r="V191" s="34" t="n">
        <x:v>5</x:v>
      </x:c>
      <x:c r="W191" s="34" t="n">
        <x:v>0.001</x:v>
      </x:c>
      <x:c r="X191" s="34" t="n">
        <x:v>0.001</x:v>
      </x:c>
      <x:c r="Y191" s="34" t="n">
        <x:v>0.01</x:v>
      </x:c>
      <x:c r="Z191" s="30" t="str">
        <x:f>IF(AND(D191="TRADING",I191&lt;&gt;"",L191&lt;&gt;"",M191&lt;&gt;"",N191&lt;&gt;"",O191&lt;&gt;""),"Yes","No")</x:f>
        <x:v>Yes</x:v>
      </x:c>
      <x:c r="AA191" s="39" t="str">
        <x:v>https://developers.binance.com/en/docs/catalog/core-trading-spot-trading/api/rest-api</x:v>
      </x:c>
    </x:row>
    <x:row r="192">
      <x:c r="A192" s="30" t="str">
        <x:v>DENTUSDT</x:v>
      </x:c>
      <x:c r="B192" s="30" t="str">
        <x:v>DENT</x:v>
      </x:c>
      <x:c r="C192" s="30" t="str">
        <x:v>USDT</x:v>
      </x:c>
      <x:c r="D192" s="30" t="str">
        <x:v>BREAK</x:v>
      </x:c>
      <x:c r="E192" s="31" t="b">
        <x:v>1</x:v>
      </x:c>
      <x:c r="F192" s="32" t="n">
        <x:v>43704</x:v>
      </x:c>
      <x:c r="G192" s="32" t="n">
        <x:v>43704.999999988424</x:v>
      </x:c>
      <x:c r="H192" s="33" t="n">
        <x:f>IF(F192="","",('Summary'!$B$5-F192)/365.25)</x:f>
        <x:v>6.935010243174387</x:v>
      </x:c>
      <x:c r="I192" s="34" t="n">
        <x:v>0.000038</x:v>
      </x:c>
      <x:c r="J192" s="35" t="n">
        <x:v>-0.36667</x:v>
      </x:c>
      <x:c r="K192" s="36" t="n">
        <x:v>23804504325</x:v>
      </x:c>
      <x:c r="L192" s="36" t="n">
        <x:v>1118715.167836</x:v>
      </x:c>
      <x:c r="M192" s="37" t="n">
        <x:v>17356</x:v>
      </x:c>
      <x:c r="N192" s="34" t="n">
        <x:v>0</x:v>
      </x:c>
      <x:c r="O192" s="34" t="n">
        <x:v>0</x:v>
      </x:c>
      <x:c r="P192" s="38" t="str">
        <x:f>IF(OR(N192="",O192="",N192=0,O192=0),"",(O192-N192)/((O192+N192)/2))</x:f>
      </x:c>
      <x:c r="Q192" s="34" t="n">
        <x:v>0.000047</x:v>
      </x:c>
      <x:c r="R192" s="34" t="n">
        <x:v>0.00006</x:v>
      </x:c>
      <x:c r="S192" s="34" t="n">
        <x:v>0.000035</x:v>
      </x:c>
      <x:c r="T192" s="32" t="n">
        <x:v>46209.26112309028</x:v>
      </x:c>
      <x:c r="U192" s="32" t="n">
        <x:v>46210.26112309028</x:v>
      </x:c>
      <x:c r="V192" s="34" t="n">
        <x:v>5</x:v>
      </x:c>
      <x:c r="W192" s="34" t="n">
        <x:v>1</x:v>
      </x:c>
      <x:c r="X192" s="34" t="n">
        <x:v>1</x:v>
      </x:c>
      <x:c r="Y192" s="34" t="n">
        <x:v>0.000001</x:v>
      </x:c>
      <x:c r="Z192" s="30" t="str">
        <x:f>IF(AND(D192="TRADING",I192&lt;&gt;"",L192&lt;&gt;"",M192&lt;&gt;"",N192&lt;&gt;"",O192&lt;&gt;""),"Yes","No")</x:f>
        <x:v>No</x:v>
      </x:c>
      <x:c r="AA192" s="39" t="str">
        <x:v>https://developers.binance.com/en/docs/catalog/core-trading-spot-trading/api/rest-api</x:v>
      </x:c>
    </x:row>
    <x:row r="193">
      <x:c r="A193" s="30" t="str">
        <x:v>DEXEUSDT</x:v>
      </x:c>
      <x:c r="B193" s="30" t="str">
        <x:v>DEXE</x:v>
      </x:c>
      <x:c r="C193" s="30" t="str">
        <x:v>USDT</x:v>
      </x:c>
      <x:c r="D193" s="30" t="str">
        <x:v>TRADING</x:v>
      </x:c>
      <x:c r="E193" s="31" t="b">
        <x:v>1</x:v>
      </x:c>
      <x:c r="F193" s="32" t="n">
        <x:v>44400</x:v>
      </x:c>
      <x:c r="G193" s="32" t="n">
        <x:v>44400.999999988424</x:v>
      </x:c>
      <x:c r="H193" s="33" t="n">
        <x:f>IF(F193="","",('Summary'!$B$5-F193)/365.25)</x:f>
        <x:v>5.029466095330445</x:v>
      </x:c>
      <x:c r="I193" s="34" t="n">
        <x:v>2.323</x:v>
      </x:c>
      <x:c r="J193" s="35" t="n">
        <x:v>-0.01107</x:v>
      </x:c>
      <x:c r="K193" s="36" t="n">
        <x:v>3945054.38</x:v>
      </x:c>
      <x:c r="L193" s="36" t="n">
        <x:v>9355521.92865</x:v>
      </x:c>
      <x:c r="M193" s="37" t="n">
        <x:v>74896</x:v>
      </x:c>
      <x:c r="N193" s="34" t="n">
        <x:v>2.322</x:v>
      </x:c>
      <x:c r="O193" s="34" t="n">
        <x:v>2.323</x:v>
      </x:c>
      <x:c r="P193" s="38" t="n">
        <x:f>IF(OR(N193="",O193="",N193=0,O193=0),"",(O193-N193)/((O193+N193)/2))</x:f>
        <x:v>0.00043057050592029705</x:v>
      </x:c>
      <x:c r="Q193" s="34" t="n">
        <x:v>2.37145576</x:v>
      </x:c>
      <x:c r="R193" s="34" t="n">
        <x:v>2.504</x:v>
      </x:c>
      <x:c r="S193" s="34" t="n">
        <x:v>2.273</x:v>
      </x:c>
      <x:c r="T193" s="32" t="n">
        <x:v>46236.01248197917</x:v>
      </x:c>
      <x:c r="U193" s="32" t="n">
        <x:v>46237.01248197917</x:v>
      </x:c>
      <x:c r="V193" s="34" t="n">
        <x:v>5</x:v>
      </x:c>
      <x:c r="W193" s="34" t="n">
        <x:v>0.01</x:v>
      </x:c>
      <x:c r="X193" s="34" t="n">
        <x:v>0.01</x:v>
      </x:c>
      <x:c r="Y193" s="34" t="n">
        <x:v>0.001</x:v>
      </x:c>
      <x:c r="Z193" s="30" t="str">
        <x:f>IF(AND(D193="TRADING",I193&lt;&gt;"",L193&lt;&gt;"",M193&lt;&gt;"",N193&lt;&gt;"",O193&lt;&gt;""),"Yes","No")</x:f>
        <x:v>Yes</x:v>
      </x:c>
      <x:c r="AA193" s="39" t="str">
        <x:v>https://developers.binance.com/en/docs/catalog/core-trading-spot-trading/api/rest-api</x:v>
      </x:c>
    </x:row>
    <x:row r="194">
      <x:c r="A194" s="30" t="str">
        <x:v>DFUSDT</x:v>
      </x:c>
      <x:c r="B194" s="30" t="str">
        <x:v>DF</x:v>
      </x:c>
      <x:c r="C194" s="30" t="str">
        <x:v>USDT</x:v>
      </x:c>
      <x:c r="D194" s="30" t="str">
        <x:v>BREAK</x:v>
      </x:c>
      <x:c r="E194" s="31" t="b">
        <x:v>1</x:v>
      </x:c>
      <x:c r="F194" s="32" t="n">
        <x:v>44463</x:v>
      </x:c>
      <x:c r="G194" s="32" t="n">
        <x:v>44463.999999988424</x:v>
      </x:c>
      <x:c r="H194" s="33" t="n">
        <x:f>IF(F194="","",('Summary'!$B$5-F194)/365.25)</x:f>
        <x:v>4.856981495741122</x:v>
      </x:c>
      <x:c r="I194" s="34" t="n">
        <x:v>0.00164</x:v>
      </x:c>
      <x:c r="J194" s="35" t="n">
        <x:v>-0.17588</x:v>
      </x:c>
      <x:c r="K194" s="36" t="n">
        <x:v>62177606</x:v>
      </x:c>
      <x:c r="L194" s="36" t="n">
        <x:v>107337.29702</x:v>
      </x:c>
      <x:c r="M194" s="37" t="n">
        <x:v>4001</x:v>
      </x:c>
      <x:c r="N194" s="34" t="n">
        <x:v>0</x:v>
      </x:c>
      <x:c r="O194" s="34" t="n">
        <x:v>0</x:v>
      </x:c>
      <x:c r="P194" s="38" t="str">
        <x:f>IF(OR(N194="",O194="",N194=0,O194=0),"",(O194-N194)/((O194+N194)/2))</x:f>
      </x:c>
      <x:c r="Q194" s="34" t="n">
        <x:v>0.0017263</x:v>
      </x:c>
      <x:c r="R194" s="34" t="n">
        <x:v>0.00212</x:v>
      </x:c>
      <x:c r="S194" s="34" t="n">
        <x:v>0.00129</x:v>
      </x:c>
      <x:c r="T194" s="32" t="n">
        <x:v>46209.26112309028</x:v>
      </x:c>
      <x:c r="U194" s="32" t="n">
        <x:v>46210.26112309028</x:v>
      </x:c>
      <x:c r="V194" s="34" t="n">
        <x:v>5</x:v>
      </x:c>
      <x:c r="W194" s="34" t="n">
        <x:v>1</x:v>
      </x:c>
      <x:c r="X194" s="34" t="n">
        <x:v>1</x:v>
      </x:c>
      <x:c r="Y194" s="34" t="n">
        <x:v>0.00001</x:v>
      </x:c>
      <x:c r="Z194" s="30" t="str">
        <x:f>IF(AND(D194="TRADING",I194&lt;&gt;"",L194&lt;&gt;"",M194&lt;&gt;"",N194&lt;&gt;"",O194&lt;&gt;""),"Yes","No")</x:f>
        <x:v>No</x:v>
      </x:c>
      <x:c r="AA194" s="39" t="str">
        <x:v>https://developers.binance.com/en/docs/catalog/core-trading-spot-trading/api/rest-api</x:v>
      </x:c>
    </x:row>
    <x:row r="195">
      <x:c r="A195" s="30" t="str">
        <x:v>DGBUSDT</x:v>
      </x:c>
      <x:c r="B195" s="30" t="str">
        <x:v>DGB</x:v>
      </x:c>
      <x:c r="C195" s="30" t="str">
        <x:v>USDT</x:v>
      </x:c>
      <x:c r="D195" s="30" t="str">
        <x:v>TRADING</x:v>
      </x:c>
      <x:c r="E195" s="31" t="b">
        <x:v>1</x:v>
      </x:c>
      <x:c r="F195" s="32" t="n">
        <x:v>44032</x:v>
      </x:c>
      <x:c r="G195" s="32" t="n">
        <x:v>44032.999999988424</x:v>
      </x:c>
      <x:c r="H195" s="33" t="n">
        <x:f>IF(F195="","",('Summary'!$B$5-F195)/365.25)</x:f>
        <x:v>6.0369951849950585</x:v>
      </x:c>
      <x:c r="I195" s="34" t="n">
        <x:v>0.0038</x:v>
      </x:c>
      <x:c r="J195" s="35" t="n">
        <x:v>-0.02062</x:v>
      </x:c>
      <x:c r="K195" s="36" t="n">
        <x:v>35845941.5</x:v>
      </x:c>
      <x:c r="L195" s="36" t="n">
        <x:v>135183.582124</x:v>
      </x:c>
      <x:c r="M195" s="37" t="n">
        <x:v>2665</x:v>
      </x:c>
      <x:c r="N195" s="34" t="n">
        <x:v>0.00378</x:v>
      </x:c>
      <x:c r="O195" s="34" t="n">
        <x:v>0.00379</x:v>
      </x:c>
      <x:c r="P195" s="38" t="n">
        <x:f>IF(OR(N195="",O195="",N195=0,O195=0),"",(O195-N195)/((O195+N195)/2))</x:f>
        <x:v>0.002642007926023785</x:v>
      </x:c>
      <x:c r="Q195" s="34" t="n">
        <x:v>0.00377124</x:v>
      </x:c>
      <x:c r="R195" s="34" t="n">
        <x:v>0.00389</x:v>
      </x:c>
      <x:c r="S195" s="34" t="n">
        <x:v>0.0037</x:v>
      </x:c>
      <x:c r="T195" s="32" t="n">
        <x:v>46236.01166413195</x:v>
      </x:c>
      <x:c r="U195" s="32" t="n">
        <x:v>46237.01166413195</x:v>
      </x:c>
      <x:c r="V195" s="34" t="n">
        <x:v>5</x:v>
      </x:c>
      <x:c r="W195" s="34" t="n">
        <x:v>0.1</x:v>
      </x:c>
      <x:c r="X195" s="34" t="n">
        <x:v>0.1</x:v>
      </x:c>
      <x:c r="Y195" s="34" t="n">
        <x:v>0.00001</x:v>
      </x:c>
      <x:c r="Z195" s="30" t="str">
        <x:f>IF(AND(D195="TRADING",I195&lt;&gt;"",L195&lt;&gt;"",M195&lt;&gt;"",N195&lt;&gt;"",O195&lt;&gt;""),"Yes","No")</x:f>
        <x:v>Yes</x:v>
      </x:c>
      <x:c r="AA195" s="39" t="str">
        <x:v>https://developers.binance.com/en/docs/catalog/core-trading-spot-trading/api/rest-api</x:v>
      </x:c>
    </x:row>
    <x:row r="196">
      <x:c r="A196" s="30" t="str">
        <x:v>DIAUSDT</x:v>
      </x:c>
      <x:c r="B196" s="30" t="str">
        <x:v>DIA</x:v>
      </x:c>
      <x:c r="C196" s="30" t="str">
        <x:v>USDT</x:v>
      </x:c>
      <x:c r="D196" s="30" t="str">
        <x:v>TRADING</x:v>
      </x:c>
      <x:c r="E196" s="31" t="b">
        <x:v>1</x:v>
      </x:c>
      <x:c r="F196" s="32" t="n">
        <x:v>44078</x:v>
      </x:c>
      <x:c r="G196" s="32" t="n">
        <x:v>44078.999999988424</x:v>
      </x:c>
      <x:c r="H196" s="33" t="n">
        <x:f>IF(F196="","",('Summary'!$B$5-F196)/365.25)</x:f>
        <x:v>5.911054048786982</x:v>
      </x:c>
      <x:c r="I196" s="34" t="n">
        <x:v>0.1114</x:v>
      </x:c>
      <x:c r="J196" s="35" t="n">
        <x:v>0.00906</x:v>
      </x:c>
      <x:c r="K196" s="36" t="n">
        <x:v>7784877.8</x:v>
      </x:c>
      <x:c r="L196" s="36" t="n">
        <x:v>858235.71583</x:v>
      </x:c>
      <x:c r="M196" s="37" t="n">
        <x:v>33814</x:v>
      </x:c>
      <x:c r="N196" s="34" t="n">
        <x:v>0.1114</x:v>
      </x:c>
      <x:c r="O196" s="34" t="n">
        <x:v>0.1116</x:v>
      </x:c>
      <x:c r="P196" s="38" t="n">
        <x:f>IF(OR(N196="",O196="",N196=0,O196=0),"",(O196-N196)/((O196+N196)/2))</x:f>
        <x:v>0.0017937219730942218</x:v>
      </x:c>
      <x:c r="Q196" s="34" t="n">
        <x:v>0.11024395</x:v>
      </x:c>
      <x:c r="R196" s="34" t="n">
        <x:v>0.1165</x:v>
      </x:c>
      <x:c r="S196" s="34" t="n">
        <x:v>0.1054</x:v>
      </x:c>
      <x:c r="T196" s="32" t="n">
        <x:v>46236.01247577546</x:v>
      </x:c>
      <x:c r="U196" s="32" t="n">
        <x:v>46237.01247577546</x:v>
      </x:c>
      <x:c r="V196" s="34" t="n">
        <x:v>5</x:v>
      </x:c>
      <x:c r="W196" s="34" t="n">
        <x:v>0.1</x:v>
      </x:c>
      <x:c r="X196" s="34" t="n">
        <x:v>0.1</x:v>
      </x:c>
      <x:c r="Y196" s="34" t="n">
        <x:v>0.0001</x:v>
      </x:c>
      <x:c r="Z196" s="30" t="str">
        <x:f>IF(AND(D196="TRADING",I196&lt;&gt;"",L196&lt;&gt;"",M196&lt;&gt;"",N196&lt;&gt;"",O196&lt;&gt;""),"Yes","No")</x:f>
        <x:v>Yes</x:v>
      </x:c>
      <x:c r="AA196" s="39" t="str">
        <x:v>https://developers.binance.com/en/docs/catalog/core-trading-spot-trading/api/rest-api</x:v>
      </x:c>
    </x:row>
    <x:row r="197">
      <x:c r="A197" s="30" t="str">
        <x:v>DNTUSDT</x:v>
      </x:c>
      <x:c r="B197" s="30" t="str">
        <x:v>DNT</x:v>
      </x:c>
      <x:c r="C197" s="30" t="str">
        <x:v>USDT</x:v>
      </x:c>
      <x:c r="D197" s="30" t="str">
        <x:v>BREAK</x:v>
      </x:c>
      <x:c r="E197" s="31" t="b">
        <x:v>1</x:v>
      </x:c>
      <x:c r="F197" s="32" t="n">
        <x:v>44145</x:v>
      </x:c>
      <x:c r="G197" s="32" t="n">
        <x:v>44145.999999988424</x:v>
      </x:c>
      <x:c r="H197" s="33" t="n">
        <x:f>IF(F197="","",('Summary'!$B$5-F197)/365.25)</x:f>
        <x:v>5.72761804604913</x:v>
      </x:c>
      <x:c r="I197" s="34" t="n">
        <x:v>0.036</x:v>
      </x:c>
      <x:c r="J197" s="35" t="n">
        <x:v>-0.06005</x:v>
      </x:c>
      <x:c r="K197" s="36" t="n">
        <x:v>20611766</x:v>
      </x:c>
      <x:c r="L197" s="36" t="n">
        <x:v>775093.2743</x:v>
      </x:c>
      <x:c r="M197" s="37" t="n">
        <x:v>4001</x:v>
      </x:c>
      <x:c r="N197" s="34" t="n">
        <x:v>0</x:v>
      </x:c>
      <x:c r="O197" s="34" t="n">
        <x:v>0</x:v>
      </x:c>
      <x:c r="P197" s="38" t="str">
        <x:f>IF(OR(N197="",O197="",N197=0,O197=0),"",(O197-N197)/((O197+N197)/2))</x:f>
      </x:c>
      <x:c r="Q197" s="34" t="n">
        <x:v>0.03760441</x:v>
      </x:c>
      <x:c r="R197" s="34" t="n">
        <x:v>0.0404</x:v>
      </x:c>
      <x:c r="S197" s="34" t="n">
        <x:v>0.0353</x:v>
      </x:c>
      <x:c r="T197" s="32" t="n">
        <x:v>46209.26112309028</x:v>
      </x:c>
      <x:c r="U197" s="32" t="n">
        <x:v>46210.26112309028</x:v>
      </x:c>
      <x:c r="V197" s="34" t="n">
        <x:v>10</x:v>
      </x:c>
      <x:c r="W197" s="34" t="n">
        <x:v>1</x:v>
      </x:c>
      <x:c r="X197" s="34" t="n">
        <x:v>1</x:v>
      </x:c>
      <x:c r="Y197" s="34" t="n">
        <x:v>0.0001</x:v>
      </x:c>
      <x:c r="Z197" s="30" t="str">
        <x:f>IF(AND(D197="TRADING",I197&lt;&gt;"",L197&lt;&gt;"",M197&lt;&gt;"",N197&lt;&gt;"",O197&lt;&gt;""),"Yes","No")</x:f>
        <x:v>No</x:v>
      </x:c>
      <x:c r="AA197" s="39" t="str">
        <x:v>https://developers.binance.com/en/docs/catalog/core-trading-spot-trading/api/rest-api</x:v>
      </x:c>
    </x:row>
    <x:row r="198">
      <x:c r="A198" s="30" t="str">
        <x:v>DOCKUSDT</x:v>
      </x:c>
      <x:c r="B198" s="30" t="str">
        <x:v>DOCK</x:v>
      </x:c>
      <x:c r="C198" s="30" t="str">
        <x:v>USDT</x:v>
      </x:c>
      <x:c r="D198" s="30" t="str">
        <x:v>BREAK</x:v>
      </x:c>
      <x:c r="E198" s="31" t="b">
        <x:v>1</x:v>
      </x:c>
      <x:c r="F198" s="32" t="n">
        <x:v>43704</x:v>
      </x:c>
      <x:c r="G198" s="32" t="n">
        <x:v>43704.999999988424</x:v>
      </x:c>
      <x:c r="H198" s="33" t="n">
        <x:f>IF(F198="","",('Summary'!$B$5-F198)/365.25)</x:f>
        <x:v>6.935010243174387</x:v>
      </x:c>
      <x:c r="I198" s="34" t="n">
        <x:v>0.0039</x:v>
      </x:c>
      <x:c r="J198" s="35" t="n">
        <x:v>-0.06475</x:v>
      </x:c>
      <x:c r="K198" s="36" t="n">
        <x:v>116266154</x:v>
      </x:c>
      <x:c r="L198" s="36" t="n">
        <x:v>471080.89641</x:v>
      </x:c>
      <x:c r="M198" s="37" t="n">
        <x:v>4001</x:v>
      </x:c>
      <x:c r="N198" s="34" t="n">
        <x:v>0</x:v>
      </x:c>
      <x:c r="O198" s="34" t="n">
        <x:v>0</x:v>
      </x:c>
      <x:c r="P198" s="38" t="str">
        <x:f>IF(OR(N198="",O198="",N198=0,O198=0),"",(O198-N198)/((O198+N198)/2))</x:f>
      </x:c>
      <x:c r="Q198" s="34" t="n">
        <x:v>0.00405175</x:v>
      </x:c>
      <x:c r="R198" s="34" t="n">
        <x:v>0.00437</x:v>
      </x:c>
      <x:c r="S198" s="34" t="n">
        <x:v>0.00374</x:v>
      </x:c>
      <x:c r="T198" s="32" t="n">
        <x:v>46209.26112309028</x:v>
      </x:c>
      <x:c r="U198" s="32" t="n">
        <x:v>46210.26112309028</x:v>
      </x:c>
      <x:c r="V198" s="34" t="n">
        <x:v>5</x:v>
      </x:c>
      <x:c r="W198" s="34" t="n">
        <x:v>1</x:v>
      </x:c>
      <x:c r="X198" s="34" t="n">
        <x:v>1</x:v>
      </x:c>
      <x:c r="Y198" s="34" t="n">
        <x:v>0.00001</x:v>
      </x:c>
      <x:c r="Z198" s="30" t="str">
        <x:f>IF(AND(D198="TRADING",I198&lt;&gt;"",L198&lt;&gt;"",M198&lt;&gt;"",N198&lt;&gt;"",O198&lt;&gt;""),"Yes","No")</x:f>
        <x:v>No</x:v>
      </x:c>
      <x:c r="AA198" s="39" t="str">
        <x:v>https://developers.binance.com/en/docs/catalog/core-trading-spot-trading/api/rest-api</x:v>
      </x:c>
    </x:row>
    <x:row r="199">
      <x:c r="A199" s="30" t="str">
        <x:v>DODOUSDT</x:v>
      </x:c>
      <x:c r="B199" s="30" t="str">
        <x:v>DODO</x:v>
      </x:c>
      <x:c r="C199" s="30" t="str">
        <x:v>USDT</x:v>
      </x:c>
      <x:c r="D199" s="30" t="str">
        <x:v>TRADING</x:v>
      </x:c>
      <x:c r="E199" s="31" t="b">
        <x:v>1</x:v>
      </x:c>
      <x:c r="F199" s="32" t="n">
        <x:v>44246</x:v>
      </x:c>
      <x:c r="G199" s="32" t="n">
        <x:v>44246.999999988424</x:v>
      </x:c>
      <x:c r="H199" s="33" t="n">
        <x:f>IF(F199="","",('Summary'!$B$5-F199)/365.25)</x:f>
        <x:v>5.451095116548788</x:v>
      </x:c>
      <x:c r="I199" s="34" t="n">
        <x:v>0.01843</x:v>
      </x:c>
      <x:c r="J199" s="35" t="n">
        <x:v>0.00381</x:v>
      </x:c>
      <x:c r="K199" s="36" t="n">
        <x:v>108710140.6</x:v>
      </x:c>
      <x:c r="L199" s="36" t="n">
        <x:v>2058813.820442</x:v>
      </x:c>
      <x:c r="M199" s="37" t="n">
        <x:v>18370</x:v>
      </x:c>
      <x:c r="N199" s="34" t="n">
        <x:v>0.01842</x:v>
      </x:c>
      <x:c r="O199" s="34" t="n">
        <x:v>0.01844</x:v>
      </x:c>
      <x:c r="P199" s="38" t="n">
        <x:f>IF(OR(N199="",O199="",N199=0,O199=0),"",(O199-N199)/((O199+N199)/2))</x:f>
        <x:v>0.0010851871947912455</x:v>
      </x:c>
      <x:c r="Q199" s="34" t="n">
        <x:v>0.01893856</x:v>
      </x:c>
      <x:c r="R199" s="34" t="n">
        <x:v>0.02018</x:v>
      </x:c>
      <x:c r="S199" s="34" t="n">
        <x:v>0.01828</x:v>
      </x:c>
      <x:c r="T199" s="32" t="n">
        <x:v>46236.012233298614</x:v>
      </x:c>
      <x:c r="U199" s="32" t="n">
        <x:v>46237.012233298614</x:v>
      </x:c>
      <x:c r="V199" s="34" t="n">
        <x:v>5</x:v>
      </x:c>
      <x:c r="W199" s="34" t="n">
        <x:v>0.1</x:v>
      </x:c>
      <x:c r="X199" s="34" t="n">
        <x:v>0.1</x:v>
      </x:c>
      <x:c r="Y199" s="34" t="n">
        <x:v>0.00001</x:v>
      </x:c>
      <x:c r="Z199" s="30" t="str">
        <x:f>IF(AND(D199="TRADING",I199&lt;&gt;"",L199&lt;&gt;"",M199&lt;&gt;"",N199&lt;&gt;"",O199&lt;&gt;""),"Yes","No")</x:f>
        <x:v>Yes</x:v>
      </x:c>
      <x:c r="AA199" s="39" t="str">
        <x:v>https://developers.binance.com/en/docs/catalog/core-trading-spot-trading/api/rest-api</x:v>
      </x:c>
    </x:row>
    <x:row r="200">
      <x:c r="A200" s="30" t="str">
        <x:v>DOGEUSDT</x:v>
      </x:c>
      <x:c r="B200" s="30" t="str">
        <x:v>DOGE</x:v>
      </x:c>
      <x:c r="C200" s="30" t="str">
        <x:v>USDT</x:v>
      </x:c>
      <x:c r="D200" s="30" t="str">
        <x:v>TRADING</x:v>
      </x:c>
      <x:c r="E200" s="31" t="b">
        <x:v>1</x:v>
      </x:c>
      <x:c r="F200" s="32" t="n">
        <x:v>43651</x:v>
      </x:c>
      <x:c r="G200" s="32" t="n">
        <x:v>43651.999999988424</x:v>
      </x:c>
      <x:c r="H200" s="33" t="n">
        <x:f>IF(F200="","",('Summary'!$B$5-F200)/365.25)</x:f>
        <x:v>7.080116334892389</x:v>
      </x:c>
      <x:c r="I200" s="34" t="n">
        <x:v>0.07063</x:v>
      </x:c>
      <x:c r="J200" s="35" t="n">
        <x:v>0.01949</x:v>
      </x:c>
      <x:c r="K200" s="36" t="n">
        <x:v>277879326</x:v>
      </x:c>
      <x:c r="L200" s="36" t="n">
        <x:v>19562744.98727</x:v>
      </x:c>
      <x:c r="M200" s="37" t="n">
        <x:v>174992</x:v>
      </x:c>
      <x:c r="N200" s="34" t="n">
        <x:v>0.07062</x:v>
      </x:c>
      <x:c r="O200" s="34" t="n">
        <x:v>0.07063</x:v>
      </x:c>
      <x:c r="P200" s="38" t="n">
        <x:f>IF(OR(N200="",O200="",N200=0,O200=0),"",(O200-N200)/((O200+N200)/2))</x:f>
        <x:v>0.0001415929203539274</x:v>
      </x:c>
      <x:c r="Q200" s="34" t="n">
        <x:v>0.07040015</x:v>
      </x:c>
      <x:c r="R200" s="34" t="n">
        <x:v>0.07147</x:v>
      </x:c>
      <x:c r="S200" s="34" t="n">
        <x:v>0.06913</x:v>
      </x:c>
      <x:c r="T200" s="32" t="n">
        <x:v>46236.01247018518</x:v>
      </x:c>
      <x:c r="U200" s="32" t="n">
        <x:v>46237.01247018518</x:v>
      </x:c>
      <x:c r="V200" s="34" t="n">
        <x:v>1</x:v>
      </x:c>
      <x:c r="W200" s="34" t="n">
        <x:v>1</x:v>
      </x:c>
      <x:c r="X200" s="34" t="n">
        <x:v>1</x:v>
      </x:c>
      <x:c r="Y200" s="34" t="n">
        <x:v>0.00001</x:v>
      </x:c>
      <x:c r="Z200" s="30" t="str">
        <x:f>IF(AND(D200="TRADING",I200&lt;&gt;"",L200&lt;&gt;"",M200&lt;&gt;"",N200&lt;&gt;"",O200&lt;&gt;""),"Yes","No")</x:f>
        <x:v>Yes</x:v>
      </x:c>
      <x:c r="AA200" s="39" t="str">
        <x:v>https://developers.binance.com/en/docs/catalog/core-trading-spot-trading/api/rest-api</x:v>
      </x:c>
    </x:row>
    <x:row r="201">
      <x:c r="A201" s="30" t="str">
        <x:v>DOGSUSDT</x:v>
      </x:c>
      <x:c r="B201" s="30" t="str">
        <x:v>DOGS</x:v>
      </x:c>
      <x:c r="C201" s="30" t="str">
        <x:v>USDT</x:v>
      </x:c>
      <x:c r="D201" s="30" t="str">
        <x:v>TRADING</x:v>
      </x:c>
      <x:c r="E201" s="31" t="b">
        <x:v>1</x:v>
      </x:c>
      <x:c r="F201" s="32" t="n">
        <x:v>45530</x:v>
      </x:c>
      <x:c r="G201" s="32" t="n">
        <x:v>45530.999999988424</x:v>
      </x:c>
      <x:c r="H201" s="33" t="n">
        <x:f>IF(F201="","",('Summary'!$B$5-F201)/365.25)</x:f>
        <x:v>1.9356947058711704</x:v>
      </x:c>
      <x:c r="I201" s="34" t="n">
        <x:v>0.00003429</x:v>
      </x:c>
      <x:c r="J201" s="35" t="n">
        <x:v>0.00322</x:v>
      </x:c>
      <x:c r="K201" s="36" t="n">
        <x:v>4572930125</x:v>
      </x:c>
      <x:c r="L201" s="36" t="n">
        <x:v>158071.12085471</x:v>
      </x:c>
      <x:c r="M201" s="37" t="n">
        <x:v>3965</x:v>
      </x:c>
      <x:c r="N201" s="34" t="n">
        <x:v>0.00003429</x:v>
      </x:c>
      <x:c r="O201" s="34" t="n">
        <x:v>0.00003432</x:v>
      </x:c>
      <x:c r="P201" s="38" t="n">
        <x:f>IF(OR(N201="",O201="",N201=0,O201=0),"",(O201-N201)/((O201+N201)/2))</x:f>
        <x:v>0.0008745080891997674</x:v>
      </x:c>
      <x:c r="Q201" s="34" t="n">
        <x:v>0.00003457</x:v>
      </x:c>
      <x:c r="R201" s="34" t="n">
        <x:v>0.00003511</x:v>
      </x:c>
      <x:c r="S201" s="34" t="n">
        <x:v>0.00003416</x:v>
      </x:c>
      <x:c r="T201" s="32" t="n">
        <x:v>46236.012478425924</x:v>
      </x:c>
      <x:c r="U201" s="32" t="n">
        <x:v>46237.012478425924</x:v>
      </x:c>
      <x:c r="V201" s="34" t="n">
        <x:v>1</x:v>
      </x:c>
      <x:c r="W201" s="34" t="n">
        <x:v>1</x:v>
      </x:c>
      <x:c r="X201" s="34" t="n">
        <x:v>1</x:v>
      </x:c>
      <x:c r="Y201" s="34" t="n">
        <x:v>1e-8</x:v>
      </x:c>
      <x:c r="Z201" s="30" t="str">
        <x:f>IF(AND(D201="TRADING",I201&lt;&gt;"",L201&lt;&gt;"",M201&lt;&gt;"",N201&lt;&gt;"",O201&lt;&gt;""),"Yes","No")</x:f>
        <x:v>Yes</x:v>
      </x:c>
      <x:c r="AA201" s="39" t="str">
        <x:v>https://developers.binance.com/en/docs/catalog/core-trading-spot-trading/api/rest-api</x:v>
      </x:c>
    </x:row>
    <x:row r="202">
      <x:c r="A202" s="30" t="str">
        <x:v>DOLOUSDT</x:v>
      </x:c>
      <x:c r="B202" s="30" t="str">
        <x:v>DOLO</x:v>
      </x:c>
      <x:c r="C202" s="30" t="str">
        <x:v>USDT</x:v>
      </x:c>
      <x:c r="D202" s="30" t="str">
        <x:v>TRADING</x:v>
      </x:c>
      <x:c r="E202" s="31" t="b">
        <x:v>1</x:v>
      </x:c>
      <x:c r="F202" s="32" t="n">
        <x:v>45896</x:v>
      </x:c>
      <x:c r="G202" s="32" t="n">
        <x:v>45896.999999988424</x:v>
      </x:c>
      <x:c r="H202" s="33" t="n">
        <x:f>IF(F202="","",('Summary'!$B$5-F202)/365.25)</x:f>
        <x:v>0.9336413177808213</x:v>
      </x:c>
      <x:c r="I202" s="34" t="n">
        <x:v>0.02163</x:v>
      </x:c>
      <x:c r="J202" s="35" t="n">
        <x:v>0.01217</x:v>
      </x:c>
      <x:c r="K202" s="36" t="n">
        <x:v>3078604.2</x:v>
      </x:c>
      <x:c r="L202" s="36" t="n">
        <x:v>66832.390196</x:v>
      </x:c>
      <x:c r="M202" s="37" t="n">
        <x:v>1713</x:v>
      </x:c>
      <x:c r="N202" s="34" t="n">
        <x:v>0.02155</x:v>
      </x:c>
      <x:c r="O202" s="34" t="n">
        <x:v>0.02157</x:v>
      </x:c>
      <x:c r="P202" s="38" t="n">
        <x:f>IF(OR(N202="",O202="",N202=0,O202=0),"",(O202-N202)/((O202+N202)/2))</x:f>
        <x:v>0.0009276437847866042</x:v>
      </x:c>
      <x:c r="Q202" s="34" t="n">
        <x:v>0.02170867</x:v>
      </x:c>
      <x:c r="R202" s="34" t="n">
        <x:v>0.02221</x:v>
      </x:c>
      <x:c r="S202" s="34" t="n">
        <x:v>0.02113</x:v>
      </x:c>
      <x:c r="T202" s="32" t="n">
        <x:v>46236.01238622685</x:v>
      </x:c>
      <x:c r="U202" s="32" t="n">
        <x:v>46237.01238622685</x:v>
      </x:c>
      <x:c r="V202" s="34" t="n">
        <x:v>5</x:v>
      </x:c>
      <x:c r="W202" s="34" t="n">
        <x:v>0.1</x:v>
      </x:c>
      <x:c r="X202" s="34" t="n">
        <x:v>0.1</x:v>
      </x:c>
      <x:c r="Y202" s="34" t="n">
        <x:v>0.00001</x:v>
      </x:c>
      <x:c r="Z202" s="30" t="str">
        <x:f>IF(AND(D202="TRADING",I202&lt;&gt;"",L202&lt;&gt;"",M202&lt;&gt;"",N202&lt;&gt;"",O202&lt;&gt;""),"Yes","No")</x:f>
        <x:v>Yes</x:v>
      </x:c>
      <x:c r="AA202" s="39" t="str">
        <x:v>https://developers.binance.com/en/docs/catalog/core-trading-spot-trading/api/rest-api</x:v>
      </x:c>
    </x:row>
    <x:row r="203">
      <x:c r="A203" s="30" t="str">
        <x:v>DOTUSDT</x:v>
      </x:c>
      <x:c r="B203" s="30" t="str">
        <x:v>DOT</x:v>
      </x:c>
      <x:c r="C203" s="30" t="str">
        <x:v>USDT</x:v>
      </x:c>
      <x:c r="D203" s="30" t="str">
        <x:v>TRADING</x:v>
      </x:c>
      <x:c r="E203" s="31" t="b">
        <x:v>1</x:v>
      </x:c>
      <x:c r="F203" s="32" t="n">
        <x:v>44061</x:v>
      </x:c>
      <x:c r="G203" s="32" t="n">
        <x:v>44061.999999988424</x:v>
      </x:c>
      <x:c r="H203" s="33" t="n">
        <x:f>IF(F203="","",('Summary'!$B$5-F203)/365.25)</x:f>
        <x:v>5.957597512168227</x:v>
      </x:c>
      <x:c r="I203" s="34" t="n">
        <x:v>0.796</x:v>
      </x:c>
      <x:c r="J203" s="35" t="n">
        <x:v>0.01401</x:v>
      </x:c>
      <x:c r="K203" s="36" t="n">
        <x:v>4906794.33</x:v>
      </x:c>
      <x:c r="L203" s="36" t="n">
        <x:v>3896743.53444</x:v>
      </x:c>
      <x:c r="M203" s="37" t="n">
        <x:v>23483</x:v>
      </x:c>
      <x:c r="N203" s="34" t="n">
        <x:v>0.796</x:v>
      </x:c>
      <x:c r="O203" s="34" t="n">
        <x:v>0.797</x:v>
      </x:c>
      <x:c r="P203" s="38" t="n">
        <x:f>IF(OR(N203="",O203="",N203=0,O203=0),"",(O203-N203)/((O203+N203)/2))</x:f>
        <x:v>0.001255492780916511</x:v>
      </x:c>
      <x:c r="Q203" s="34" t="n">
        <x:v>0.79415261</x:v>
      </x:c>
      <x:c r="R203" s="34" t="n">
        <x:v>0.802</x:v>
      </x:c>
      <x:c r="S203" s="34" t="n">
        <x:v>0.781</x:v>
      </x:c>
      <x:c r="T203" s="32" t="n">
        <x:v>46236.012486921296</x:v>
      </x:c>
      <x:c r="U203" s="32" t="n">
        <x:v>46237.012486921296</x:v>
      </x:c>
      <x:c r="V203" s="34" t="n">
        <x:v>5</x:v>
      </x:c>
      <x:c r="W203" s="34" t="n">
        <x:v>0.01</x:v>
      </x:c>
      <x:c r="X203" s="34" t="n">
        <x:v>0.01</x:v>
      </x:c>
      <x:c r="Y203" s="34" t="n">
        <x:v>0.001</x:v>
      </x:c>
      <x:c r="Z203" s="30" t="str">
        <x:f>IF(AND(D203="TRADING",I203&lt;&gt;"",L203&lt;&gt;"",M203&lt;&gt;"",N203&lt;&gt;"",O203&lt;&gt;""),"Yes","No")</x:f>
        <x:v>Yes</x:v>
      </x:c>
      <x:c r="AA203" s="39" t="str">
        <x:v>https://developers.binance.com/en/docs/catalog/core-trading-spot-trading/api/rest-api</x:v>
      </x:c>
    </x:row>
    <x:row r="204">
      <x:c r="A204" s="30" t="str">
        <x:v>DRAMBUSDT</x:v>
      </x:c>
      <x:c r="B204" s="30" t="str">
        <x:v>DRAMB</x:v>
      </x:c>
      <x:c r="C204" s="30" t="str">
        <x:v>USDT</x:v>
      </x:c>
      <x:c r="D204" s="30" t="str">
        <x:v>TRADING</x:v>
      </x:c>
      <x:c r="E204" s="31" t="b">
        <x:v>1</x:v>
      </x:c>
      <x:c r="F204" s="32" t="n">
        <x:v>46210</x:v>
      </x:c>
      <x:c r="G204" s="32" t="n">
        <x:v>46210.999999988424</x:v>
      </x:c>
      <x:c r="H204" s="33" t="n">
        <x:f>IF(F204="","",('Summary'!$B$5-F204)/365.25)</x:f>
        <x:v>0.07395617062134144</x:v>
      </x:c>
      <x:c r="I204" s="34" t="n">
        <x:v>51.77</x:v>
      </x:c>
      <x:c r="J204" s="35" t="n">
        <x:v>0.032709999999999996</x:v>
      </x:c>
      <x:c r="K204" s="36" t="n">
        <x:v>38260.73</x:v>
      </x:c>
      <x:c r="L204" s="36" t="n">
        <x:v>1962021.4099</x:v>
      </x:c>
      <x:c r="M204" s="37" t="n">
        <x:v>31077</x:v>
      </x:c>
      <x:c r="N204" s="34" t="n">
        <x:v>51.81</x:v>
      </x:c>
      <x:c r="O204" s="34" t="n">
        <x:v>51.82</x:v>
      </x:c>
      <x:c r="P204" s="38" t="n">
        <x:f>IF(OR(N204="",O204="",N204=0,O204=0),"",(O204-N204)/((O204+N204)/2))</x:f>
        <x:v>0.0001929943066679149</x:v>
      </x:c>
      <x:c r="Q204" s="34" t="n">
        <x:v>51.28029209</x:v>
      </x:c>
      <x:c r="R204" s="34" t="n">
        <x:v>52.78</x:v>
      </x:c>
      <x:c r="S204" s="34" t="n">
        <x:v>50.04</x:v>
      </x:c>
      <x:c r="T204" s="32" t="n">
        <x:v>46236.012483356484</x:v>
      </x:c>
      <x:c r="U204" s="32" t="n">
        <x:v>46237.012483356484</x:v>
      </x:c>
      <x:c r="V204" s="34" t="n">
        <x:v>5</x:v>
      </x:c>
      <x:c r="W204" s="34" t="n">
        <x:v>0.01</x:v>
      </x:c>
      <x:c r="X204" s="34" t="n">
        <x:v>0.01</x:v>
      </x:c>
      <x:c r="Y204" s="34" t="n">
        <x:v>0.01</x:v>
      </x:c>
      <x:c r="Z204" s="30" t="str">
        <x:f>IF(AND(D204="TRADING",I204&lt;&gt;"",L204&lt;&gt;"",M204&lt;&gt;"",N204&lt;&gt;"",O204&lt;&gt;""),"Yes","No")</x:f>
        <x:v>Yes</x:v>
      </x:c>
      <x:c r="AA204" s="39" t="str">
        <x:v>https://developers.binance.com/en/docs/catalog/core-trading-spot-trading/api/rest-api</x:v>
      </x:c>
    </x:row>
    <x:row r="205">
      <x:c r="A205" s="30" t="str">
        <x:v>DREPUSDT</x:v>
      </x:c>
      <x:c r="B205" s="30" t="str">
        <x:v>DREP</x:v>
      </x:c>
      <x:c r="C205" s="30" t="str">
        <x:v>USDT</x:v>
      </x:c>
      <x:c r="D205" s="30" t="str">
        <x:v>BREAK</x:v>
      </x:c>
      <x:c r="E205" s="31" t="b">
        <x:v>1</x:v>
      </x:c>
      <x:c r="F205" s="32" t="n">
        <x:v>43846</x:v>
      </x:c>
      <x:c r="G205" s="32" t="n">
        <x:v>43846.999999988424</x:v>
      </x:c>
      <x:c r="H205" s="33" t="n">
        <x:f>IF(F205="","",('Summary'!$B$5-F205)/365.25)</x:f>
        <x:v>6.546235431401629</x:v>
      </x:c>
      <x:c r="I205" s="34" t="n">
        <x:v>0.0256</x:v>
      </x:c>
      <x:c r="J205" s="35" t="n">
        <x:v>-0.18211</x:v>
      </x:c>
      <x:c r="K205" s="36" t="n">
        <x:v>13959700</x:v>
      </x:c>
      <x:c r="L205" s="36" t="n">
        <x:v>404593.4049</x:v>
      </x:c>
      <x:c r="M205" s="37" t="n">
        <x:v>4001</x:v>
      </x:c>
      <x:c r="N205" s="34" t="n">
        <x:v>0</x:v>
      </x:c>
      <x:c r="O205" s="34" t="n">
        <x:v>0</x:v>
      </x:c>
      <x:c r="P205" s="38" t="str">
        <x:f>IF(OR(N205="",O205="",N205=0,O205=0),"",(O205-N205)/((O205+N205)/2))</x:f>
      </x:c>
      <x:c r="Q205" s="34" t="n">
        <x:v>0.02898296</x:v>
      </x:c>
      <x:c r="R205" s="34" t="n">
        <x:v>0.0333</x:v>
      </x:c>
      <x:c r="S205" s="34" t="n">
        <x:v>0.025</x:v>
      </x:c>
      <x:c r="T205" s="32" t="n">
        <x:v>46209.26112309028</x:v>
      </x:c>
      <x:c r="U205" s="32" t="n">
        <x:v>46210.26112309028</x:v>
      </x:c>
      <x:c r="V205" s="34" t="n">
        <x:v>5</x:v>
      </x:c>
      <x:c r="W205" s="34" t="n">
        <x:v>1</x:v>
      </x:c>
      <x:c r="X205" s="34" t="n">
        <x:v>1</x:v>
      </x:c>
      <x:c r="Y205" s="34" t="n">
        <x:v>0.0001</x:v>
      </x:c>
      <x:c r="Z205" s="30" t="str">
        <x:f>IF(AND(D205="TRADING",I205&lt;&gt;"",L205&lt;&gt;"",M205&lt;&gt;"",N205&lt;&gt;"",O205&lt;&gt;""),"Yes","No")</x:f>
        <x:v>No</x:v>
      </x:c>
      <x:c r="AA205" s="39" t="str">
        <x:v>https://developers.binance.com/en/docs/catalog/core-trading-spot-trading/api/rest-api</x:v>
      </x:c>
    </x:row>
    <x:row r="206">
      <x:c r="A206" s="30" t="str">
        <x:v>DUSDT</x:v>
      </x:c>
      <x:c r="B206" s="30" t="str">
        <x:v>D</x:v>
      </x:c>
      <x:c r="C206" s="30" t="str">
        <x:v>USDT</x:v>
      </x:c>
      <x:c r="D206" s="30" t="str">
        <x:v>BREAK</x:v>
      </x:c>
      <x:c r="E206" s="31" t="b">
        <x:v>1</x:v>
      </x:c>
      <x:c r="F206" s="32" t="n">
        <x:v>45666</x:v>
      </x:c>
      <x:c r="G206" s="32" t="n">
        <x:v>45666.999999988424</x:v>
      </x:c>
      <x:c r="H206" s="33" t="n">
        <x:f>IF(F206="","",('Summary'!$B$5-F206)/365.25)</x:f>
        <x:v>1.5633469988212045</x:v>
      </x:c>
      <x:c r="I206" s="34" t="n">
        <x:v>0.00461</x:v>
      </x:c>
      <x:c r="J206" s="35" t="n">
        <x:v>-0.13832</x:v>
      </x:c>
      <x:c r="K206" s="36" t="n">
        <x:v>361993662</x:v>
      </x:c>
      <x:c r="L206" s="36" t="n">
        <x:v>1832194.32076</x:v>
      </x:c>
      <x:c r="M206" s="37" t="n">
        <x:v>28386</x:v>
      </x:c>
      <x:c r="N206" s="34" t="n">
        <x:v>0</x:v>
      </x:c>
      <x:c r="O206" s="34" t="n">
        <x:v>0</x:v>
      </x:c>
      <x:c r="P206" s="38" t="str">
        <x:f>IF(OR(N206="",O206="",N206=0,O206=0),"",(O206-N206)/((O206+N206)/2))</x:f>
      </x:c>
      <x:c r="Q206" s="34" t="n">
        <x:v>0.0050614</x:v>
      </x:c>
      <x:c r="R206" s="34" t="n">
        <x:v>0.006</x:v>
      </x:c>
      <x:c r="S206" s="34" t="n">
        <x:v>0.00442</x:v>
      </x:c>
      <x:c r="T206" s="32" t="n">
        <x:v>46209.26112309028</x:v>
      </x:c>
      <x:c r="U206" s="32" t="n">
        <x:v>46210.26112309028</x:v>
      </x:c>
      <x:c r="V206" s="34" t="n">
        <x:v>5</x:v>
      </x:c>
      <x:c r="W206" s="34" t="n">
        <x:v>1</x:v>
      </x:c>
      <x:c r="X206" s="34" t="n">
        <x:v>1</x:v>
      </x:c>
      <x:c r="Y206" s="34" t="n">
        <x:v>0.00001</x:v>
      </x:c>
      <x:c r="Z206" s="30" t="str">
        <x:f>IF(AND(D206="TRADING",I206&lt;&gt;"",L206&lt;&gt;"",M206&lt;&gt;"",N206&lt;&gt;"",O206&lt;&gt;""),"Yes","No")</x:f>
        <x:v>No</x:v>
      </x:c>
      <x:c r="AA206" s="39" t="str">
        <x:v>https://developers.binance.com/en/docs/catalog/core-trading-spot-trading/api/rest-api</x:v>
      </x:c>
    </x:row>
    <x:row r="207">
      <x:c r="A207" s="30" t="str">
        <x:v>DUSKUSDT</x:v>
      </x:c>
      <x:c r="B207" s="30" t="str">
        <x:v>DUSK</x:v>
      </x:c>
      <x:c r="C207" s="30" t="str">
        <x:v>USDT</x:v>
      </x:c>
      <x:c r="D207" s="30" t="str">
        <x:v>TRADING</x:v>
      </x:c>
      <x:c r="E207" s="31" t="b">
        <x:v>1</x:v>
      </x:c>
      <x:c r="F207" s="32" t="n">
        <x:v>43668</x:v>
      </x:c>
      <x:c r="G207" s="32" t="n">
        <x:v>43668.999999988424</x:v>
      </x:c>
      <x:c r="H207" s="33" t="n">
        <x:f>IF(F207="","",('Summary'!$B$5-F207)/365.25)</x:f>
        <x:v>7.033572871511143</x:v>
      </x:c>
      <x:c r="I207" s="34" t="n">
        <x:v>0.0609</x:v>
      </x:c>
      <x:c r="J207" s="35" t="n">
        <x:v>0.07407</x:v>
      </x:c>
      <x:c r="K207" s="36" t="n">
        <x:v>4867427</x:v>
      </x:c>
      <x:c r="L207" s="36" t="n">
        <x:v>291357.0529</x:v>
      </x:c>
      <x:c r="M207" s="37" t="n">
        <x:v>4967</x:v>
      </x:c>
      <x:c r="N207" s="34" t="n">
        <x:v>0.0609</x:v>
      </x:c>
      <x:c r="O207" s="34" t="n">
        <x:v>0.0611</x:v>
      </x:c>
      <x:c r="P207" s="38" t="n">
        <x:f>IF(OR(N207="",O207="",N207=0,O207=0),"",(O207-N207)/((O207+N207)/2))</x:f>
        <x:v>0.003278688524590144</x:v>
      </x:c>
      <x:c r="Q207" s="34" t="n">
        <x:v>0.05985854</x:v>
      </x:c>
      <x:c r="R207" s="34" t="n">
        <x:v>0.0623</x:v>
      </x:c>
      <x:c r="S207" s="34" t="n">
        <x:v>0.0564</x:v>
      </x:c>
      <x:c r="T207" s="32" t="n">
        <x:v>46236.01242138889</x:v>
      </x:c>
      <x:c r="U207" s="32" t="n">
        <x:v>46237.01242138889</x:v>
      </x:c>
      <x:c r="V207" s="34" t="n">
        <x:v>5</x:v>
      </x:c>
      <x:c r="W207" s="34" t="n">
        <x:v>1</x:v>
      </x:c>
      <x:c r="X207" s="34" t="n">
        <x:v>1</x:v>
      </x:c>
      <x:c r="Y207" s="34" t="n">
        <x:v>0.0001</x:v>
      </x:c>
      <x:c r="Z207" s="30" t="str">
        <x:f>IF(AND(D207="TRADING",I207&lt;&gt;"",L207&lt;&gt;"",M207&lt;&gt;"",N207&lt;&gt;"",O207&lt;&gt;""),"Yes","No")</x:f>
        <x:v>Yes</x:v>
      </x:c>
      <x:c r="AA207" s="39" t="str">
        <x:v>https://developers.binance.com/en/docs/catalog/core-trading-spot-trading/api/rest-api</x:v>
      </x:c>
    </x:row>
    <x:row r="208">
      <x:c r="A208" s="30" t="str">
        <x:v>DYDXUSDT</x:v>
      </x:c>
      <x:c r="B208" s="30" t="str">
        <x:v>DYDX</x:v>
      </x:c>
      <x:c r="C208" s="30" t="str">
        <x:v>USDT</x:v>
      </x:c>
      <x:c r="D208" s="30" t="str">
        <x:v>TRADING</x:v>
      </x:c>
      <x:c r="E208" s="31" t="b">
        <x:v>1</x:v>
      </x:c>
      <x:c r="F208" s="32" t="n">
        <x:v>44448</x:v>
      </x:c>
      <x:c r="G208" s="32" t="n">
        <x:v>44448.999999988424</x:v>
      </x:c>
      <x:c r="H208" s="33" t="n">
        <x:f>IF(F208="","",('Summary'!$B$5-F208)/365.25)</x:f>
        <x:v>4.898049257548104</x:v>
      </x:c>
      <x:c r="I208" s="34" t="n">
        <x:v>0.11211</x:v>
      </x:c>
      <x:c r="J208" s="35" t="n">
        <x:v>-0.02181</x:v>
      </x:c>
      <x:c r="K208" s="36" t="n">
        <x:v>2146562.36</x:v>
      </x:c>
      <x:c r="L208" s="36" t="n">
        <x:v>243812.32848</x:v>
      </x:c>
      <x:c r="M208" s="37" t="n">
        <x:v>4441</x:v>
      </x:c>
      <x:c r="N208" s="34" t="n">
        <x:v>0.11208</x:v>
      </x:c>
      <x:c r="O208" s="34" t="n">
        <x:v>0.11213</x:v>
      </x:c>
      <x:c r="P208" s="38" t="n">
        <x:f>IF(OR(N208="",O208="",N208=0,O208=0),"",(O208-N208)/((O208+N208)/2))</x:f>
        <x:v>0.00044601043664416835</x:v>
      </x:c>
      <x:c r="Q208" s="34" t="n">
        <x:v>0.11358269</x:v>
      </x:c>
      <x:c r="R208" s="34" t="n">
        <x:v>0.11616</x:v>
      </x:c>
      <x:c r="S208" s="34" t="n">
        <x:v>0.11168</x:v>
      </x:c>
      <x:c r="T208" s="32" t="n">
        <x:v>46236.01225244213</x:v>
      </x:c>
      <x:c r="U208" s="32" t="n">
        <x:v>46237.01225244213</x:v>
      </x:c>
      <x:c r="V208" s="34" t="n">
        <x:v>5</x:v>
      </x:c>
      <x:c r="W208" s="34" t="n">
        <x:v>0.01</x:v>
      </x:c>
      <x:c r="X208" s="34" t="n">
        <x:v>0.01</x:v>
      </x:c>
      <x:c r="Y208" s="34" t="n">
        <x:v>0.00001</x:v>
      </x:c>
      <x:c r="Z208" s="30" t="str">
        <x:f>IF(AND(D208="TRADING",I208&lt;&gt;"",L208&lt;&gt;"",M208&lt;&gt;"",N208&lt;&gt;"",O208&lt;&gt;""),"Yes","No")</x:f>
        <x:v>Yes</x:v>
      </x:c>
      <x:c r="AA208" s="39" t="str">
        <x:v>https://developers.binance.com/en/docs/catalog/core-trading-spot-trading/api/rest-api</x:v>
      </x:c>
    </x:row>
    <x:row r="209">
      <x:c r="A209" s="30" t="str">
        <x:v>DYMUSDT</x:v>
      </x:c>
      <x:c r="B209" s="30" t="str">
        <x:v>DYM</x:v>
      </x:c>
      <x:c r="C209" s="30" t="str">
        <x:v>USDT</x:v>
      </x:c>
      <x:c r="D209" s="30" t="str">
        <x:v>TRADING</x:v>
      </x:c>
      <x:c r="E209" s="31" t="b">
        <x:v>1</x:v>
      </x:c>
      <x:c r="F209" s="32" t="n">
        <x:v>45328</x:v>
      </x:c>
      <x:c r="G209" s="32" t="n">
        <x:v>45328.999999988424</x:v>
      </x:c>
      <x:c r="H209" s="33" t="n">
        <x:f>IF(F209="","",('Summary'!$B$5-F209)/365.25)</x:f>
        <x:v>2.4887405648718546</x:v>
      </x:c>
      <x:c r="I209" s="34" t="n">
        <x:v>0.01319</x:v>
      </x:c>
      <x:c r="J209" s="35" t="n">
        <x:v>0.00534</x:v>
      </x:c>
      <x:c r="K209" s="36" t="n">
        <x:v>5816414.9</x:v>
      </x:c>
      <x:c r="L209" s="36" t="n">
        <x:v>76801.686665</x:v>
      </x:c>
      <x:c r="M209" s="37" t="n">
        <x:v>1403</x:v>
      </x:c>
      <x:c r="N209" s="34" t="n">
        <x:v>0.01318</x:v>
      </x:c>
      <x:c r="O209" s="34" t="n">
        <x:v>0.01319</x:v>
      </x:c>
      <x:c r="P209" s="38" t="n">
        <x:f>IF(OR(N209="",O209="",N209=0,O209=0),"",(O209-N209)/((O209+N209)/2))</x:f>
        <x:v>0.000758437618505847</x:v>
      </x:c>
      <x:c r="Q209" s="34" t="n">
        <x:v>0.0132043</x:v>
      </x:c>
      <x:c r="R209" s="34" t="n">
        <x:v>0.01342</x:v>
      </x:c>
      <x:c r="S209" s="34" t="n">
        <x:v>0.01309</x:v>
      </x:c>
      <x:c r="T209" s="32" t="n">
        <x:v>46236.011931319445</x:v>
      </x:c>
      <x:c r="U209" s="32" t="n">
        <x:v>46237.011931319445</x:v>
      </x:c>
      <x:c r="V209" s="34" t="n">
        <x:v>5</x:v>
      </x:c>
      <x:c r="W209" s="34" t="n">
        <x:v>0.1</x:v>
      </x:c>
      <x:c r="X209" s="34" t="n">
        <x:v>0.1</x:v>
      </x:c>
      <x:c r="Y209" s="34" t="n">
        <x:v>0.00001</x:v>
      </x:c>
      <x:c r="Z209" s="30" t="str">
        <x:f>IF(AND(D209="TRADING",I209&lt;&gt;"",L209&lt;&gt;"",M209&lt;&gt;"",N209&lt;&gt;"",O209&lt;&gt;""),"Yes","No")</x:f>
        <x:v>Yes</x:v>
      </x:c>
      <x:c r="AA209" s="39" t="str">
        <x:v>https://developers.binance.com/en/docs/catalog/core-trading-spot-trading/api/rest-api</x:v>
      </x:c>
    </x:row>
    <x:row r="210">
      <x:c r="A210" s="30" t="str">
        <x:v>EDENUSDT</x:v>
      </x:c>
      <x:c r="B210" s="30" t="str">
        <x:v>EDEN</x:v>
      </x:c>
      <x:c r="C210" s="30" t="str">
        <x:v>USDT</x:v>
      </x:c>
      <x:c r="D210" s="30" t="str">
        <x:v>TRADING</x:v>
      </x:c>
      <x:c r="E210" s="31" t="b">
        <x:v>1</x:v>
      </x:c>
      <x:c r="F210" s="32" t="n">
        <x:v>45930</x:v>
      </x:c>
      <x:c r="G210" s="32" t="n">
        <x:v>45930.999999988424</x:v>
      </x:c>
      <x:c r="H210" s="33" t="n">
        <x:f>IF(F210="","",('Summary'!$B$5-F210)/365.25)</x:f>
        <x:v>0.8405543910183298</x:v>
      </x:c>
      <x:c r="I210" s="34" t="n">
        <x:v>0.04389</x:v>
      </x:c>
      <x:c r="J210" s="35" t="n">
        <x:v>0.22324000000000002</x:v>
      </x:c>
      <x:c r="K210" s="36" t="n">
        <x:v>68498503.7</x:v>
      </x:c>
      <x:c r="L210" s="36" t="n">
        <x:v>2849951.602959</x:v>
      </x:c>
      <x:c r="M210" s="37" t="n">
        <x:v>48694</x:v>
      </x:c>
      <x:c r="N210" s="34" t="n">
        <x:v>0.0439</x:v>
      </x:c>
      <x:c r="O210" s="34" t="n">
        <x:v>0.04395</x:v>
      </x:c>
      <x:c r="P210" s="38" t="n">
        <x:f>IF(OR(N210="",O210="",N210=0,O210=0),"",(O210-N210)/((O210+N210)/2))</x:f>
        <x:v>0.001138303927148581</x:v>
      </x:c>
      <x:c r="Q210" s="34" t="n">
        <x:v>0.04160604</x:v>
      </x:c>
      <x:c r="R210" s="34" t="n">
        <x:v>0.04477</x:v>
      </x:c>
      <x:c r="S210" s="34" t="n">
        <x:v>0.03554</x:v>
      </x:c>
      <x:c r="T210" s="32" t="n">
        <x:v>46236.01235986111</x:v>
      </x:c>
      <x:c r="U210" s="32" t="n">
        <x:v>46237.01235986111</x:v>
      </x:c>
      <x:c r="V210" s="34" t="n">
        <x:v>5</x:v>
      </x:c>
      <x:c r="W210" s="34" t="n">
        <x:v>0.1</x:v>
      </x:c>
      <x:c r="X210" s="34" t="n">
        <x:v>0.1</x:v>
      </x:c>
      <x:c r="Y210" s="34" t="n">
        <x:v>0.00001</x:v>
      </x:c>
      <x:c r="Z210" s="30" t="str">
        <x:f>IF(AND(D210="TRADING",I210&lt;&gt;"",L210&lt;&gt;"",M210&lt;&gt;"",N210&lt;&gt;"",O210&lt;&gt;""),"Yes","No")</x:f>
        <x:v>Yes</x:v>
      </x:c>
      <x:c r="AA210" s="39" t="str">
        <x:v>https://developers.binance.com/en/docs/catalog/core-trading-spot-trading/api/rest-api</x:v>
      </x:c>
    </x:row>
    <x:row r="211">
      <x:c r="A211" s="30" t="str">
        <x:v>EDUUSDT</x:v>
      </x:c>
      <x:c r="B211" s="30" t="str">
        <x:v>EDU</x:v>
      </x:c>
      <x:c r="C211" s="30" t="str">
        <x:v>USDT</x:v>
      </x:c>
      <x:c r="D211" s="30" t="str">
        <x:v>TRADING</x:v>
      </x:c>
      <x:c r="E211" s="31" t="b">
        <x:v>1</x:v>
      </x:c>
      <x:c r="F211" s="32" t="n">
        <x:v>45044</x:v>
      </x:c>
      <x:c r="G211" s="32" t="n">
        <x:v>45044.999999988424</x:v>
      </x:c>
      <x:c r="H211" s="33" t="n">
        <x:f>IF(F211="","",('Summary'!$B$5-F211)/365.25)</x:f>
        <x:v>3.2662901884173716</x:v>
      </x:c>
      <x:c r="I211" s="34" t="n">
        <x:v>0.0329</x:v>
      </x:c>
      <x:c r="J211" s="35" t="n">
        <x:v>-0.05187</x:v>
      </x:c>
      <x:c r="K211" s="36" t="n">
        <x:v>12711792</x:v>
      </x:c>
      <x:c r="L211" s="36" t="n">
        <x:v>424550.0943</x:v>
      </x:c>
      <x:c r="M211" s="37" t="n">
        <x:v>4948</x:v>
      </x:c>
      <x:c r="N211" s="34" t="n">
        <x:v>0.0328</x:v>
      </x:c>
      <x:c r="O211" s="34" t="n">
        <x:v>0.0329</x:v>
      </x:c>
      <x:c r="P211" s="38" t="n">
        <x:f>IF(OR(N211="",O211="",N211=0,O211=0),"",(O211-N211)/((O211+N211)/2))</x:f>
        <x:v>0.0030441400304412757</x:v>
      </x:c>
      <x:c r="Q211" s="34" t="n">
        <x:v>0.03339813</x:v>
      </x:c>
      <x:c r="R211" s="34" t="n">
        <x:v>0.0348</x:v>
      </x:c>
      <x:c r="S211" s="34" t="n">
        <x:v>0.0326</x:v>
      </x:c>
      <x:c r="T211" s="32" t="n">
        <x:v>46236.01243565972</x:v>
      </x:c>
      <x:c r="U211" s="32" t="n">
        <x:v>46237.01243565972</x:v>
      </x:c>
      <x:c r="V211" s="34" t="n">
        <x:v>5</x:v>
      </x:c>
      <x:c r="W211" s="34" t="n">
        <x:v>1</x:v>
      </x:c>
      <x:c r="X211" s="34" t="n">
        <x:v>1</x:v>
      </x:c>
      <x:c r="Y211" s="34" t="n">
        <x:v>0.0001</x:v>
      </x:c>
      <x:c r="Z211" s="30" t="str">
        <x:f>IF(AND(D211="TRADING",I211&lt;&gt;"",L211&lt;&gt;"",M211&lt;&gt;"",N211&lt;&gt;"",O211&lt;&gt;""),"Yes","No")</x:f>
        <x:v>Yes</x:v>
      </x:c>
      <x:c r="AA211" s="39" t="str">
        <x:v>https://developers.binance.com/en/docs/catalog/core-trading-spot-trading/api/rest-api</x:v>
      </x:c>
    </x:row>
    <x:row r="212">
      <x:c r="A212" s="30" t="str">
        <x:v>EGLDUSDT</x:v>
      </x:c>
      <x:c r="B212" s="30" t="str">
        <x:v>EGLD</x:v>
      </x:c>
      <x:c r="C212" s="30" t="str">
        <x:v>USDT</x:v>
      </x:c>
      <x:c r="D212" s="30" t="str">
        <x:v>TRADING</x:v>
      </x:c>
      <x:c r="E212" s="31" t="b">
        <x:v>1</x:v>
      </x:c>
      <x:c r="F212" s="32" t="n">
        <x:v>44077</x:v>
      </x:c>
      <x:c r="G212" s="32" t="n">
        <x:v>44077.999999988424</x:v>
      </x:c>
      <x:c r="H212" s="33" t="n">
        <x:f>IF(F212="","",('Summary'!$B$5-F212)/365.25)</x:f>
        <x:v>5.913791899574114</x:v>
      </x:c>
      <x:c r="I212" s="34" t="n">
        <x:v>2.67</x:v>
      </x:c>
      <x:c r="J212" s="35" t="n">
        <x:v>0</x:v>
      </x:c>
      <x:c r="K212" s="36" t="n">
        <x:v>43748.71</x:v>
      </x:c>
      <x:c r="L212" s="36" t="n">
        <x:v>117684.3083</x:v>
      </x:c>
      <x:c r="M212" s="37" t="n">
        <x:v>1687</x:v>
      </x:c>
      <x:c r="N212" s="34" t="n">
        <x:v>2.67</x:v>
      </x:c>
      <x:c r="O212" s="34" t="n">
        <x:v>2.68</x:v>
      </x:c>
      <x:c r="P212" s="38" t="n">
        <x:f>IF(OR(N212="",O212="",N212=0,O212=0),"",(O212-N212)/((O212+N212)/2))</x:f>
        <x:v>0.0037383177570094323</x:v>
      </x:c>
      <x:c r="Q212" s="34" t="n">
        <x:v>2.69000636</x:v>
      </x:c>
      <x:c r="R212" s="34" t="n">
        <x:v>2.72</x:v>
      </x:c>
      <x:c r="S212" s="34" t="n">
        <x:v>2.66</x:v>
      </x:c>
      <x:c r="T212" s="32" t="n">
        <x:v>46236.01233962963</x:v>
      </x:c>
      <x:c r="U212" s="32" t="n">
        <x:v>46237.01233962963</x:v>
      </x:c>
      <x:c r="V212" s="34" t="n">
        <x:v>5</x:v>
      </x:c>
      <x:c r="W212" s="34" t="n">
        <x:v>0.01</x:v>
      </x:c>
      <x:c r="X212" s="34" t="n">
        <x:v>0.01</x:v>
      </x:c>
      <x:c r="Y212" s="34" t="n">
        <x:v>0.01</x:v>
      </x:c>
      <x:c r="Z212" s="30" t="str">
        <x:f>IF(AND(D212="TRADING",I212&lt;&gt;"",L212&lt;&gt;"",M212&lt;&gt;"",N212&lt;&gt;"",O212&lt;&gt;""),"Yes","No")</x:f>
        <x:v>Yes</x:v>
      </x:c>
      <x:c r="AA212" s="39" t="str">
        <x:v>https://developers.binance.com/en/docs/catalog/core-trading-spot-trading/api/rest-api</x:v>
      </x:c>
    </x:row>
    <x:row r="213">
      <x:c r="A213" s="30" t="str">
        <x:v>EIGENUSDT</x:v>
      </x:c>
      <x:c r="B213" s="30" t="str">
        <x:v>EIGEN</x:v>
      </x:c>
      <x:c r="C213" s="30" t="str">
        <x:v>USDT</x:v>
      </x:c>
      <x:c r="D213" s="30" t="str">
        <x:v>TRADING</x:v>
      </x:c>
      <x:c r="E213" s="31" t="b">
        <x:v>1</x:v>
      </x:c>
      <x:c r="F213" s="32" t="n">
        <x:v>45566</x:v>
      </x:c>
      <x:c r="G213" s="32" t="n">
        <x:v>45566.999999988424</x:v>
      </x:c>
      <x:c r="H213" s="33" t="n">
        <x:f>IF(F213="","",('Summary'!$B$5-F213)/365.25)</x:f>
        <x:v>1.8371320775344147</x:v>
      </x:c>
      <x:c r="I213" s="34" t="n">
        <x:v>0.1869</x:v>
      </x:c>
      <x:c r="J213" s="35" t="n">
        <x:v>0.033170000000000005</x:v>
      </x:c>
      <x:c r="K213" s="36" t="n">
        <x:v>7625464.18</x:v>
      </x:c>
      <x:c r="L213" s="36" t="n">
        <x:v>1438719.482555</x:v>
      </x:c>
      <x:c r="M213" s="37" t="n">
        <x:v>14270</x:v>
      </x:c>
      <x:c r="N213" s="34" t="n">
        <x:v>0.1871</x:v>
      </x:c>
      <x:c r="O213" s="34" t="n">
        <x:v>0.1872</x:v>
      </x:c>
      <x:c r="P213" s="38" t="n">
        <x:f>IF(OR(N213="",O213="",N213=0,O213=0),"",(O213-N213)/((O213+N213)/2))</x:f>
        <x:v>0.0005343307507347943</x:v>
      </x:c>
      <x:c r="Q213" s="34" t="n">
        <x:v>0.18867304</x:v>
      </x:c>
      <x:c r="R213" s="34" t="n">
        <x:v>0.194</x:v>
      </x:c>
      <x:c r="S213" s="34" t="n">
        <x:v>0.1806</x:v>
      </x:c>
      <x:c r="T213" s="32" t="n">
        <x:v>46236.012456805554</x:v>
      </x:c>
      <x:c r="U213" s="32" t="n">
        <x:v>46237.012456805554</x:v>
      </x:c>
      <x:c r="V213" s="34" t="n">
        <x:v>5</x:v>
      </x:c>
      <x:c r="W213" s="34" t="n">
        <x:v>0.01</x:v>
      </x:c>
      <x:c r="X213" s="34" t="n">
        <x:v>0.01</x:v>
      </x:c>
      <x:c r="Y213" s="34" t="n">
        <x:v>0.0001</x:v>
      </x:c>
      <x:c r="Z213" s="30" t="str">
        <x:f>IF(AND(D213="TRADING",I213&lt;&gt;"",L213&lt;&gt;"",M213&lt;&gt;"",N213&lt;&gt;"",O213&lt;&gt;""),"Yes","No")</x:f>
        <x:v>Yes</x:v>
      </x:c>
      <x:c r="AA213" s="39" t="str">
        <x:v>https://developers.binance.com/en/docs/catalog/core-trading-spot-trading/api/rest-api</x:v>
      </x:c>
    </x:row>
    <x:row r="214">
      <x:c r="A214" s="30" t="str">
        <x:v>ELFUSDT</x:v>
      </x:c>
      <x:c r="B214" s="30" t="str">
        <x:v>ELF</x:v>
      </x:c>
      <x:c r="C214" s="30" t="str">
        <x:v>USDT</x:v>
      </x:c>
      <x:c r="D214" s="30" t="str">
        <x:v>BREAK</x:v>
      </x:c>
      <x:c r="E214" s="31" t="b">
        <x:v>1</x:v>
      </x:c>
      <x:c r="F214" s="32" t="n">
        <x:v>44447</x:v>
      </x:c>
      <x:c r="G214" s="32" t="n">
        <x:v>44447.999999988424</x:v>
      </x:c>
      <x:c r="H214" s="33" t="n">
        <x:f>IF(F214="","",('Summary'!$B$5-F214)/365.25)</x:f>
        <x:v>4.900787108335236</x:v>
      </x:c>
      <x:c r="I214" s="34" t="n">
        <x:v>0.2272</x:v>
      </x:c>
      <x:c r="J214" s="35" t="n">
        <x:v>0.08811999999999999</x:v>
      </x:c>
      <x:c r="K214" s="36" t="n">
        <x:v>2922677.5</x:v>
      </x:c>
      <x:c r="L214" s="36" t="n">
        <x:v>636799.68008</x:v>
      </x:c>
      <x:c r="M214" s="37" t="n">
        <x:v>4001</x:v>
      </x:c>
      <x:c r="N214" s="34" t="n">
        <x:v>0</x:v>
      </x:c>
      <x:c r="O214" s="34" t="n">
        <x:v>0</x:v>
      </x:c>
      <x:c r="P214" s="38" t="str">
        <x:f>IF(OR(N214="",O214="",N214=0,O214=0),"",(O214-N214)/((O214+N214)/2))</x:f>
      </x:c>
      <x:c r="Q214" s="34" t="n">
        <x:v>0.21788229</x:v>
      </x:c>
      <x:c r="R214" s="34" t="n">
        <x:v>0.2374</x:v>
      </x:c>
      <x:c r="S214" s="34" t="n">
        <x:v>0.203</x:v>
      </x:c>
      <x:c r="T214" s="32" t="n">
        <x:v>46209.26112309028</x:v>
      </x:c>
      <x:c r="U214" s="32" t="n">
        <x:v>46210.26112309028</x:v>
      </x:c>
      <x:c r="V214" s="34" t="n">
        <x:v>5</x:v>
      </x:c>
      <x:c r="W214" s="34" t="n">
        <x:v>0.1</x:v>
      </x:c>
      <x:c r="X214" s="34" t="n">
        <x:v>0.1</x:v>
      </x:c>
      <x:c r="Y214" s="34" t="n">
        <x:v>0.0001</x:v>
      </x:c>
      <x:c r="Z214" s="30" t="str">
        <x:f>IF(AND(D214="TRADING",I214&lt;&gt;"",L214&lt;&gt;"",M214&lt;&gt;"",N214&lt;&gt;"",O214&lt;&gt;""),"Yes","No")</x:f>
        <x:v>No</x:v>
      </x:c>
      <x:c r="AA214" s="39" t="str">
        <x:v>https://developers.binance.com/en/docs/catalog/core-trading-spot-trading/api/rest-api</x:v>
      </x:c>
    </x:row>
    <x:row r="215">
      <x:c r="A215" s="30" t="str">
        <x:v>ENAUSDT</x:v>
      </x:c>
      <x:c r="B215" s="30" t="str">
        <x:v>ENA</x:v>
      </x:c>
      <x:c r="C215" s="30" t="str">
        <x:v>USDT</x:v>
      </x:c>
      <x:c r="D215" s="30" t="str">
        <x:v>TRADING</x:v>
      </x:c>
      <x:c r="E215" s="31" t="b">
        <x:v>1</x:v>
      </x:c>
      <x:c r="F215" s="32" t="n">
        <x:v>45384</x:v>
      </x:c>
      <x:c r="G215" s="32" t="n">
        <x:v>45384.999999988424</x:v>
      </x:c>
      <x:c r="H215" s="33" t="n">
        <x:f>IF(F215="","",('Summary'!$B$5-F215)/365.25)</x:f>
        <x:v>2.335420920792457</x:v>
      </x:c>
      <x:c r="I215" s="34" t="n">
        <x:v>0.0892</x:v>
      </x:c>
      <x:c r="J215" s="35" t="n">
        <x:v>0.1192</x:v>
      </x:c>
      <x:c r="K215" s="36" t="n">
        <x:v>224608874.22</x:v>
      </x:c>
      <x:c r="L215" s="36" t="n">
        <x:v>19651927.288601</x:v>
      </x:c>
      <x:c r="M215" s="37" t="n">
        <x:v>85002</x:v>
      </x:c>
      <x:c r="N215" s="34" t="n">
        <x:v>0.0891</x:v>
      </x:c>
      <x:c r="O215" s="34" t="n">
        <x:v>0.0892</x:v>
      </x:c>
      <x:c r="P215" s="38" t="n">
        <x:f>IF(OR(N215="",O215="",N215=0,O215=0),"",(O215-N215)/((O215+N215)/2))</x:f>
        <x:v>0.0011217049915872447</x:v>
      </x:c>
      <x:c r="Q215" s="34" t="n">
        <x:v>0.08749399</x:v>
      </x:c>
      <x:c r="R215" s="34" t="n">
        <x:v>0.0904</x:v>
      </x:c>
      <x:c r="S215" s="34" t="n">
        <x:v>0.0795</x:v>
      </x:c>
      <x:c r="T215" s="32" t="n">
        <x:v>46236.01248295139</x:v>
      </x:c>
      <x:c r="U215" s="32" t="n">
        <x:v>46237.01248295139</x:v>
      </x:c>
      <x:c r="V215" s="34" t="n">
        <x:v>5</x:v>
      </x:c>
      <x:c r="W215" s="34" t="n">
        <x:v>0.01</x:v>
      </x:c>
      <x:c r="X215" s="34" t="n">
        <x:v>0.01</x:v>
      </x:c>
      <x:c r="Y215" s="34" t="n">
        <x:v>0.0001</x:v>
      </x:c>
      <x:c r="Z215" s="30" t="str">
        <x:f>IF(AND(D215="TRADING",I215&lt;&gt;"",L215&lt;&gt;"",M215&lt;&gt;"",N215&lt;&gt;"",O215&lt;&gt;""),"Yes","No")</x:f>
        <x:v>Yes</x:v>
      </x:c>
      <x:c r="AA215" s="39" t="str">
        <x:v>https://developers.binance.com/en/docs/catalog/core-trading-spot-trading/api/rest-api</x:v>
      </x:c>
    </x:row>
    <x:row r="216">
      <x:c r="A216" s="30" t="str">
        <x:v>ENJUSDT</x:v>
      </x:c>
      <x:c r="B216" s="30" t="str">
        <x:v>ENJ</x:v>
      </x:c>
      <x:c r="C216" s="30" t="str">
        <x:v>USDT</x:v>
      </x:c>
      <x:c r="D216" s="30" t="str">
        <x:v>TRADING</x:v>
      </x:c>
      <x:c r="E216" s="31" t="b">
        <x:v>1</x:v>
      </x:c>
      <x:c r="F216" s="32" t="n">
        <x:v>43573</x:v>
      </x:c>
      <x:c r="G216" s="32" t="n">
        <x:v>43573.999999988424</x:v>
      </x:c>
      <x:c r="H216" s="33" t="n">
        <x:f>IF(F216="","",('Summary'!$B$5-F216)/365.25)</x:f>
        <x:v>7.293668696288693</x:v>
      </x:c>
      <x:c r="I216" s="34" t="n">
        <x:v>0.02465</x:v>
      </x:c>
      <x:c r="J216" s="35" t="n">
        <x:v>0.00244</x:v>
      </x:c>
      <x:c r="K216" s="36" t="n">
        <x:v>4517878.6</x:v>
      </x:c>
      <x:c r="L216" s="36" t="n">
        <x:v>111975.976301</x:v>
      </x:c>
      <x:c r="M216" s="37" t="n">
        <x:v>2972</x:v>
      </x:c>
      <x:c r="N216" s="34" t="n">
        <x:v>0.02464</x:v>
      </x:c>
      <x:c r="O216" s="34" t="n">
        <x:v>0.02465</x:v>
      </x:c>
      <x:c r="P216" s="38" t="n">
        <x:f>IF(OR(N216="",O216="",N216=0,O216=0),"",(O216-N216)/((O216+N216)/2))</x:f>
        <x:v>0.0004057618178129273</x:v>
      </x:c>
      <x:c r="Q216" s="34" t="n">
        <x:v>0.02478508</x:v>
      </x:c>
      <x:c r="R216" s="34" t="n">
        <x:v>0.02512</x:v>
      </x:c>
      <x:c r="S216" s="34" t="n">
        <x:v>0.02455</x:v>
      </x:c>
      <x:c r="T216" s="32" t="n">
        <x:v>46236.01243888889</x:v>
      </x:c>
      <x:c r="U216" s="32" t="n">
        <x:v>46237.01243888889</x:v>
      </x:c>
      <x:c r="V216" s="34" t="n">
        <x:v>5</x:v>
      </x:c>
      <x:c r="W216" s="34" t="n">
        <x:v>0.1</x:v>
      </x:c>
      <x:c r="X216" s="34" t="n">
        <x:v>0.1</x:v>
      </x:c>
      <x:c r="Y216" s="34" t="n">
        <x:v>0.00001</x:v>
      </x:c>
      <x:c r="Z216" s="30" t="str">
        <x:f>IF(AND(D216="TRADING",I216&lt;&gt;"",L216&lt;&gt;"",M216&lt;&gt;"",N216&lt;&gt;"",O216&lt;&gt;""),"Yes","No")</x:f>
        <x:v>Yes</x:v>
      </x:c>
      <x:c r="AA216" s="39" t="str">
        <x:v>https://developers.binance.com/en/docs/catalog/core-trading-spot-trading/api/rest-api</x:v>
      </x:c>
    </x:row>
    <x:row r="217">
      <x:c r="A217" s="30" t="str">
        <x:v>ENSOUSDT</x:v>
      </x:c>
      <x:c r="B217" s="30" t="str">
        <x:v>ENSO</x:v>
      </x:c>
      <x:c r="C217" s="30" t="str">
        <x:v>USDT</x:v>
      </x:c>
      <x:c r="D217" s="30" t="str">
        <x:v>TRADING</x:v>
      </x:c>
      <x:c r="E217" s="31" t="b">
        <x:v>1</x:v>
      </x:c>
      <x:c r="F217" s="32" t="n">
        <x:v>45944</x:v>
      </x:c>
      <x:c r="G217" s="32" t="n">
        <x:v>45944.999999988424</x:v>
      </x:c>
      <x:c r="H217" s="33" t="n">
        <x:f>IF(F217="","",('Summary'!$B$5-F217)/365.25)</x:f>
        <x:v>0.8022244799984803</x:v>
      </x:c>
      <x:c r="I217" s="34" t="n">
        <x:v>0.923</x:v>
      </x:c>
      <x:c r="J217" s="35" t="n">
        <x:v>-0.011779999999999999</x:v>
      </x:c>
      <x:c r="K217" s="36" t="n">
        <x:v>1176777.7</x:v>
      </x:c>
      <x:c r="L217" s="36" t="n">
        <x:v>1075717.49835</x:v>
      </x:c>
      <x:c r="M217" s="37" t="n">
        <x:v>14018</x:v>
      </x:c>
      <x:c r="N217" s="34" t="n">
        <x:v>0.923</x:v>
      </x:c>
      <x:c r="O217" s="34" t="n">
        <x:v>0.924</x:v>
      </x:c>
      <x:c r="P217" s="38" t="n">
        <x:f>IF(OR(N217="",O217="",N217=0,O217=0),"",(O217-N217)/((O217+N217)/2))</x:f>
        <x:v>0.0010828370330265304</x:v>
      </x:c>
      <x:c r="Q217" s="34" t="n">
        <x:v>0.91412125</x:v>
      </x:c>
      <x:c r="R217" s="34" t="n">
        <x:v>0.938</x:v>
      </x:c>
      <x:c r="S217" s="34" t="n">
        <x:v>0.884</x:v>
      </x:c>
      <x:c r="T217" s="32" t="n">
        <x:v>46236.012459398145</x:v>
      </x:c>
      <x:c r="U217" s="32" t="n">
        <x:v>46237.012459398145</x:v>
      </x:c>
      <x:c r="V217" s="34" t="n">
        <x:v>5</x:v>
      </x:c>
      <x:c r="W217" s="34" t="n">
        <x:v>0.01</x:v>
      </x:c>
      <x:c r="X217" s="34" t="n">
        <x:v>0.01</x:v>
      </x:c>
      <x:c r="Y217" s="34" t="n">
        <x:v>0.001</x:v>
      </x:c>
      <x:c r="Z217" s="30" t="str">
        <x:f>IF(AND(D217="TRADING",I217&lt;&gt;"",L217&lt;&gt;"",M217&lt;&gt;"",N217&lt;&gt;"",O217&lt;&gt;""),"Yes","No")</x:f>
        <x:v>Yes</x:v>
      </x:c>
      <x:c r="AA217" s="39" t="str">
        <x:v>https://developers.binance.com/en/docs/catalog/core-trading-spot-trading/api/rest-api</x:v>
      </x:c>
    </x:row>
    <x:row r="218">
      <x:c r="A218" s="30" t="str">
        <x:v>ENSUSDT</x:v>
      </x:c>
      <x:c r="B218" s="30" t="str">
        <x:v>ENS</x:v>
      </x:c>
      <x:c r="C218" s="30" t="str">
        <x:v>USDT</x:v>
      </x:c>
      <x:c r="D218" s="30" t="str">
        <x:v>TRADING</x:v>
      </x:c>
      <x:c r="E218" s="31" t="b">
        <x:v>1</x:v>
      </x:c>
      <x:c r="F218" s="32" t="n">
        <x:v>44510</x:v>
      </x:c>
      <x:c r="G218" s="32" t="n">
        <x:v>44510.999999988424</x:v>
      </x:c>
      <x:c r="H218" s="33" t="n">
        <x:f>IF(F218="","",('Summary'!$B$5-F218)/365.25)</x:f>
        <x:v>4.728302508745914</x:v>
      </x:c>
      <x:c r="I218" s="34" t="n">
        <x:v>4.26</x:v>
      </x:c>
      <x:c r="J218" s="35" t="n">
        <x:v>0.01188</x:v>
      </x:c>
      <x:c r="K218" s="36" t="n">
        <x:v>33430.8</x:v>
      </x:c>
      <x:c r="L218" s="36" t="n">
        <x:v>142269.5323</x:v>
      </x:c>
      <x:c r="M218" s="37" t="n">
        <x:v>1657</x:v>
      </x:c>
      <x:c r="N218" s="34" t="n">
        <x:v>4.25</x:v>
      </x:c>
      <x:c r="O218" s="34" t="n">
        <x:v>4.26</x:v>
      </x:c>
      <x:c r="P218" s="38" t="n">
        <x:f>IF(OR(N218="",O218="",N218=0,O218=0),"",(O218-N218)/((O218+N218)/2))</x:f>
        <x:v>0.0023501762632196915</x:v>
      </x:c>
      <x:c r="Q218" s="34" t="n">
        <x:v>4.25564247</x:v>
      </x:c>
      <x:c r="R218" s="34" t="n">
        <x:v>4.31</x:v>
      </x:c>
      <x:c r="S218" s="34" t="n">
        <x:v>4.2</x:v>
      </x:c>
      <x:c r="T218" s="32" t="n">
        <x:v>46236.01247642361</x:v>
      </x:c>
      <x:c r="U218" s="32" t="n">
        <x:v>46237.01247642361</x:v>
      </x:c>
      <x:c r="V218" s="34" t="n">
        <x:v>5</x:v>
      </x:c>
      <x:c r="W218" s="34" t="n">
        <x:v>0.01</x:v>
      </x:c>
      <x:c r="X218" s="34" t="n">
        <x:v>0.01</x:v>
      </x:c>
      <x:c r="Y218" s="34" t="n">
        <x:v>0.01</x:v>
      </x:c>
      <x:c r="Z218" s="30" t="str">
        <x:f>IF(AND(D218="TRADING",I218&lt;&gt;"",L218&lt;&gt;"",M218&lt;&gt;"",N218&lt;&gt;"",O218&lt;&gt;""),"Yes","No")</x:f>
        <x:v>Yes</x:v>
      </x:c>
      <x:c r="AA218" s="39" t="str">
        <x:v>https://developers.binance.com/en/docs/catalog/core-trading-spot-trading/api/rest-api</x:v>
      </x:c>
    </x:row>
    <x:row r="219">
      <x:c r="A219" s="30" t="str">
        <x:v>EOSBEARUSDT</x:v>
      </x:c>
      <x:c r="B219" s="30" t="str">
        <x:v>EOSBEAR</x:v>
      </x:c>
      <x:c r="C219" s="30" t="str">
        <x:v>USDT</x:v>
      </x:c>
      <x:c r="D219" s="30" t="str">
        <x:v>BREAK</x:v>
      </x:c>
      <x:c r="E219" s="31" t="b">
        <x:v>1</x:v>
      </x:c>
      <x:c r="F219" s="32" t="n">
        <x:v>43873</x:v>
      </x:c>
      <x:c r="G219" s="32" t="n">
        <x:v>43873.999999988424</x:v>
      </x:c>
      <x:c r="H219" s="33" t="n">
        <x:f>IF(F219="","",('Summary'!$B$5-F219)/365.25)</x:f>
        <x:v>6.472313460149063</x:v>
      </x:c>
      <x:c r="I219" s="34" t="n">
        <x:v>0</x:v>
      </x:c>
      <x:c r="J219" s="35" t="n">
        <x:v>0</x:v>
      </x:c>
      <x:c r="K219" s="36" t="n">
        <x:v>0</x:v>
      </x:c>
      <x:c r="L219" s="36" t="n">
        <x:v>0</x:v>
      </x:c>
      <x:c r="M219" s="37" t="n">
        <x:v>0</x:v>
      </x:c>
      <x:c r="N219" s="34" t="n">
        <x:v>0</x:v>
      </x:c>
      <x:c r="O219" s="34" t="n">
        <x:v>0</x:v>
      </x:c>
      <x:c r="P219" s="38" t="str">
        <x:f>IF(OR(N219="",O219="",N219=0,O219=0),"",(O219-N219)/((O219+N219)/2))</x:f>
      </x:c>
      <x:c r="Q219" s="34" t="n">
        <x:v>0</x:v>
      </x:c>
      <x:c r="R219" s="34" t="n">
        <x:v>0</x:v>
      </x:c>
      <x:c r="S219" s="34" t="n">
        <x:v>0</x:v>
      </x:c>
      <x:c r="T219" s="32" t="n">
        <x:v>46209.26112309028</x:v>
      </x:c>
      <x:c r="U219" s="32" t="n">
        <x:v>46210.26112309028</x:v>
      </x:c>
      <x:c r="V219" s="34" t="n">
        <x:v>10</x:v>
      </x:c>
      <x:c r="W219" s="34" t="n">
        <x:v>0.00001</x:v>
      </x:c>
      <x:c r="X219" s="34" t="n">
        <x:v>0.00001</x:v>
      </x:c>
      <x:c r="Y219" s="34" t="n">
        <x:v>0.01</x:v>
      </x:c>
      <x:c r="Z219" s="30" t="str">
        <x:f>IF(AND(D219="TRADING",I219&lt;&gt;"",L219&lt;&gt;"",M219&lt;&gt;"",N219&lt;&gt;"",O219&lt;&gt;""),"Yes","No")</x:f>
        <x:v>No</x:v>
      </x:c>
      <x:c r="AA219" s="39" t="str">
        <x:v>https://developers.binance.com/en/docs/catalog/core-trading-spot-trading/api/rest-api</x:v>
      </x:c>
    </x:row>
    <x:row r="220">
      <x:c r="A220" s="30" t="str">
        <x:v>EOSBULLUSDT</x:v>
      </x:c>
      <x:c r="B220" s="30" t="str">
        <x:v>EOSBULL</x:v>
      </x:c>
      <x:c r="C220" s="30" t="str">
        <x:v>USDT</x:v>
      </x:c>
      <x:c r="D220" s="30" t="str">
        <x:v>BREAK</x:v>
      </x:c>
      <x:c r="E220" s="31" t="b">
        <x:v>1</x:v>
      </x:c>
      <x:c r="F220" s="32" t="n">
        <x:v>43873</x:v>
      </x:c>
      <x:c r="G220" s="32" t="n">
        <x:v>43873.999999988424</x:v>
      </x:c>
      <x:c r="H220" s="33" t="n">
        <x:f>IF(F220="","",('Summary'!$B$5-F220)/365.25)</x:f>
        <x:v>6.472313460149063</x:v>
      </x:c>
      <x:c r="I220" s="34" t="n">
        <x:v>0</x:v>
      </x:c>
      <x:c r="J220" s="35" t="n">
        <x:v>0</x:v>
      </x:c>
      <x:c r="K220" s="36" t="n">
        <x:v>0</x:v>
      </x:c>
      <x:c r="L220" s="36" t="n">
        <x:v>0</x:v>
      </x:c>
      <x:c r="M220" s="37" t="n">
        <x:v>0</x:v>
      </x:c>
      <x:c r="N220" s="34" t="n">
        <x:v>0</x:v>
      </x:c>
      <x:c r="O220" s="34" t="n">
        <x:v>0</x:v>
      </x:c>
      <x:c r="P220" s="38" t="str">
        <x:f>IF(OR(N220="",O220="",N220=0,O220=0),"",(O220-N220)/((O220+N220)/2))</x:f>
      </x:c>
      <x:c r="Q220" s="34" t="n">
        <x:v>0</x:v>
      </x:c>
      <x:c r="R220" s="34" t="n">
        <x:v>0</x:v>
      </x:c>
      <x:c r="S220" s="34" t="n">
        <x:v>0</x:v>
      </x:c>
      <x:c r="T220" s="32" t="n">
        <x:v>46209.26112309028</x:v>
      </x:c>
      <x:c r="U220" s="32" t="n">
        <x:v>46210.26112309028</x:v>
      </x:c>
      <x:c r="V220" s="34" t="n">
        <x:v>10</x:v>
      </x:c>
      <x:c r="W220" s="34" t="n">
        <x:v>0.00001</x:v>
      </x:c>
      <x:c r="X220" s="34" t="n">
        <x:v>0.00001</x:v>
      </x:c>
      <x:c r="Y220" s="34" t="n">
        <x:v>0.01</x:v>
      </x:c>
      <x:c r="Z220" s="30" t="str">
        <x:f>IF(AND(D220="TRADING",I220&lt;&gt;"",L220&lt;&gt;"",M220&lt;&gt;"",N220&lt;&gt;"",O220&lt;&gt;""),"Yes","No")</x:f>
        <x:v>No</x:v>
      </x:c>
      <x:c r="AA220" s="39" t="str">
        <x:v>https://developers.binance.com/en/docs/catalog/core-trading-spot-trading/api/rest-api</x:v>
      </x:c>
    </x:row>
    <x:row r="221">
      <x:c r="A221" s="30" t="str">
        <x:v>EOSUSDT</x:v>
      </x:c>
      <x:c r="B221" s="30" t="str">
        <x:v>EOS</x:v>
      </x:c>
      <x:c r="C221" s="30" t="str">
        <x:v>USDT</x:v>
      </x:c>
      <x:c r="D221" s="30" t="str">
        <x:v>BREAK</x:v>
      </x:c>
      <x:c r="E221" s="31" t="b">
        <x:v>1</x:v>
      </x:c>
      <x:c r="F221" s="32" t="n">
        <x:v>43248</x:v>
      </x:c>
      <x:c r="G221" s="32" t="n">
        <x:v>43248.999999988424</x:v>
      </x:c>
      <x:c r="H221" s="33" t="n">
        <x:f>IF(F221="","",('Summary'!$B$5-F221)/365.25)</x:f>
        <x:v>8.183470202106626</x:v>
      </x:c>
      <x:c r="I221" s="34" t="n">
        <x:v>0.7799</x:v>
      </x:c>
      <x:c r="J221" s="35" t="n">
        <x:v>-0.00662</x:v>
      </x:c>
      <x:c r="K221" s="36" t="n">
        <x:v>1180284.8</x:v>
      </x:c>
      <x:c r="L221" s="36" t="n">
        <x:v>924391.64369</x:v>
      </x:c>
      <x:c r="M221" s="37" t="n">
        <x:v>4001</x:v>
      </x:c>
      <x:c r="N221" s="34" t="n">
        <x:v>0</x:v>
      </x:c>
      <x:c r="O221" s="34" t="n">
        <x:v>0</x:v>
      </x:c>
      <x:c r="P221" s="38" t="str">
        <x:f>IF(OR(N221="",O221="",N221=0,O221=0),"",(O221-N221)/((O221+N221)/2))</x:f>
      </x:c>
      <x:c r="Q221" s="34" t="n">
        <x:v>0.78319372</x:v>
      </x:c>
      <x:c r="R221" s="34" t="n">
        <x:v>0.7996</x:v>
      </x:c>
      <x:c r="S221" s="34" t="n">
        <x:v>0.768</x:v>
      </x:c>
      <x:c r="T221" s="32" t="n">
        <x:v>46209.26112309028</x:v>
      </x:c>
      <x:c r="U221" s="32" t="n">
        <x:v>46210.26112309028</x:v>
      </x:c>
      <x:c r="V221" s="34" t="n">
        <x:v>5</x:v>
      </x:c>
      <x:c r="W221" s="34" t="n">
        <x:v>0.1</x:v>
      </x:c>
      <x:c r="X221" s="34" t="n">
        <x:v>0.1</x:v>
      </x:c>
      <x:c r="Y221" s="34" t="n">
        <x:v>0.0001</x:v>
      </x:c>
      <x:c r="Z221" s="30" t="str">
        <x:f>IF(AND(D221="TRADING",I221&lt;&gt;"",L221&lt;&gt;"",M221&lt;&gt;"",N221&lt;&gt;"",O221&lt;&gt;""),"Yes","No")</x:f>
        <x:v>No</x:v>
      </x:c>
      <x:c r="AA221" s="39" t="str">
        <x:v>https://developers.binance.com/en/docs/catalog/core-trading-spot-trading/api/rest-api</x:v>
      </x:c>
    </x:row>
    <x:row r="222">
      <x:c r="A222" s="30" t="str">
        <x:v>EPICUSDT</x:v>
      </x:c>
      <x:c r="B222" s="30" t="str">
        <x:v>EPIC</x:v>
      </x:c>
      <x:c r="C222" s="30" t="str">
        <x:v>USDT</x:v>
      </x:c>
      <x:c r="D222" s="30" t="str">
        <x:v>TRADING</x:v>
      </x:c>
      <x:c r="E222" s="31" t="b">
        <x:v>1</x:v>
      </x:c>
      <x:c r="F222" s="32" t="n">
        <x:v>45729</x:v>
      </x:c>
      <x:c r="G222" s="32" t="n">
        <x:v>45729.999999988424</x:v>
      </x:c>
      <x:c r="H222" s="33" t="n">
        <x:f>IF(F222="","",('Summary'!$B$5-F222)/365.25)</x:f>
        <x:v>1.3908623992318823</x:v>
      </x:c>
      <x:c r="I222" s="34" t="n">
        <x:v>0.9196</x:v>
      </x:c>
      <x:c r="J222" s="35" t="n">
        <x:v>0.01044</x:v>
      </x:c>
      <x:c r="K222" s="36" t="n">
        <x:v>4607825.6</x:v>
      </x:c>
      <x:c r="L222" s="36" t="n">
        <x:v>4189575.64279</x:v>
      </x:c>
      <x:c r="M222" s="37" t="n">
        <x:v>240797</x:v>
      </x:c>
      <x:c r="N222" s="34" t="n">
        <x:v>0.919</x:v>
      </x:c>
      <x:c r="O222" s="34" t="n">
        <x:v>0.9196</x:v>
      </x:c>
      <x:c r="P222" s="38" t="n">
        <x:f>IF(OR(N222="",O222="",N222=0,O222=0),"",(O222-N222)/((O222+N222)/2))</x:f>
        <x:v>0.0006526705101707102</x:v>
      </x:c>
      <x:c r="Q222" s="34" t="n">
        <x:v>0.90923051</x:v>
      </x:c>
      <x:c r="R222" s="34" t="n">
        <x:v>0.965</x:v>
      </x:c>
      <x:c r="S222" s="34" t="n">
        <x:v>0.8514</x:v>
      </x:c>
      <x:c r="T222" s="32" t="n">
        <x:v>46236.01248668981</x:v>
      </x:c>
      <x:c r="U222" s="32" t="n">
        <x:v>46237.01248668981</x:v>
      </x:c>
      <x:c r="V222" s="34" t="n">
        <x:v>5</x:v>
      </x:c>
      <x:c r="W222" s="34" t="n">
        <x:v>0.1</x:v>
      </x:c>
      <x:c r="X222" s="34" t="n">
        <x:v>0.1</x:v>
      </x:c>
      <x:c r="Y222" s="34" t="n">
        <x:v>0.0001</x:v>
      </x:c>
      <x:c r="Z222" s="30" t="str">
        <x:f>IF(AND(D222="TRADING",I222&lt;&gt;"",L222&lt;&gt;"",M222&lt;&gt;"",N222&lt;&gt;"",O222&lt;&gt;""),"Yes","No")</x:f>
        <x:v>Yes</x:v>
      </x:c>
      <x:c r="AA222" s="39" t="str">
        <x:v>https://developers.binance.com/en/docs/catalog/core-trading-spot-trading/api/rest-api</x:v>
      </x:c>
    </x:row>
    <x:row r="223">
      <x:c r="A223" s="30" t="str">
        <x:v>EPSUSDT</x:v>
      </x:c>
      <x:c r="B223" s="30" t="str">
        <x:v>EPS</x:v>
      </x:c>
      <x:c r="C223" s="30" t="str">
        <x:v>USDT</x:v>
      </x:c>
      <x:c r="D223" s="30" t="str">
        <x:v>BREAK</x:v>
      </x:c>
      <x:c r="E223" s="31" t="b">
        <x:v>1</x:v>
      </x:c>
      <x:c r="F223" s="32" t="n">
        <x:v>44288</x:v>
      </x:c>
      <x:c r="G223" s="32" t="n">
        <x:v>44288.999999988424</x:v>
      </x:c>
      <x:c r="H223" s="33" t="n">
        <x:f>IF(F223="","",('Summary'!$B$5-F223)/365.25)</x:f>
        <x:v>5.33610538348924</x:v>
      </x:c>
      <x:c r="I223" s="34" t="n">
        <x:v>0</x:v>
      </x:c>
      <x:c r="J223" s="35" t="n">
        <x:v>0</x:v>
      </x:c>
      <x:c r="K223" s="36" t="n">
        <x:v>0</x:v>
      </x:c>
      <x:c r="L223" s="36" t="n">
        <x:v>0</x:v>
      </x:c>
      <x:c r="M223" s="37" t="n">
        <x:v>0</x:v>
      </x:c>
      <x:c r="N223" s="34" t="n">
        <x:v>0</x:v>
      </x:c>
      <x:c r="O223" s="34" t="n">
        <x:v>0</x:v>
      </x:c>
      <x:c r="P223" s="38" t="str">
        <x:f>IF(OR(N223="",O223="",N223=0,O223=0),"",(O223-N223)/((O223+N223)/2))</x:f>
      </x:c>
      <x:c r="Q223" s="34" t="n">
        <x:v>0</x:v>
      </x:c>
      <x:c r="R223" s="34" t="n">
        <x:v>0</x:v>
      </x:c>
      <x:c r="S223" s="34" t="n">
        <x:v>0</x:v>
      </x:c>
      <x:c r="T223" s="32" t="n">
        <x:v>46209.26112309028</x:v>
      </x:c>
      <x:c r="U223" s="32" t="n">
        <x:v>46210.26112309028</x:v>
      </x:c>
      <x:c r="V223" s="34" t="n">
        <x:v>10</x:v>
      </x:c>
      <x:c r="W223" s="34" t="n">
        <x:v>1</x:v>
      </x:c>
      <x:c r="X223" s="34" t="n">
        <x:v>1</x:v>
      </x:c>
      <x:c r="Y223" s="34" t="n">
        <x:v>0.0001</x:v>
      </x:c>
      <x:c r="Z223" s="30" t="str">
        <x:f>IF(AND(D223="TRADING",I223&lt;&gt;"",L223&lt;&gt;"",M223&lt;&gt;"",N223&lt;&gt;"",O223&lt;&gt;""),"Yes","No")</x:f>
        <x:v>No</x:v>
      </x:c>
      <x:c r="AA223" s="39" t="str">
        <x:v>https://developers.binance.com/en/docs/catalog/core-trading-spot-trading/api/rest-api</x:v>
      </x:c>
    </x:row>
    <x:row r="224">
      <x:c r="A224" s="30" t="str">
        <x:v>EPXUSDT</x:v>
      </x:c>
      <x:c r="B224" s="30" t="str">
        <x:v>EPX</x:v>
      </x:c>
      <x:c r="C224" s="30" t="str">
        <x:v>USDT</x:v>
      </x:c>
      <x:c r="D224" s="30" t="str">
        <x:v>BREAK</x:v>
      </x:c>
      <x:c r="E224" s="31" t="b">
        <x:v>1</x:v>
      </x:c>
      <x:c r="F224" s="32" t="n">
        <x:v>44704</x:v>
      </x:c>
      <x:c r="G224" s="32" t="n">
        <x:v>44704.999999988424</x:v>
      </x:c>
      <x:c r="H224" s="33" t="n">
        <x:f>IF(F224="","",('Summary'!$B$5-F224)/365.25)</x:f>
        <x:v>4.197159456042286</x:v>
      </x:c>
      <x:c r="I224" s="34" t="n">
        <x:v>0.0000194</x:v>
      </x:c>
      <x:c r="J224" s="35" t="n">
        <x:v>-0.24514</x:v>
      </x:c>
      <x:c r="K224" s="36" t="n">
        <x:v>14958973905</x:v>
      </x:c>
      <x:c r="L224" s="36" t="n">
        <x:v>320257.9910375</x:v>
      </x:c>
      <x:c r="M224" s="37" t="n">
        <x:v>4001</x:v>
      </x:c>
      <x:c r="N224" s="34" t="n">
        <x:v>0</x:v>
      </x:c>
      <x:c r="O224" s="34" t="n">
        <x:v>0</x:v>
      </x:c>
      <x:c r="P224" s="38" t="str">
        <x:f>IF(OR(N224="",O224="",N224=0,O224=0),"",(O224-N224)/((O224+N224)/2))</x:f>
      </x:c>
      <x:c r="Q224" s="34" t="n">
        <x:v>0.00002141</x:v>
      </x:c>
      <x:c r="R224" s="34" t="n">
        <x:v>0.0000286</x:v>
      </x:c>
      <x:c r="S224" s="34" t="n">
        <x:v>0.000017</x:v>
      </x:c>
      <x:c r="T224" s="32" t="n">
        <x:v>46209.26112309028</x:v>
      </x:c>
      <x:c r="U224" s="32" t="n">
        <x:v>46210.26112309028</x:v>
      </x:c>
      <x:c r="V224" s="34" t="n">
        <x:v>5</x:v>
      </x:c>
      <x:c r="W224" s="34" t="n">
        <x:v>1</x:v>
      </x:c>
      <x:c r="X224" s="34" t="n">
        <x:v>1</x:v>
      </x:c>
      <x:c r="Y224" s="34" t="n">
        <x:v>1e-7</x:v>
      </x:c>
      <x:c r="Z224" s="30" t="str">
        <x:f>IF(AND(D224="TRADING",I224&lt;&gt;"",L224&lt;&gt;"",M224&lt;&gt;"",N224&lt;&gt;"",O224&lt;&gt;""),"Yes","No")</x:f>
        <x:v>No</x:v>
      </x:c>
      <x:c r="AA224" s="39" t="str">
        <x:v>https://developers.binance.com/en/docs/catalog/core-trading-spot-trading/api/rest-api</x:v>
      </x:c>
    </x:row>
    <x:row r="225">
      <x:c r="A225" s="30" t="str">
        <x:v>ERAUSDT</x:v>
      </x:c>
      <x:c r="B225" s="30" t="str">
        <x:v>ERA</x:v>
      </x:c>
      <x:c r="C225" s="30" t="str">
        <x:v>USDT</x:v>
      </x:c>
      <x:c r="D225" s="30" t="str">
        <x:v>TRADING</x:v>
      </x:c>
      <x:c r="E225" s="31" t="b">
        <x:v>1</x:v>
      </x:c>
      <x:c r="F225" s="32" t="n">
        <x:v>45855</x:v>
      </x:c>
      <x:c r="G225" s="32" t="n">
        <x:v>45855.999999988424</x:v>
      </x:c>
      <x:c r="H225" s="33" t="n">
        <x:f>IF(F225="","",('Summary'!$B$5-F225)/365.25)</x:f>
        <x:v>1.0458932000532375</x:v>
      </x:c>
      <x:c r="I225" s="34" t="n">
        <x:v>0.0645</x:v>
      </x:c>
      <x:c r="J225" s="35" t="n">
        <x:v>-0.04303</x:v>
      </x:c>
      <x:c r="K225" s="36" t="n">
        <x:v>1591806344.3</x:v>
      </x:c>
      <x:c r="L225" s="36" t="n">
        <x:v>107041361.42866</x:v>
      </x:c>
      <x:c r="M225" s="37" t="n">
        <x:v>162407</x:v>
      </x:c>
      <x:c r="N225" s="34" t="n">
        <x:v>0.0645</x:v>
      </x:c>
      <x:c r="O225" s="34" t="n">
        <x:v>0.0646</x:v>
      </x:c>
      <x:c r="P225" s="38" t="n">
        <x:f>IF(OR(N225="",O225="",N225=0,O225=0),"",(O225-N225)/((O225+N225)/2))</x:f>
        <x:v>0.0015491866769946224</x:v>
      </x:c>
      <x:c r="Q225" s="34" t="n">
        <x:v>0.06724522</x:v>
      </x:c>
      <x:c r="R225" s="34" t="n">
        <x:v>0.0687</x:v>
      </x:c>
      <x:c r="S225" s="34" t="n">
        <x:v>0.0641</x:v>
      </x:c>
      <x:c r="T225" s="32" t="n">
        <x:v>46236.01248834491</x:v>
      </x:c>
      <x:c r="U225" s="32" t="n">
        <x:v>46237.01248834491</x:v>
      </x:c>
      <x:c r="V225" s="34" t="n">
        <x:v>5</x:v>
      </x:c>
      <x:c r="W225" s="34" t="n">
        <x:v>0.1</x:v>
      </x:c>
      <x:c r="X225" s="34" t="n">
        <x:v>0.1</x:v>
      </x:c>
      <x:c r="Y225" s="34" t="n">
        <x:v>0.0001</x:v>
      </x:c>
      <x:c r="Z225" s="30" t="str">
        <x:f>IF(AND(D225="TRADING",I225&lt;&gt;"",L225&lt;&gt;"",M225&lt;&gt;"",N225&lt;&gt;"",O225&lt;&gt;""),"Yes","No")</x:f>
        <x:v>Yes</x:v>
      </x:c>
      <x:c r="AA225" s="39" t="str">
        <x:v>https://developers.binance.com/en/docs/catalog/core-trading-spot-trading/api/rest-api</x:v>
      </x:c>
    </x:row>
    <x:row r="226">
      <x:c r="A226" s="30" t="str">
        <x:v>ERDUSDT</x:v>
      </x:c>
      <x:c r="B226" s="30" t="str">
        <x:v>ERD</x:v>
      </x:c>
      <x:c r="C226" s="30" t="str">
        <x:v>USDT</x:v>
      </x:c>
      <x:c r="D226" s="30" t="str">
        <x:v>BREAK</x:v>
      </x:c>
      <x:c r="E226" s="31" t="b">
        <x:v>1</x:v>
      </x:c>
      <x:c r="F226" s="32" t="n">
        <x:v>43650</x:v>
      </x:c>
      <x:c r="G226" s="32" t="n">
        <x:v>43650.999999988424</x:v>
      </x:c>
      <x:c r="H226" s="33" t="n">
        <x:f>IF(F226="","",('Summary'!$B$5-F226)/365.25)</x:f>
        <x:v>7.082854185679521</x:v>
      </x:c>
      <x:c r="I226" s="34" t="n">
        <x:v>0</x:v>
      </x:c>
      <x:c r="J226" s="35" t="n">
        <x:v>0</x:v>
      </x:c>
      <x:c r="K226" s="36" t="n">
        <x:v>0</x:v>
      </x:c>
      <x:c r="L226" s="36" t="n">
        <x:v>0</x:v>
      </x:c>
      <x:c r="M226" s="37" t="n">
        <x:v>0</x:v>
      </x:c>
      <x:c r="N226" s="34" t="n">
        <x:v>0</x:v>
      </x:c>
      <x:c r="O226" s="34" t="n">
        <x:v>0</x:v>
      </x:c>
      <x:c r="P226" s="38" t="str">
        <x:f>IF(OR(N226="",O226="",N226=0,O226=0),"",(O226-N226)/((O226+N226)/2))</x:f>
      </x:c>
      <x:c r="Q226" s="34" t="n">
        <x:v>0</x:v>
      </x:c>
      <x:c r="R226" s="34" t="n">
        <x:v>0</x:v>
      </x:c>
      <x:c r="S226" s="34" t="n">
        <x:v>0</x:v>
      </x:c>
      <x:c r="T226" s="32" t="n">
        <x:v>46209.26112309028</x:v>
      </x:c>
      <x:c r="U226" s="32" t="n">
        <x:v>46210.26112309028</x:v>
      </x:c>
      <x:c r="V226" s="34" t="n">
        <x:v>10</x:v>
      </x:c>
      <x:c r="W226" s="34" t="n">
        <x:v>1</x:v>
      </x:c>
      <x:c r="X226" s="34" t="n">
        <x:v>1</x:v>
      </x:c>
      <x:c r="Y226" s="34" t="n">
        <x:v>0.000001</x:v>
      </x:c>
      <x:c r="Z226" s="30" t="str">
        <x:f>IF(AND(D226="TRADING",I226&lt;&gt;"",L226&lt;&gt;"",M226&lt;&gt;"",N226&lt;&gt;"",O226&lt;&gt;""),"Yes","No")</x:f>
        <x:v>No</x:v>
      </x:c>
      <x:c r="AA226" s="39" t="str">
        <x:v>https://developers.binance.com/en/docs/catalog/core-trading-spot-trading/api/rest-api</x:v>
      </x:c>
    </x:row>
    <x:row r="227">
      <x:c r="A227" s="30" t="str">
        <x:v>ERNUSDT</x:v>
      </x:c>
      <x:c r="B227" s="30" t="str">
        <x:v>ERN</x:v>
      </x:c>
      <x:c r="C227" s="30" t="str">
        <x:v>USDT</x:v>
      </x:c>
      <x:c r="D227" s="30" t="str">
        <x:v>BREAK</x:v>
      </x:c>
      <x:c r="E227" s="31" t="b">
        <x:v>1</x:v>
      </x:c>
      <x:c r="F227" s="32" t="n">
        <x:v>44369</x:v>
      </x:c>
      <x:c r="G227" s="32" t="n">
        <x:v>44369.999999988424</x:v>
      </x:c>
      <x:c r="H227" s="33" t="n">
        <x:f>IF(F227="","",('Summary'!$B$5-F227)/365.25)</x:f>
        <x:v>5.11433946973154</x:v>
      </x:c>
      <x:c r="I227" s="34" t="n">
        <x:v>2.183</x:v>
      </x:c>
      <x:c r="J227" s="35" t="n">
        <x:v>0.05663</x:v>
      </x:c>
      <x:c r="K227" s="36" t="n">
        <x:v>297375.7</x:v>
      </x:c>
      <x:c r="L227" s="36" t="n">
        <x:v>639411.6946</x:v>
      </x:c>
      <x:c r="M227" s="37" t="n">
        <x:v>4001</x:v>
      </x:c>
      <x:c r="N227" s="34" t="n">
        <x:v>0</x:v>
      </x:c>
      <x:c r="O227" s="34" t="n">
        <x:v>0</x:v>
      </x:c>
      <x:c r="P227" s="38" t="str">
        <x:f>IF(OR(N227="",O227="",N227=0,O227=0),"",(O227-N227)/((O227+N227)/2))</x:f>
      </x:c>
      <x:c r="Q227" s="34" t="n">
        <x:v>2.15018139</x:v>
      </x:c>
      <x:c r="R227" s="34" t="n">
        <x:v>2.21</x:v>
      </x:c>
      <x:c r="S227" s="34" t="n">
        <x:v>2.049</x:v>
      </x:c>
      <x:c r="T227" s="32" t="n">
        <x:v>46209.26112309028</x:v>
      </x:c>
      <x:c r="U227" s="32" t="n">
        <x:v>46210.26112309028</x:v>
      </x:c>
      <x:c r="V227" s="34" t="n">
        <x:v>5</x:v>
      </x:c>
      <x:c r="W227" s="34" t="n">
        <x:v>0.1</x:v>
      </x:c>
      <x:c r="X227" s="34" t="n">
        <x:v>0.1</x:v>
      </x:c>
      <x:c r="Y227" s="34" t="n">
        <x:v>0.001</x:v>
      </x:c>
      <x:c r="Z227" s="30" t="str">
        <x:f>IF(AND(D227="TRADING",I227&lt;&gt;"",L227&lt;&gt;"",M227&lt;&gt;"",N227&lt;&gt;"",O227&lt;&gt;""),"Yes","No")</x:f>
        <x:v>No</x:v>
      </x:c>
      <x:c r="AA227" s="39" t="str">
        <x:v>https://developers.binance.com/en/docs/catalog/core-trading-spot-trading/api/rest-api</x:v>
      </x:c>
    </x:row>
    <x:row r="228">
      <x:c r="A228" s="30" t="str">
        <x:v>ESPUSDT</x:v>
      </x:c>
      <x:c r="B228" s="30" t="str">
        <x:v>ESP</x:v>
      </x:c>
      <x:c r="C228" s="30" t="str">
        <x:v>USDT</x:v>
      </x:c>
      <x:c r="D228" s="30" t="str">
        <x:v>TRADING</x:v>
      </x:c>
      <x:c r="E228" s="31" t="b">
        <x:v>1</x:v>
      </x:c>
      <x:c r="F228" s="32" t="n">
        <x:v>46065</x:v>
      </x:c>
      <x:c r="G228" s="32" t="n">
        <x:v>46065.999999988424</x:v>
      </x:c>
      <x:c r="H228" s="33" t="n">
        <x:f>IF(F228="","",('Summary'!$B$5-F228)/365.25)</x:f>
        <x:v>0.47094453475549614</x:v>
      </x:c>
      <x:c r="I228" s="34" t="n">
        <x:v>0.06412</x:v>
      </x:c>
      <x:c r="J228" s="35" t="n">
        <x:v>-0.03579</x:v>
      </x:c>
      <x:c r="K228" s="36" t="n">
        <x:v>43595442</x:v>
      </x:c>
      <x:c r="L228" s="36" t="n">
        <x:v>3011645.16201</x:v>
      </x:c>
      <x:c r="M228" s="37" t="n">
        <x:v>105423</x:v>
      </x:c>
      <x:c r="N228" s="34" t="n">
        <x:v>0.06412</x:v>
      </x:c>
      <x:c r="O228" s="34" t="n">
        <x:v>0.06413</x:v>
      </x:c>
      <x:c r="P228" s="38" t="n">
        <x:f>IF(OR(N228="",O228="",N228=0,O228=0),"",(O228-N228)/((O228+N228)/2))</x:f>
        <x:v>0.0001559454191034698</x:v>
      </x:c>
      <x:c r="Q228" s="34" t="n">
        <x:v>0.06908165</x:v>
      </x:c>
      <x:c r="R228" s="34" t="n">
        <x:v>0.07358</x:v>
      </x:c>
      <x:c r="S228" s="34" t="n">
        <x:v>0.06387</x:v>
      </x:c>
      <x:c r="T228" s="32" t="n">
        <x:v>46236.012422280095</x:v>
      </x:c>
      <x:c r="U228" s="32" t="n">
        <x:v>46237.012422280095</x:v>
      </x:c>
      <x:c r="V228" s="34" t="n">
        <x:v>5</x:v>
      </x:c>
      <x:c r="W228" s="34" t="n">
        <x:v>1</x:v>
      </x:c>
      <x:c r="X228" s="34" t="n">
        <x:v>1</x:v>
      </x:c>
      <x:c r="Y228" s="34" t="n">
        <x:v>0.00001</x:v>
      </x:c>
      <x:c r="Z228" s="30" t="str">
        <x:f>IF(AND(D228="TRADING",I228&lt;&gt;"",L228&lt;&gt;"",M228&lt;&gt;"",N228&lt;&gt;"",O228&lt;&gt;""),"Yes","No")</x:f>
        <x:v>Yes</x:v>
      </x:c>
      <x:c r="AA228" s="39" t="str">
        <x:v>https://developers.binance.com/en/docs/catalog/core-trading-spot-trading/api/rest-api</x:v>
      </x:c>
    </x:row>
    <x:row r="229">
      <x:c r="A229" s="30" t="str">
        <x:v>ETCUSDT</x:v>
      </x:c>
      <x:c r="B229" s="30" t="str">
        <x:v>ETC</x:v>
      </x:c>
      <x:c r="C229" s="30" t="str">
        <x:v>USDT</x:v>
      </x:c>
      <x:c r="D229" s="30" t="str">
        <x:v>TRADING</x:v>
      </x:c>
      <x:c r="E229" s="31" t="b">
        <x:v>1</x:v>
      </x:c>
      <x:c r="F229" s="32" t="n">
        <x:v>43263</x:v>
      </x:c>
      <x:c r="G229" s="32" t="n">
        <x:v>43263.999999988424</x:v>
      </x:c>
      <x:c r="H229" s="33" t="n">
        <x:f>IF(F229="","",('Summary'!$B$5-F229)/365.25)</x:f>
        <x:v>8.142402440299644</x:v>
      </x:c>
      <x:c r="I229" s="34" t="n">
        <x:v>6.62</x:v>
      </x:c>
      <x:c r="J229" s="35" t="n">
        <x:v>0.013779999999999999</x:v>
      </x:c>
      <x:c r="K229" s="36" t="n">
        <x:v>155841.87</x:v>
      </x:c>
      <x:c r="L229" s="36" t="n">
        <x:v>1032882.3138</x:v>
      </x:c>
      <x:c r="M229" s="37" t="n">
        <x:v>11177</x:v>
      </x:c>
      <x:c r="N229" s="34" t="n">
        <x:v>6.62</x:v>
      </x:c>
      <x:c r="O229" s="34" t="n">
        <x:v>6.63</x:v>
      </x:c>
      <x:c r="P229" s="38" t="n">
        <x:f>IF(OR(N229="",O229="",N229=0,O229=0),"",(O229-N229)/((O229+N229)/2))</x:f>
        <x:v>0.0015094339622641188</x:v>
      </x:c>
      <x:c r="Q229" s="34" t="n">
        <x:v>6.62775873</x:v>
      </x:c>
      <x:c r="R229" s="34" t="n">
        <x:v>6.68</x:v>
      </x:c>
      <x:c r="S229" s="34" t="n">
        <x:v>6.51</x:v>
      </x:c>
      <x:c r="T229" s="32" t="n">
        <x:v>46236.012476793985</x:v>
      </x:c>
      <x:c r="U229" s="32" t="n">
        <x:v>46237.012476793985</x:v>
      </x:c>
      <x:c r="V229" s="34" t="n">
        <x:v>5</x:v>
      </x:c>
      <x:c r="W229" s="34" t="n">
        <x:v>0.01</x:v>
      </x:c>
      <x:c r="X229" s="34" t="n">
        <x:v>0.01</x:v>
      </x:c>
      <x:c r="Y229" s="34" t="n">
        <x:v>0.01</x:v>
      </x:c>
      <x:c r="Z229" s="30" t="str">
        <x:f>IF(AND(D229="TRADING",I229&lt;&gt;"",L229&lt;&gt;"",M229&lt;&gt;"",N229&lt;&gt;"",O229&lt;&gt;""),"Yes","No")</x:f>
        <x:v>Yes</x:v>
      </x:c>
      <x:c r="AA229" s="39" t="str">
        <x:v>https://developers.binance.com/en/docs/catalog/core-trading-spot-trading/api/rest-api</x:v>
      </x:c>
    </x:row>
    <x:row r="230">
      <x:c r="A230" s="30" t="str">
        <x:v>ETHBEARUSDT</x:v>
      </x:c>
      <x:c r="B230" s="30" t="str">
        <x:v>ETHBEAR</x:v>
      </x:c>
      <x:c r="C230" s="30" t="str">
        <x:v>USDT</x:v>
      </x:c>
      <x:c r="D230" s="30" t="str">
        <x:v>BREAK</x:v>
      </x:c>
      <x:c r="E230" s="31" t="b">
        <x:v>1</x:v>
      </x:c>
      <x:c r="F230" s="32" t="n">
        <x:v>43847</x:v>
      </x:c>
      <x:c r="G230" s="32" t="n">
        <x:v>43847.524849305555</x:v>
      </x:c>
      <x:c r="H230" s="33" t="n">
        <x:f>IF(F230="","",('Summary'!$B$5-F230)/365.25)</x:f>
        <x:v>6.543497580614496</x:v>
      </x:c>
      <x:c r="I230" s="34" t="n">
        <x:v>0</x:v>
      </x:c>
      <x:c r="J230" s="35" t="n">
        <x:v>0</x:v>
      </x:c>
      <x:c r="K230" s="36" t="n">
        <x:v>0</x:v>
      </x:c>
      <x:c r="L230" s="36" t="n">
        <x:v>0</x:v>
      </x:c>
      <x:c r="M230" s="37" t="n">
        <x:v>0</x:v>
      </x:c>
      <x:c r="N230" s="34" t="n">
        <x:v>0</x:v>
      </x:c>
      <x:c r="O230" s="34" t="n">
        <x:v>0</x:v>
      </x:c>
      <x:c r="P230" s="38" t="str">
        <x:f>IF(OR(N230="",O230="",N230=0,O230=0),"",(O230-N230)/((O230+N230)/2))</x:f>
      </x:c>
      <x:c r="Q230" s="34" t="n">
        <x:v>0</x:v>
      </x:c>
      <x:c r="R230" s="34" t="n">
        <x:v>0</x:v>
      </x:c>
      <x:c r="S230" s="34" t="n">
        <x:v>0</x:v>
      </x:c>
      <x:c r="T230" s="32" t="n">
        <x:v>46209.26112309028</x:v>
      </x:c>
      <x:c r="U230" s="32" t="n">
        <x:v>46210.26112309028</x:v>
      </x:c>
      <x:c r="V230" s="34" t="n">
        <x:v>10</x:v>
      </x:c>
      <x:c r="W230" s="34" t="n">
        <x:v>0.00001</x:v>
      </x:c>
      <x:c r="X230" s="34" t="n">
        <x:v>0.00001</x:v>
      </x:c>
      <x:c r="Y230" s="34" t="n">
        <x:v>0.01</x:v>
      </x:c>
      <x:c r="Z230" s="30" t="str">
        <x:f>IF(AND(D230="TRADING",I230&lt;&gt;"",L230&lt;&gt;"",M230&lt;&gt;"",N230&lt;&gt;"",O230&lt;&gt;""),"Yes","No")</x:f>
        <x:v>No</x:v>
      </x:c>
      <x:c r="AA230" s="39" t="str">
        <x:v>https://developers.binance.com/en/docs/catalog/core-trading-spot-trading/api/rest-api</x:v>
      </x:c>
    </x:row>
    <x:row r="231">
      <x:c r="A231" s="30" t="str">
        <x:v>ETHBULLUSDT</x:v>
      </x:c>
      <x:c r="B231" s="30" t="str">
        <x:v>ETHBULL</x:v>
      </x:c>
      <x:c r="C231" s="30" t="str">
        <x:v>USDT</x:v>
      </x:c>
      <x:c r="D231" s="30" t="str">
        <x:v>BREAK</x:v>
      </x:c>
      <x:c r="E231" s="31" t="b">
        <x:v>1</x:v>
      </x:c>
      <x:c r="F231" s="32" t="n">
        <x:v>43847</x:v>
      </x:c>
      <x:c r="G231" s="32" t="n">
        <x:v>43847.524653726854</x:v>
      </x:c>
      <x:c r="H231" s="33" t="n">
        <x:f>IF(F231="","",('Summary'!$B$5-F231)/365.25)</x:f>
        <x:v>6.543497580614496</x:v>
      </x:c>
      <x:c r="I231" s="34" t="n">
        <x:v>0</x:v>
      </x:c>
      <x:c r="J231" s="35" t="n">
        <x:v>0</x:v>
      </x:c>
      <x:c r="K231" s="36" t="n">
        <x:v>0</x:v>
      </x:c>
      <x:c r="L231" s="36" t="n">
        <x:v>0</x:v>
      </x:c>
      <x:c r="M231" s="37" t="n">
        <x:v>0</x:v>
      </x:c>
      <x:c r="N231" s="34" t="n">
        <x:v>0</x:v>
      </x:c>
      <x:c r="O231" s="34" t="n">
        <x:v>0</x:v>
      </x:c>
      <x:c r="P231" s="38" t="str">
        <x:f>IF(OR(N231="",O231="",N231=0,O231=0),"",(O231-N231)/((O231+N231)/2))</x:f>
      </x:c>
      <x:c r="Q231" s="34" t="n">
        <x:v>0</x:v>
      </x:c>
      <x:c r="R231" s="34" t="n">
        <x:v>0</x:v>
      </x:c>
      <x:c r="S231" s="34" t="n">
        <x:v>0</x:v>
      </x:c>
      <x:c r="T231" s="32" t="n">
        <x:v>46209.26112309028</x:v>
      </x:c>
      <x:c r="U231" s="32" t="n">
        <x:v>46210.26112309028</x:v>
      </x:c>
      <x:c r="V231" s="34" t="n">
        <x:v>10</x:v>
      </x:c>
      <x:c r="W231" s="34" t="n">
        <x:v>0.000001</x:v>
      </x:c>
      <x:c r="X231" s="34" t="n">
        <x:v>0.000001</x:v>
      </x:c>
      <x:c r="Y231" s="34" t="n">
        <x:v>0.01</x:v>
      </x:c>
      <x:c r="Z231" s="30" t="str">
        <x:f>IF(AND(D231="TRADING",I231&lt;&gt;"",L231&lt;&gt;"",M231&lt;&gt;"",N231&lt;&gt;"",O231&lt;&gt;""),"Yes","No")</x:f>
        <x:v>No</x:v>
      </x:c>
      <x:c r="AA231" s="39" t="str">
        <x:v>https://developers.binance.com/en/docs/catalog/core-trading-spot-trading/api/rest-api</x:v>
      </x:c>
    </x:row>
    <x:row r="232">
      <x:c r="A232" s="30" t="str">
        <x:v>ETHFIUSDT</x:v>
      </x:c>
      <x:c r="B232" s="30" t="str">
        <x:v>ETHFI</x:v>
      </x:c>
      <x:c r="C232" s="30" t="str">
        <x:v>USDT</x:v>
      </x:c>
      <x:c r="D232" s="30" t="str">
        <x:v>TRADING</x:v>
      </x:c>
      <x:c r="E232" s="31" t="b">
        <x:v>1</x:v>
      </x:c>
      <x:c r="F232" s="32" t="n">
        <x:v>45369</x:v>
      </x:c>
      <x:c r="G232" s="32" t="n">
        <x:v>45369.999999988424</x:v>
      </x:c>
      <x:c r="H232" s="33" t="n">
        <x:f>IF(F232="","",('Summary'!$B$5-F232)/365.25)</x:f>
        <x:v>2.3764886825994385</x:v>
      </x:c>
      <x:c r="I232" s="34" t="n">
        <x:v>0.3976</x:v>
      </x:c>
      <x:c r="J232" s="35" t="n">
        <x:v>-0.00251</x:v>
      </x:c>
      <x:c r="K232" s="36" t="n">
        <x:v>4018515.3</x:v>
      </x:c>
      <x:c r="L232" s="36" t="n">
        <x:v>1626153.55744</x:v>
      </x:c>
      <x:c r="M232" s="37" t="n">
        <x:v>24833</x:v>
      </x:c>
      <x:c r="N232" s="34" t="n">
        <x:v>0.3975</x:v>
      </x:c>
      <x:c r="O232" s="34" t="n">
        <x:v>0.3976</x:v>
      </x:c>
      <x:c r="P232" s="38" t="n">
        <x:f>IF(OR(N232="",O232="",N232=0,O232=0),"",(O232-N232)/((O232+N232)/2))</x:f>
        <x:v>0.000251540686706047</x:v>
      </x:c>
      <x:c r="Q232" s="34" t="n">
        <x:v>0.40466526</x:v>
      </x:c>
      <x:c r="R232" s="34" t="n">
        <x:v>0.4146</x:v>
      </x:c>
      <x:c r="S232" s="34" t="n">
        <x:v>0.3959</x:v>
      </x:c>
      <x:c r="T232" s="32" t="n">
        <x:v>46236.012466168984</x:v>
      </x:c>
      <x:c r="U232" s="32" t="n">
        <x:v>46237.012466168984</x:v>
      </x:c>
      <x:c r="V232" s="34" t="n">
        <x:v>5</x:v>
      </x:c>
      <x:c r="W232" s="34" t="n">
        <x:v>0.1</x:v>
      </x:c>
      <x:c r="X232" s="34" t="n">
        <x:v>0.1</x:v>
      </x:c>
      <x:c r="Y232" s="34" t="n">
        <x:v>0.0001</x:v>
      </x:c>
      <x:c r="Z232" s="30" t="str">
        <x:f>IF(AND(D232="TRADING",I232&lt;&gt;"",L232&lt;&gt;"",M232&lt;&gt;"",N232&lt;&gt;"",O232&lt;&gt;""),"Yes","No")</x:f>
        <x:v>Yes</x:v>
      </x:c>
      <x:c r="AA232" s="39" t="str">
        <x:v>https://developers.binance.com/en/docs/catalog/core-trading-spot-trading/api/rest-api</x:v>
      </x:c>
    </x:row>
    <x:row r="233">
      <x:c r="A233" s="30" t="str">
        <x:v>ETHUSDT</x:v>
      </x:c>
      <x:c r="B233" s="30" t="str">
        <x:v>ETH</x:v>
      </x:c>
      <x:c r="C233" s="30" t="str">
        <x:v>USDT</x:v>
      </x:c>
      <x:c r="D233" s="30" t="str">
        <x:v>TRADING</x:v>
      </x:c>
      <x:c r="E233" s="31" t="b">
        <x:v>1</x:v>
      </x:c>
      <x:c r="F233" s="32" t="n">
        <x:v>42964</x:v>
      </x:c>
      <x:c r="G233" s="32" t="n">
        <x:v>42964.999999988424</x:v>
      </x:c>
      <x:c r="H233" s="33" t="n">
        <x:f>IF(F233="","",('Summary'!$B$5-F233)/365.25)</x:f>
        <x:v>8.961019825652143</x:v>
      </x:c>
      <x:c r="I233" s="34" t="n">
        <x:v>1880.05</x:v>
      </x:c>
      <x:c r="J233" s="35" t="n">
        <x:v>0.01724</x:v>
      </x:c>
      <x:c r="K233" s="36" t="n">
        <x:v>123976.6634</x:v>
      </x:c>
      <x:c r="L233" s="36" t="n">
        <x:v>232226462.552382</x:v>
      </x:c>
      <x:c r="M233" s="37" t="n">
        <x:v>1139443</x:v>
      </x:c>
      <x:c r="N233" s="34" t="n">
        <x:v>1880.06</x:v>
      </x:c>
      <x:c r="O233" s="34" t="n">
        <x:v>1880.07</x:v>
      </x:c>
      <x:c r="P233" s="38" t="n">
        <x:f>IF(OR(N233="",O233="",N233=0,O233=0),"",(O233-N233)/((O233+N233)/2))</x:f>
        <x:v>0.000005318965035778499</x:v>
      </x:c>
      <x:c r="Q233" s="34" t="n">
        <x:v>1873.14657601</x:v>
      </x:c>
      <x:c r="R233" s="34" t="n">
        <x:v>1898.5</x:v>
      </x:c>
      <x:c r="S233" s="34" t="n">
        <x:v>1843.67</x:v>
      </x:c>
      <x:c r="T233" s="32" t="n">
        <x:v>46236.01248857639</x:v>
      </x:c>
      <x:c r="U233" s="32" t="n">
        <x:v>46237.01248857639</x:v>
      </x:c>
      <x:c r="V233" s="34" t="n">
        <x:v>5</x:v>
      </x:c>
      <x:c r="W233" s="34" t="n">
        <x:v>0.0001</x:v>
      </x:c>
      <x:c r="X233" s="34" t="n">
        <x:v>0.0001</x:v>
      </x:c>
      <x:c r="Y233" s="34" t="n">
        <x:v>0.01</x:v>
      </x:c>
      <x:c r="Z233" s="30" t="str">
        <x:f>IF(AND(D233="TRADING",I233&lt;&gt;"",L233&lt;&gt;"",M233&lt;&gt;"",N233&lt;&gt;"",O233&lt;&gt;""),"Yes","No")</x:f>
        <x:v>Yes</x:v>
      </x:c>
      <x:c r="AA233" s="39" t="str">
        <x:v>https://developers.binance.com/en/docs/catalog/core-trading-spot-trading/api/rest-api</x:v>
      </x:c>
    </x:row>
    <x:row r="234">
      <x:c r="A234" s="30" t="str">
        <x:v>EULUSDT</x:v>
      </x:c>
      <x:c r="B234" s="30" t="str">
        <x:v>EUL</x:v>
      </x:c>
      <x:c r="C234" s="30" t="str">
        <x:v>USDT</x:v>
      </x:c>
      <x:c r="D234" s="30" t="str">
        <x:v>TRADING</x:v>
      </x:c>
      <x:c r="E234" s="31" t="b">
        <x:v>1</x:v>
      </x:c>
      <x:c r="F234" s="32" t="n">
        <x:v>45943</x:v>
      </x:c>
      <x:c r="G234" s="32" t="n">
        <x:v>45943.999999988424</x:v>
      </x:c>
      <x:c r="H234" s="33" t="n">
        <x:f>IF(F234="","",('Summary'!$B$5-F234)/365.25)</x:f>
        <x:v>0.8049623307856125</x:v>
      </x:c>
      <x:c r="I234" s="34" t="n">
        <x:v>1.391</x:v>
      </x:c>
      <x:c r="J234" s="35" t="n">
        <x:v>-0.0944</x:v>
      </x:c>
      <x:c r="K234" s="36" t="n">
        <x:v>29898126.71</x:v>
      </x:c>
      <x:c r="L234" s="36" t="n">
        <x:v>45416419.49162</x:v>
      </x:c>
      <x:c r="M234" s="37" t="n">
        <x:v>210741</x:v>
      </x:c>
      <x:c r="N234" s="34" t="n">
        <x:v>1.39</x:v>
      </x:c>
      <x:c r="O234" s="34" t="n">
        <x:v>1.391</x:v>
      </x:c>
      <x:c r="P234" s="38" t="n">
        <x:f>IF(OR(N234="",O234="",N234=0,O234=0),"",(O234-N234)/((O234+N234)/2))</x:f>
        <x:v>0.0007191657677095376</x:v>
      </x:c>
      <x:c r="Q234" s="34" t="n">
        <x:v>1.51903897</x:v>
      </x:c>
      <x:c r="R234" s="34" t="n">
        <x:v>1.673</x:v>
      </x:c>
      <x:c r="S234" s="34" t="n">
        <x:v>1.386</x:v>
      </x:c>
      <x:c r="T234" s="32" t="n">
        <x:v>46236.01246347222</x:v>
      </x:c>
      <x:c r="U234" s="32" t="n">
        <x:v>46237.01246347222</x:v>
      </x:c>
      <x:c r="V234" s="34" t="n">
        <x:v>5</x:v>
      </x:c>
      <x:c r="W234" s="34" t="n">
        <x:v>0.01</x:v>
      </x:c>
      <x:c r="X234" s="34" t="n">
        <x:v>0.01</x:v>
      </x:c>
      <x:c r="Y234" s="34" t="n">
        <x:v>0.001</x:v>
      </x:c>
      <x:c r="Z234" s="30" t="str">
        <x:f>IF(AND(D234="TRADING",I234&lt;&gt;"",L234&lt;&gt;"",M234&lt;&gt;"",N234&lt;&gt;"",O234&lt;&gt;""),"Yes","No")</x:f>
        <x:v>Yes</x:v>
      </x:c>
      <x:c r="AA234" s="39" t="str">
        <x:v>https://developers.binance.com/en/docs/catalog/core-trading-spot-trading/api/rest-api</x:v>
      </x:c>
    </x:row>
    <x:row r="235">
      <x:c r="A235" s="30" t="str">
        <x:v>EURIUSDT</x:v>
      </x:c>
      <x:c r="B235" s="30" t="str">
        <x:v>EURI</x:v>
      </x:c>
      <x:c r="C235" s="30" t="str">
        <x:v>USDT</x:v>
      </x:c>
      <x:c r="D235" s="30" t="str">
        <x:v>TRADING</x:v>
      </x:c>
      <x:c r="E235" s="31" t="b">
        <x:v>1</x:v>
      </x:c>
      <x:c r="F235" s="32" t="n">
        <x:v>45532</x:v>
      </x:c>
      <x:c r="G235" s="32" t="n">
        <x:v>45532.999999988424</x:v>
      </x:c>
      <x:c r="H235" s="33" t="n">
        <x:f>IF(F235="","",('Summary'!$B$5-F235)/365.25)</x:f>
        <x:v>1.930219004296906</x:v>
      </x:c>
      <x:c r="I235" s="34" t="n">
        <x:v>1.1542</x:v>
      </x:c>
      <x:c r="J235" s="35" t="n">
        <x:v>0.00165</x:v>
      </x:c>
      <x:c r="K235" s="36" t="n">
        <x:v>126282</x:v>
      </x:c>
      <x:c r="L235" s="36" t="n">
        <x:v>145689.12545</x:v>
      </x:c>
      <x:c r="M235" s="37" t="n">
        <x:v>1734</x:v>
      </x:c>
      <x:c r="N235" s="34" t="n">
        <x:v>1.1541</x:v>
      </x:c>
      <x:c r="O235" s="34" t="n">
        <x:v>1.1543</x:v>
      </x:c>
      <x:c r="P235" s="38" t="n">
        <x:f>IF(OR(N235="",O235="",N235=0,O235=0),"",(O235-N235)/((O235+N235)/2))</x:f>
        <x:v>0.00017328019407399068</x:v>
      </x:c>
      <x:c r="Q235" s="34" t="n">
        <x:v>1.15368085</x:v>
      </x:c>
      <x:c r="R235" s="34" t="n">
        <x:v>1.1561</x:v>
      </x:c>
      <x:c r="S235" s="34" t="n">
        <x:v>1.1523</x:v>
      </x:c>
      <x:c r="T235" s="32" t="n">
        <x:v>46236.01174905093</x:v>
      </x:c>
      <x:c r="U235" s="32" t="n">
        <x:v>46237.01174905093</x:v>
      </x:c>
      <x:c r="V235" s="34" t="n">
        <x:v>5</x:v>
      </x:c>
      <x:c r="W235" s="34" t="n">
        <x:v>0.1</x:v>
      </x:c>
      <x:c r="X235" s="34" t="n">
        <x:v>0.1</x:v>
      </x:c>
      <x:c r="Y235" s="34" t="n">
        <x:v>0.0001</x:v>
      </x:c>
      <x:c r="Z235" s="30" t="str">
        <x:f>IF(AND(D235="TRADING",I235&lt;&gt;"",L235&lt;&gt;"",M235&lt;&gt;"",N235&lt;&gt;"",O235&lt;&gt;""),"Yes","No")</x:f>
        <x:v>Yes</x:v>
      </x:c>
      <x:c r="AA235" s="39" t="str">
        <x:v>https://developers.binance.com/en/docs/catalog/core-trading-spot-trading/api/rest-api</x:v>
      </x:c>
    </x:row>
    <x:row r="236">
      <x:c r="A236" s="30" t="str">
        <x:v>EURUSDT</x:v>
      </x:c>
      <x:c r="B236" s="30" t="str">
        <x:v>EUR</x:v>
      </x:c>
      <x:c r="C236" s="30" t="str">
        <x:v>USDT</x:v>
      </x:c>
      <x:c r="D236" s="30" t="str">
        <x:v>TRADING</x:v>
      </x:c>
      <x:c r="E236" s="31" t="b">
        <x:v>1</x:v>
      </x:c>
      <x:c r="F236" s="32" t="n">
        <x:v>43833</x:v>
      </x:c>
      <x:c r="G236" s="32" t="n">
        <x:v>43833.999999988424</x:v>
      </x:c>
      <x:c r="H236" s="33" t="n">
        <x:f>IF(F236="","",('Summary'!$B$5-F236)/365.25)</x:f>
        <x:v>6.581827491634346</x:v>
      </x:c>
      <x:c r="I236" s="34" t="n">
        <x:v>1.1548</x:v>
      </x:c>
      <x:c r="J236" s="35" t="n">
        <x:v>0.00147</x:v>
      </x:c>
      <x:c r="K236" s="36" t="n">
        <x:v>32449239.4</x:v>
      </x:c>
      <x:c r="L236" s="36" t="n">
        <x:v>37490931.90703</x:v>
      </x:c>
      <x:c r="M236" s="37" t="n">
        <x:v>23932</x:v>
      </x:c>
      <x:c r="N236" s="34" t="n">
        <x:v>1.1547</x:v>
      </x:c>
      <x:c r="O236" s="34" t="n">
        <x:v>1.1548</x:v>
      </x:c>
      <x:c r="P236" s="38" t="n">
        <x:f>IF(OR(N236="",O236="",N236=0,O236=0),"",(O236-N236)/((O236+N236)/2))</x:f>
        <x:v>0.0000865988309157731</x:v>
      </x:c>
      <x:c r="Q236" s="34" t="n">
        <x:v>1.15537167</x:v>
      </x:c>
      <x:c r="R236" s="34" t="n">
        <x:v>1.1568</x:v>
      </x:c>
      <x:c r="S236" s="34" t="n">
        <x:v>1.1529</x:v>
      </x:c>
      <x:c r="T236" s="32" t="n">
        <x:v>46236.01248114583</x:v>
      </x:c>
      <x:c r="U236" s="32" t="n">
        <x:v>46237.01248114583</x:v>
      </x:c>
      <x:c r="V236" s="34" t="n">
        <x:v>5</x:v>
      </x:c>
      <x:c r="W236" s="34" t="n">
        <x:v>0.1</x:v>
      </x:c>
      <x:c r="X236" s="34" t="n">
        <x:v>0.1</x:v>
      </x:c>
      <x:c r="Y236" s="34" t="n">
        <x:v>0.0001</x:v>
      </x:c>
      <x:c r="Z236" s="30" t="str">
        <x:f>IF(AND(D236="TRADING",I236&lt;&gt;"",L236&lt;&gt;"",M236&lt;&gt;"",N236&lt;&gt;"",O236&lt;&gt;""),"Yes","No")</x:f>
        <x:v>Yes</x:v>
      </x:c>
      <x:c r="AA236" s="39" t="str">
        <x:v>https://developers.binance.com/en/docs/catalog/core-trading-spot-trading/api/rest-api</x:v>
      </x:c>
    </x:row>
    <x:row r="237">
      <x:c r="A237" s="30" t="str">
        <x:v>EWYBUSDT</x:v>
      </x:c>
      <x:c r="B237" s="30" t="str">
        <x:v>EWYB</x:v>
      </x:c>
      <x:c r="C237" s="30" t="str">
        <x:v>USDT</x:v>
      </x:c>
      <x:c r="D237" s="30" t="str">
        <x:v>TRADING</x:v>
      </x:c>
      <x:c r="E237" s="31" t="b">
        <x:v>1</x:v>
      </x:c>
      <x:c r="F237" s="32" t="n">
        <x:v>46196</x:v>
      </x:c>
      <x:c r="G237" s="32" t="n">
        <x:v>46196.999999988424</x:v>
      </x:c>
      <x:c r="H237" s="33" t="n">
        <x:f>IF(F237="","",('Summary'!$B$5-F237)/365.25)</x:f>
        <x:v>0.11228608164119086</x:v>
      </x:c>
      <x:c r="I237" s="34" t="n">
        <x:v>161.44</x:v>
      </x:c>
      <x:c r="J237" s="35" t="n">
        <x:v>0.02177</x:v>
      </x:c>
      <x:c r="K237" s="36" t="n">
        <x:v>20756.426</x:v>
      </x:c>
      <x:c r="L237" s="36" t="n">
        <x:v>3343975.16833</x:v>
      </x:c>
      <x:c r="M237" s="37" t="n">
        <x:v>64810</x:v>
      </x:c>
      <x:c r="N237" s="34" t="n">
        <x:v>161.22</x:v>
      </x:c>
      <x:c r="O237" s="34" t="n">
        <x:v>161.32</x:v>
      </x:c>
      <x:c r="P237" s="38" t="n">
        <x:f>IF(OR(N237="",O237="",N237=0,O237=0),"",(O237-N237)/((O237+N237)/2))</x:f>
        <x:v>0.0006200781298443252</x:v>
      </x:c>
      <x:c r="Q237" s="34" t="n">
        <x:v>161.10553755</x:v>
      </x:c>
      <x:c r="R237" s="34" t="n">
        <x:v>164</x:v>
      </x:c>
      <x:c r="S237" s="34" t="n">
        <x:v>157.4</x:v>
      </x:c>
      <x:c r="T237" s="32" t="n">
        <x:v>46236.01248417824</x:v>
      </x:c>
      <x:c r="U237" s="32" t="n">
        <x:v>46237.01248417824</x:v>
      </x:c>
      <x:c r="V237" s="34" t="n">
        <x:v>5</x:v>
      </x:c>
      <x:c r="W237" s="34" t="n">
        <x:v>0.001</x:v>
      </x:c>
      <x:c r="X237" s="34" t="n">
        <x:v>0.001</x:v>
      </x:c>
      <x:c r="Y237" s="34" t="n">
        <x:v>0.01</x:v>
      </x:c>
      <x:c r="Z237" s="30" t="str">
        <x:f>IF(AND(D237="TRADING",I237&lt;&gt;"",L237&lt;&gt;"",M237&lt;&gt;"",N237&lt;&gt;"",O237&lt;&gt;""),"Yes","No")</x:f>
        <x:v>Yes</x:v>
      </x:c>
      <x:c r="AA237" s="39" t="str">
        <x:v>https://developers.binance.com/en/docs/catalog/core-trading-spot-trading/api/rest-api</x:v>
      </x:c>
    </x:row>
    <x:row r="238">
      <x:c r="A238" s="30" t="str">
        <x:v>FARMUSDT</x:v>
      </x:c>
      <x:c r="B238" s="30" t="str">
        <x:v>FARM</x:v>
      </x:c>
      <x:c r="C238" s="30" t="str">
        <x:v>USDT</x:v>
      </x:c>
      <x:c r="D238" s="30" t="str">
        <x:v>BREAK</x:v>
      </x:c>
      <x:c r="E238" s="31" t="b">
        <x:v>1</x:v>
      </x:c>
      <x:c r="F238" s="32" t="n">
        <x:v>44419</x:v>
      </x:c>
      <x:c r="G238" s="32" t="n">
        <x:v>44419.999999988424</x:v>
      </x:c>
      <x:c r="H238" s="33" t="n">
        <x:f>IF(F238="","",('Summary'!$B$5-F238)/365.25)</x:f>
        <x:v>4.977446930374935</x:v>
      </x:c>
      <x:c r="I238" s="34" t="n">
        <x:v>5.8</x:v>
      </x:c>
      <x:c r="J238" s="35" t="n">
        <x:v>-0.16547</x:v>
      </x:c>
      <x:c r="K238" s="36" t="n">
        <x:v>46879.394</x:v>
      </x:c>
      <x:c r="L238" s="36" t="n">
        <x:v>303293.40428</x:v>
      </x:c>
      <x:c r="M238" s="37" t="n">
        <x:v>8375</x:v>
      </x:c>
      <x:c r="N238" s="34" t="n">
        <x:v>0</x:v>
      </x:c>
      <x:c r="O238" s="34" t="n">
        <x:v>0</x:v>
      </x:c>
      <x:c r="P238" s="38" t="str">
        <x:f>IF(OR(N238="",O238="",N238=0,O238=0),"",(O238-N238)/((O238+N238)/2))</x:f>
      </x:c>
      <x:c r="Q238" s="34" t="n">
        <x:v>6.46965283</x:v>
      </x:c>
      <x:c r="R238" s="34" t="n">
        <x:v>7.77</x:v>
      </x:c>
      <x:c r="S238" s="34" t="n">
        <x:v>5.49</x:v>
      </x:c>
      <x:c r="T238" s="32" t="n">
        <x:v>46209.26112309028</x:v>
      </x:c>
      <x:c r="U238" s="32" t="n">
        <x:v>46210.26112309028</x:v>
      </x:c>
      <x:c r="V238" s="34" t="n">
        <x:v>5</x:v>
      </x:c>
      <x:c r="W238" s="34" t="n">
        <x:v>0.001</x:v>
      </x:c>
      <x:c r="X238" s="34" t="n">
        <x:v>0.001</x:v>
      </x:c>
      <x:c r="Y238" s="34" t="n">
        <x:v>0.01</x:v>
      </x:c>
      <x:c r="Z238" s="30" t="str">
        <x:f>IF(AND(D238="TRADING",I238&lt;&gt;"",L238&lt;&gt;"",M238&lt;&gt;"",N238&lt;&gt;"",O238&lt;&gt;""),"Yes","No")</x:f>
        <x:v>No</x:v>
      </x:c>
      <x:c r="AA238" s="39" t="str">
        <x:v>https://developers.binance.com/en/docs/catalog/core-trading-spot-trading/api/rest-api</x:v>
      </x:c>
    </x:row>
    <x:row r="239">
      <x:c r="A239" s="30" t="str">
        <x:v>FDUSDUSDT</x:v>
      </x:c>
      <x:c r="B239" s="30" t="str">
        <x:v>FDUSD</x:v>
      </x:c>
      <x:c r="C239" s="30" t="str">
        <x:v>USDT</x:v>
      </x:c>
      <x:c r="D239" s="30" t="str">
        <x:v>TRADING</x:v>
      </x:c>
      <x:c r="E239" s="31" t="b">
        <x:v>1</x:v>
      </x:c>
      <x:c r="F239" s="32" t="n">
        <x:v>45133</x:v>
      </x:c>
      <x:c r="G239" s="32" t="n">
        <x:v>45133.999999988424</x:v>
      </x:c>
      <x:c r="H239" s="33" t="n">
        <x:f>IF(F239="","",('Summary'!$B$5-F239)/365.25)</x:f>
        <x:v>3.0226214683626145</x:v>
      </x:c>
      <x:c r="I239" s="34" t="n">
        <x:v>0.998</x:v>
      </x:c>
      <x:c r="J239" s="35" t="n">
        <x:v>0</x:v>
      </x:c>
      <x:c r="K239" s="36" t="n">
        <x:v>15881725</x:v>
      </x:c>
      <x:c r="L239" s="36" t="n">
        <x:v>15852286.7234</x:v>
      </x:c>
      <x:c r="M239" s="37" t="n">
        <x:v>14304</x:v>
      </x:c>
      <x:c r="N239" s="34" t="n">
        <x:v>0.9979</x:v>
      </x:c>
      <x:c r="O239" s="34" t="n">
        <x:v>0.998</x:v>
      </x:c>
      <x:c r="P239" s="38" t="n">
        <x:f>IF(OR(N239="",O239="",N239=0,O239=0),"",(O239-N239)/((O239+N239)/2))</x:f>
        <x:v>0.00010020542111327119</x:v>
      </x:c>
      <x:c r="Q239" s="34" t="n">
        <x:v>0.99814641</x:v>
      </x:c>
      <x:c r="R239" s="34" t="n">
        <x:v>0.9984</x:v>
      </x:c>
      <x:c r="S239" s="34" t="n">
        <x:v>0.9979</x:v>
      </x:c>
      <x:c r="T239" s="32" t="n">
        <x:v>46236.01231681713</x:v>
      </x:c>
      <x:c r="U239" s="32" t="n">
        <x:v>46237.01231681713</x:v>
      </x:c>
      <x:c r="V239" s="34" t="n">
        <x:v>5</x:v>
      </x:c>
      <x:c r="W239" s="34" t="n">
        <x:v>1</x:v>
      </x:c>
      <x:c r="X239" s="34" t="n">
        <x:v>1</x:v>
      </x:c>
      <x:c r="Y239" s="34" t="n">
        <x:v>0.0001</x:v>
      </x:c>
      <x:c r="Z239" s="30" t="str">
        <x:f>IF(AND(D239="TRADING",I239&lt;&gt;"",L239&lt;&gt;"",M239&lt;&gt;"",N239&lt;&gt;"",O239&lt;&gt;""),"Yes","No")</x:f>
        <x:v>Yes</x:v>
      </x:c>
      <x:c r="AA239" s="39" t="str">
        <x:v>https://developers.binance.com/en/docs/catalog/core-trading-spot-trading/api/rest-api</x:v>
      </x:c>
    </x:row>
    <x:row r="240">
      <x:c r="A240" s="30" t="str">
        <x:v>FETUSDT</x:v>
      </x:c>
      <x:c r="B240" s="30" t="str">
        <x:v>FET</x:v>
      </x:c>
      <x:c r="C240" s="30" t="str">
        <x:v>USDT</x:v>
      </x:c>
      <x:c r="D240" s="30" t="str">
        <x:v>TRADING</x:v>
      </x:c>
      <x:c r="E240" s="31" t="b">
        <x:v>1</x:v>
      </x:c>
      <x:c r="F240" s="32" t="n">
        <x:v>43524</x:v>
      </x:c>
      <x:c r="G240" s="32" t="n">
        <x:v>43524.999999988424</x:v>
      </x:c>
      <x:c r="H240" s="33" t="n">
        <x:f>IF(F240="","",('Summary'!$B$5-F240)/365.25)</x:f>
        <x:v>7.427823384858166</x:v>
      </x:c>
      <x:c r="I240" s="34" t="n">
        <x:v>0.1417</x:v>
      </x:c>
      <x:c r="J240" s="35" t="n">
        <x:v>0.01577</x:v>
      </x:c>
      <x:c r="K240" s="36" t="n">
        <x:v>22502994.9</x:v>
      </x:c>
      <x:c r="L240" s="36" t="n">
        <x:v>3193990.518</x:v>
      </x:c>
      <x:c r="M240" s="37" t="n">
        <x:v>16780</x:v>
      </x:c>
      <x:c r="N240" s="34" t="n">
        <x:v>0.1417</x:v>
      </x:c>
      <x:c r="O240" s="34" t="n">
        <x:v>0.1418</x:v>
      </x:c>
      <x:c r="P240" s="38" t="n">
        <x:f>IF(OR(N240="",O240="",N240=0,O240=0),"",(O240-N240)/((O240+N240)/2))</x:f>
        <x:v>0.000705467372134157</x:v>
      </x:c>
      <x:c r="Q240" s="34" t="n">
        <x:v>0.14193624</x:v>
      </x:c>
      <x:c r="R240" s="34" t="n">
        <x:v>0.1431</x:v>
      </x:c>
      <x:c r="S240" s="34" t="n">
        <x:v>0.1391</x:v>
      </x:c>
      <x:c r="T240" s="32" t="n">
        <x:v>46236.01247840278</x:v>
      </x:c>
      <x:c r="U240" s="32" t="n">
        <x:v>46237.01247840278</x:v>
      </x:c>
      <x:c r="V240" s="34" t="n">
        <x:v>5</x:v>
      </x:c>
      <x:c r="W240" s="34" t="n">
        <x:v>0.1</x:v>
      </x:c>
      <x:c r="X240" s="34" t="n">
        <x:v>0.1</x:v>
      </x:c>
      <x:c r="Y240" s="34" t="n">
        <x:v>0.0001</x:v>
      </x:c>
      <x:c r="Z240" s="30" t="str">
        <x:f>IF(AND(D240="TRADING",I240&lt;&gt;"",L240&lt;&gt;"",M240&lt;&gt;"",N240&lt;&gt;"",O240&lt;&gt;""),"Yes","No")</x:f>
        <x:v>Yes</x:v>
      </x:c>
      <x:c r="AA240" s="39" t="str">
        <x:v>https://developers.binance.com/en/docs/catalog/core-trading-spot-trading/api/rest-api</x:v>
      </x:c>
    </x:row>
    <x:row r="241">
      <x:c r="A241" s="30" t="str">
        <x:v>FFUSDT</x:v>
      </x:c>
      <x:c r="B241" s="30" t="str">
        <x:v>FF</x:v>
      </x:c>
      <x:c r="C241" s="30" t="str">
        <x:v>USDT</x:v>
      </x:c>
      <x:c r="D241" s="30" t="str">
        <x:v>TRADING</x:v>
      </x:c>
      <x:c r="E241" s="31" t="b">
        <x:v>1</x:v>
      </x:c>
      <x:c r="F241" s="32" t="n">
        <x:v>45929</x:v>
      </x:c>
      <x:c r="G241" s="32" t="n">
        <x:v>45929.999999988424</x:v>
      </x:c>
      <x:c r="H241" s="33" t="n">
        <x:f>IF(F241="","",('Summary'!$B$5-F241)/365.25)</x:f>
        <x:v>0.8432922418054619</x:v>
      </x:c>
      <x:c r="I241" s="34" t="n">
        <x:v>0.0645</x:v>
      </x:c>
      <x:c r="J241" s="35" t="n">
        <x:v>-0.0032500000000000003</x:v>
      </x:c>
      <x:c r="K241" s="36" t="n">
        <x:v>13894584</x:v>
      </x:c>
      <x:c r="L241" s="36" t="n">
        <x:v>910894.8049</x:v>
      </x:c>
      <x:c r="M241" s="37" t="n">
        <x:v>10121</x:v>
      </x:c>
      <x:c r="N241" s="34" t="n">
        <x:v>0.0645</x:v>
      </x:c>
      <x:c r="O241" s="34" t="n">
        <x:v>0.06453</x:v>
      </x:c>
      <x:c r="P241" s="38" t="n">
        <x:f>IF(OR(N241="",O241="",N241=0,O241=0),"",(O241-N241)/((O241+N241)/2))</x:f>
        <x:v>0.00046500813764244355</x:v>
      </x:c>
      <x:c r="Q241" s="34" t="n">
        <x:v>0.06555754</x:v>
      </x:c>
      <x:c r="R241" s="34" t="n">
        <x:v>0.06786</x:v>
      </x:c>
      <x:c r="S241" s="34" t="n">
        <x:v>0.06424</x:v>
      </x:c>
      <x:c r="T241" s="32" t="n">
        <x:v>46236.012306041666</x:v>
      </x:c>
      <x:c r="U241" s="32" t="n">
        <x:v>46237.012306041666</x:v>
      </x:c>
      <x:c r="V241" s="34" t="n">
        <x:v>5</x:v>
      </x:c>
      <x:c r="W241" s="34" t="n">
        <x:v>0.1</x:v>
      </x:c>
      <x:c r="X241" s="34" t="n">
        <x:v>0.1</x:v>
      </x:c>
      <x:c r="Y241" s="34" t="n">
        <x:v>0.00001</x:v>
      </x:c>
      <x:c r="Z241" s="30" t="str">
        <x:f>IF(AND(D241="TRADING",I241&lt;&gt;"",L241&lt;&gt;"",M241&lt;&gt;"",N241&lt;&gt;"",O241&lt;&gt;""),"Yes","No")</x:f>
        <x:v>Yes</x:v>
      </x:c>
      <x:c r="AA241" s="39" t="str">
        <x:v>https://developers.binance.com/en/docs/catalog/core-trading-spot-trading/api/rest-api</x:v>
      </x:c>
    </x:row>
    <x:row r="242">
      <x:c r="A242" s="30" t="str">
        <x:v>FIDAUSDT</x:v>
      </x:c>
      <x:c r="B242" s="30" t="str">
        <x:v>FIDA</x:v>
      </x:c>
      <x:c r="C242" s="30" t="str">
        <x:v>USDT</x:v>
      </x:c>
      <x:c r="D242" s="30" t="str">
        <x:v>TRADING</x:v>
      </x:c>
      <x:c r="E242" s="31" t="b">
        <x:v>1</x:v>
      </x:c>
      <x:c r="F242" s="32" t="n">
        <x:v>44469</x:v>
      </x:c>
      <x:c r="G242" s="32" t="n">
        <x:v>44469.999999988424</x:v>
      </x:c>
      <x:c r="H242" s="33" t="n">
        <x:f>IF(F242="","",('Summary'!$B$5-F242)/365.25)</x:f>
        <x:v>4.84055439101833</x:v>
      </x:c>
      <x:c r="I242" s="34" t="n">
        <x:v>0.01709</x:v>
      </x:c>
      <x:c r="J242" s="35" t="n">
        <x:v>0.01064</x:v>
      </x:c>
      <x:c r="K242" s="36" t="n">
        <x:v>25500241.3</x:v>
      </x:c>
      <x:c r="L242" s="36" t="n">
        <x:v>444758.213679</x:v>
      </x:c>
      <x:c r="M242" s="37" t="n">
        <x:v>9509</x:v>
      </x:c>
      <x:c r="N242" s="34" t="n">
        <x:v>0.01704</x:v>
      </x:c>
      <x:c r="O242" s="34" t="n">
        <x:v>0.01705</x:v>
      </x:c>
      <x:c r="P242" s="38" t="n">
        <x:f>IF(OR(N242="",O242="",N242=0,O242=0),"",(O242-N242)/((O242+N242)/2))</x:f>
        <x:v>0.0005866823115282836</x:v>
      </x:c>
      <x:c r="Q242" s="34" t="n">
        <x:v>0.01744133</x:v>
      </x:c>
      <x:c r="R242" s="34" t="n">
        <x:v>0.01807</x:v>
      </x:c>
      <x:c r="S242" s="34" t="n">
        <x:v>0.01681</x:v>
      </x:c>
      <x:c r="T242" s="32" t="n">
        <x:v>46236.012476979166</x:v>
      </x:c>
      <x:c r="U242" s="32" t="n">
        <x:v>46237.012476979166</x:v>
      </x:c>
      <x:c r="V242" s="34" t="n">
        <x:v>5</x:v>
      </x:c>
      <x:c r="W242" s="34" t="n">
        <x:v>0.1</x:v>
      </x:c>
      <x:c r="X242" s="34" t="n">
        <x:v>0.1</x:v>
      </x:c>
      <x:c r="Y242" s="34" t="n">
        <x:v>0.00001</x:v>
      </x:c>
      <x:c r="Z242" s="30" t="str">
        <x:f>IF(AND(D242="TRADING",I242&lt;&gt;"",L242&lt;&gt;"",M242&lt;&gt;"",N242&lt;&gt;"",O242&lt;&gt;""),"Yes","No")</x:f>
        <x:v>Yes</x:v>
      </x:c>
      <x:c r="AA242" s="39" t="str">
        <x:v>https://developers.binance.com/en/docs/catalog/core-trading-spot-trading/api/rest-api</x:v>
      </x:c>
    </x:row>
    <x:row r="243">
      <x:c r="A243" s="30" t="str">
        <x:v>FILUSDT</x:v>
      </x:c>
      <x:c r="B243" s="30" t="str">
        <x:v>FIL</x:v>
      </x:c>
      <x:c r="C243" s="30" t="str">
        <x:v>USDT</x:v>
      </x:c>
      <x:c r="D243" s="30" t="str">
        <x:v>TRADING</x:v>
      </x:c>
      <x:c r="E243" s="31" t="b">
        <x:v>1</x:v>
      </x:c>
      <x:c r="F243" s="32" t="n">
        <x:v>44119</x:v>
      </x:c>
      <x:c r="G243" s="32" t="n">
        <x:v>44119.999999988424</x:v>
      </x:c>
      <x:c r="H243" s="33" t="n">
        <x:f>IF(F243="","",('Summary'!$B$5-F243)/365.25)</x:f>
        <x:v>5.798802166514565</x:v>
      </x:c>
      <x:c r="I243" s="34" t="n">
        <x:v>0.7179</x:v>
      </x:c>
      <x:c r="J243" s="35" t="n">
        <x:v>0.02265</x:v>
      </x:c>
      <x:c r="K243" s="36" t="n">
        <x:v>6038719.03</x:v>
      </x:c>
      <x:c r="L243" s="36" t="n">
        <x:v>4336982.977555</x:v>
      </x:c>
      <x:c r="M243" s="37" t="n">
        <x:v>35947</x:v>
      </x:c>
      <x:c r="N243" s="34" t="n">
        <x:v>0.7179</x:v>
      </x:c>
      <x:c r="O243" s="34" t="n">
        <x:v>0.718</x:v>
      </x:c>
      <x:c r="P243" s="38" t="n">
        <x:f>IF(OR(N243="",O243="",N243=0,O243=0),"",(O243-N243)/((O243+N243)/2))</x:f>
        <x:v>0.0001392854655616533</x:v>
      </x:c>
      <x:c r="Q243" s="34" t="n">
        <x:v>0.71819586</x:v>
      </x:c>
      <x:c r="R243" s="34" t="n">
        <x:v>0.7259</x:v>
      </x:c>
      <x:c r="S243" s="34" t="n">
        <x:v>0.7003</x:v>
      </x:c>
      <x:c r="T243" s="32" t="n">
        <x:v>46236.012480578705</x:v>
      </x:c>
      <x:c r="U243" s="32" t="n">
        <x:v>46237.012480578705</x:v>
      </x:c>
      <x:c r="V243" s="34" t="n">
        <x:v>5</x:v>
      </x:c>
      <x:c r="W243" s="34" t="n">
        <x:v>0.01</x:v>
      </x:c>
      <x:c r="X243" s="34" t="n">
        <x:v>0.01</x:v>
      </x:c>
      <x:c r="Y243" s="34" t="n">
        <x:v>0.0001</x:v>
      </x:c>
      <x:c r="Z243" s="30" t="str">
        <x:f>IF(AND(D243="TRADING",I243&lt;&gt;"",L243&lt;&gt;"",M243&lt;&gt;"",N243&lt;&gt;"",O243&lt;&gt;""),"Yes","No")</x:f>
        <x:v>Yes</x:v>
      </x:c>
      <x:c r="AA243" s="39" t="str">
        <x:v>https://developers.binance.com/en/docs/catalog/core-trading-spot-trading/api/rest-api</x:v>
      </x:c>
    </x:row>
    <x:row r="244">
      <x:c r="A244" s="30" t="str">
        <x:v>FIOUSDT</x:v>
      </x:c>
      <x:c r="B244" s="30" t="str">
        <x:v>FIO</x:v>
      </x:c>
      <x:c r="C244" s="30" t="str">
        <x:v>USDT</x:v>
      </x:c>
      <x:c r="D244" s="30" t="str">
        <x:v>BREAK</x:v>
      </x:c>
      <x:c r="E244" s="31" t="b">
        <x:v>1</x:v>
      </x:c>
      <x:c r="F244" s="32" t="n">
        <x:v>44078</x:v>
      </x:c>
      <x:c r="G244" s="32" t="n">
        <x:v>44078.999999988424</x:v>
      </x:c>
      <x:c r="H244" s="33" t="n">
        <x:f>IF(F244="","",('Summary'!$B$5-F244)/365.25)</x:f>
        <x:v>5.911054048786982</x:v>
      </x:c>
      <x:c r="I244" s="34" t="n">
        <x:v>0.00094</x:v>
      </x:c>
      <x:c r="J244" s="35" t="n">
        <x:v>-0.34265999999999996</x:v>
      </x:c>
      <x:c r="K244" s="36" t="n">
        <x:v>888399947</x:v>
      </x:c>
      <x:c r="L244" s="36" t="n">
        <x:v>1008760.84197</x:v>
      </x:c>
      <x:c r="M244" s="37" t="n">
        <x:v>20465</x:v>
      </x:c>
      <x:c r="N244" s="34" t="n">
        <x:v>0</x:v>
      </x:c>
      <x:c r="O244" s="34" t="n">
        <x:v>0</x:v>
      </x:c>
      <x:c r="P244" s="38" t="str">
        <x:f>IF(OR(N244="",O244="",N244=0,O244=0),"",(O244-N244)/((O244+N244)/2))</x:f>
      </x:c>
      <x:c r="Q244" s="34" t="n">
        <x:v>0.00113548</x:v>
      </x:c>
      <x:c r="R244" s="34" t="n">
        <x:v>0.0015</x:v>
      </x:c>
      <x:c r="S244" s="34" t="n">
        <x:v>0.00081</x:v>
      </x:c>
      <x:c r="T244" s="32" t="n">
        <x:v>46209.26112309028</x:v>
      </x:c>
      <x:c r="U244" s="32" t="n">
        <x:v>46210.26112309028</x:v>
      </x:c>
      <x:c r="V244" s="34" t="n">
        <x:v>5</x:v>
      </x:c>
      <x:c r="W244" s="34" t="n">
        <x:v>1</x:v>
      </x:c>
      <x:c r="X244" s="34" t="n">
        <x:v>1</x:v>
      </x:c>
      <x:c r="Y244" s="34" t="n">
        <x:v>0.00001</x:v>
      </x:c>
      <x:c r="Z244" s="30" t="str">
        <x:f>IF(AND(D244="TRADING",I244&lt;&gt;"",L244&lt;&gt;"",M244&lt;&gt;"",N244&lt;&gt;"",O244&lt;&gt;""),"Yes","No")</x:f>
        <x:v>No</x:v>
      </x:c>
      <x:c r="AA244" s="39" t="str">
        <x:v>https://developers.binance.com/en/docs/catalog/core-trading-spot-trading/api/rest-api</x:v>
      </x:c>
    </x:row>
    <x:row r="245">
      <x:c r="A245" s="30" t="str">
        <x:v>FIROUSDT</x:v>
      </x:c>
      <x:c r="B245" s="30" t="str">
        <x:v>FIRO</x:v>
      </x:c>
      <x:c r="C245" s="30" t="str">
        <x:v>USDT</x:v>
      </x:c>
      <x:c r="D245" s="30" t="str">
        <x:v>BREAK</x:v>
      </x:c>
      <x:c r="E245" s="31" t="b">
        <x:v>1</x:v>
      </x:c>
      <x:c r="F245" s="32" t="n">
        <x:v>44225</x:v>
      </x:c>
      <x:c r="G245" s="32" t="n">
        <x:v>44225.999999988424</x:v>
      </x:c>
      <x:c r="H245" s="33" t="n">
        <x:f>IF(F245="","",('Summary'!$B$5-F245)/365.25)</x:f>
        <x:v>5.508589983078562</x:v>
      </x:c>
      <x:c r="I245" s="34" t="n">
        <x:v>0.3</x:v>
      </x:c>
      <x:c r="J245" s="35" t="n">
        <x:v>-0.25</x:v>
      </x:c>
      <x:c r="K245" s="36" t="n">
        <x:v>1208885.8</x:v>
      </x:c>
      <x:c r="L245" s="36" t="n">
        <x:v>415626.4836</x:v>
      </x:c>
      <x:c r="M245" s="37" t="n">
        <x:v>4001</x:v>
      </x:c>
      <x:c r="N245" s="34" t="n">
        <x:v>0</x:v>
      </x:c>
      <x:c r="O245" s="34" t="n">
        <x:v>0</x:v>
      </x:c>
      <x:c r="P245" s="38" t="str">
        <x:f>IF(OR(N245="",O245="",N245=0,O245=0),"",(O245-N245)/((O245+N245)/2))</x:f>
      </x:c>
      <x:c r="Q245" s="34" t="n">
        <x:v>0.34380955</x:v>
      </x:c>
      <x:c r="R245" s="34" t="n">
        <x:v>0.56</x:v>
      </x:c>
      <x:c r="S245" s="34" t="n">
        <x:v>0.255</x:v>
      </x:c>
      <x:c r="T245" s="32" t="n">
        <x:v>46209.26112309028</x:v>
      </x:c>
      <x:c r="U245" s="32" t="n">
        <x:v>46210.26112309028</x:v>
      </x:c>
      <x:c r="V245" s="34" t="n">
        <x:v>5</x:v>
      </x:c>
      <x:c r="W245" s="34" t="n">
        <x:v>0.1</x:v>
      </x:c>
      <x:c r="X245" s="34" t="n">
        <x:v>0.1</x:v>
      </x:c>
      <x:c r="Y245" s="34" t="n">
        <x:v>0.001</x:v>
      </x:c>
      <x:c r="Z245" s="30" t="str">
        <x:f>IF(AND(D245="TRADING",I245&lt;&gt;"",L245&lt;&gt;"",M245&lt;&gt;"",N245&lt;&gt;"",O245&lt;&gt;""),"Yes","No")</x:f>
        <x:v>No</x:v>
      </x:c>
      <x:c r="AA245" s="39" t="str">
        <x:v>https://developers.binance.com/en/docs/catalog/core-trading-spot-trading/api/rest-api</x:v>
      </x:c>
    </x:row>
    <x:row r="246">
      <x:c r="A246" s="30" t="str">
        <x:v>FISUSDT</x:v>
      </x:c>
      <x:c r="B246" s="30" t="str">
        <x:v>FIS</x:v>
      </x:c>
      <x:c r="C246" s="30" t="str">
        <x:v>USDT</x:v>
      </x:c>
      <x:c r="D246" s="30" t="str">
        <x:v>BREAK</x:v>
      </x:c>
      <x:c r="E246" s="31" t="b">
        <x:v>1</x:v>
      </x:c>
      <x:c r="F246" s="32" t="n">
        <x:v>44258</x:v>
      </x:c>
      <x:c r="G246" s="32" t="n">
        <x:v>44258.999999988424</x:v>
      </x:c>
      <x:c r="H246" s="33" t="n">
        <x:f>IF(F246="","",('Summary'!$B$5-F246)/365.25)</x:f>
        <x:v>5.418240907103203</x:v>
      </x:c>
      <x:c r="I246" s="34" t="n">
        <x:v>0.0191</x:v>
      </x:c>
      <x:c r="J246" s="35" t="n">
        <x:v>-0.02551</x:v>
      </x:c>
      <x:c r="K246" s="36" t="n">
        <x:v>10613884</x:v>
      </x:c>
      <x:c r="L246" s="36" t="n">
        <x:v>203751.9179</x:v>
      </x:c>
      <x:c r="M246" s="37" t="n">
        <x:v>4001</x:v>
      </x:c>
      <x:c r="N246" s="34" t="n">
        <x:v>0</x:v>
      </x:c>
      <x:c r="O246" s="34" t="n">
        <x:v>0</x:v>
      </x:c>
      <x:c r="P246" s="38" t="str">
        <x:f>IF(OR(N246="",O246="",N246=0,O246=0),"",(O246-N246)/((O246+N246)/2))</x:f>
      </x:c>
      <x:c r="Q246" s="34" t="n">
        <x:v>0.01919673</x:v>
      </x:c>
      <x:c r="R246" s="34" t="n">
        <x:v>0.0219</x:v>
      </x:c>
      <x:c r="S246" s="34" t="n">
        <x:v>0.0176</x:v>
      </x:c>
      <x:c r="T246" s="32" t="n">
        <x:v>46209.26112309028</x:v>
      </x:c>
      <x:c r="U246" s="32" t="n">
        <x:v>46210.26112309028</x:v>
      </x:c>
      <x:c r="V246" s="34" t="n">
        <x:v>5</x:v>
      </x:c>
      <x:c r="W246" s="34" t="n">
        <x:v>1</x:v>
      </x:c>
      <x:c r="X246" s="34" t="n">
        <x:v>1</x:v>
      </x:c>
      <x:c r="Y246" s="34" t="n">
        <x:v>0.0001</x:v>
      </x:c>
      <x:c r="Z246" s="30" t="str">
        <x:f>IF(AND(D246="TRADING",I246&lt;&gt;"",L246&lt;&gt;"",M246&lt;&gt;"",N246&lt;&gt;"",O246&lt;&gt;""),"Yes","No")</x:f>
        <x:v>No</x:v>
      </x:c>
      <x:c r="AA246" s="39" t="str">
        <x:v>https://developers.binance.com/en/docs/catalog/core-trading-spot-trading/api/rest-api</x:v>
      </x:c>
    </x:row>
    <x:row r="247">
      <x:c r="A247" s="30" t="str">
        <x:v>FLMUSDT</x:v>
      </x:c>
      <x:c r="B247" s="30" t="str">
        <x:v>FLM</x:v>
      </x:c>
      <x:c r="C247" s="30" t="str">
        <x:v>USDT</x:v>
      </x:c>
      <x:c r="D247" s="30" t="str">
        <x:v>BREAK</x:v>
      </x:c>
      <x:c r="E247" s="31" t="b">
        <x:v>1</x:v>
      </x:c>
      <x:c r="F247" s="32" t="n">
        <x:v>44102</x:v>
      </x:c>
      <x:c r="G247" s="32" t="n">
        <x:v>44102.999999988424</x:v>
      </x:c>
      <x:c r="H247" s="33" t="n">
        <x:f>IF(F247="","",('Summary'!$B$5-F247)/365.25)</x:f>
        <x:v>5.845345629895811</x:v>
      </x:c>
      <x:c r="I247" s="34" t="n">
        <x:v>0.0167</x:v>
      </x:c>
      <x:c r="J247" s="35" t="n">
        <x:v>0.08442</x:v>
      </x:c>
      <x:c r="K247" s="36" t="n">
        <x:v>16117772</x:v>
      </x:c>
      <x:c r="L247" s="36" t="n">
        <x:v>258943.1333</x:v>
      </x:c>
      <x:c r="M247" s="37" t="n">
        <x:v>4001</x:v>
      </x:c>
      <x:c r="N247" s="34" t="n">
        <x:v>0</x:v>
      </x:c>
      <x:c r="O247" s="34" t="n">
        <x:v>0</x:v>
      </x:c>
      <x:c r="P247" s="38" t="str">
        <x:f>IF(OR(N247="",O247="",N247=0,O247=0),"",(O247-N247)/((O247+N247)/2))</x:f>
      </x:c>
      <x:c r="Q247" s="34" t="n">
        <x:v>0.01606569</x:v>
      </x:c>
      <x:c r="R247" s="34" t="n">
        <x:v>0.0168</x:v>
      </x:c>
      <x:c r="S247" s="34" t="n">
        <x:v>0.015</x:v>
      </x:c>
      <x:c r="T247" s="32" t="n">
        <x:v>46209.26112309028</x:v>
      </x:c>
      <x:c r="U247" s="32" t="n">
        <x:v>46210.26112309028</x:v>
      </x:c>
      <x:c r="V247" s="34" t="n">
        <x:v>5</x:v>
      </x:c>
      <x:c r="W247" s="34" t="n">
        <x:v>1</x:v>
      </x:c>
      <x:c r="X247" s="34" t="n">
        <x:v>1</x:v>
      </x:c>
      <x:c r="Y247" s="34" t="n">
        <x:v>0.0001</x:v>
      </x:c>
      <x:c r="Z247" s="30" t="str">
        <x:f>IF(AND(D247="TRADING",I247&lt;&gt;"",L247&lt;&gt;"",M247&lt;&gt;"",N247&lt;&gt;"",O247&lt;&gt;""),"Yes","No")</x:f>
        <x:v>No</x:v>
      </x:c>
      <x:c r="AA247" s="39" t="str">
        <x:v>https://developers.binance.com/en/docs/catalog/core-trading-spot-trading/api/rest-api</x:v>
      </x:c>
    </x:row>
    <x:row r="248">
      <x:c r="A248" s="30" t="str">
        <x:v>FLNCBUSDT</x:v>
      </x:c>
      <x:c r="B248" s="30" t="str">
        <x:v>FLNCB</x:v>
      </x:c>
      <x:c r="C248" s="30" t="str">
        <x:v>USDT</x:v>
      </x:c>
      <x:c r="D248" s="30" t="str">
        <x:v>TRADING</x:v>
      </x:c>
      <x:c r="E248" s="31" t="b">
        <x:v>1</x:v>
      </x:c>
      <x:c r="F248" s="32" t="n">
        <x:v>46232</x:v>
      </x:c>
      <x:c r="G248" s="32" t="n">
        <x:v>46232.999999988424</x:v>
      </x:c>
      <x:c r="H248" s="33" t="n">
        <x:f>IF(F248="","",('Summary'!$B$5-F248)/365.25)</x:f>
        <x:v>0.013723453304435213</x:v>
      </x:c>
      <x:c r="I248" s="34" t="n">
        <x:v>14.2</x:v>
      </x:c>
      <x:c r="J248" s="35" t="n">
        <x:v>-0.0014099999999999998</x:v>
      </x:c>
      <x:c r="K248" s="36" t="n">
        <x:v>6119.68</x:v>
      </x:c>
      <x:c r="L248" s="36" t="n">
        <x:v>87255.7017</x:v>
      </x:c>
      <x:c r="M248" s="37" t="n">
        <x:v>608</x:v>
      </x:c>
      <x:c r="N248" s="34" t="n">
        <x:v>14.23</x:v>
      </x:c>
      <x:c r="O248" s="34" t="n">
        <x:v>14.31</x:v>
      </x:c>
      <x:c r="P248" s="38" t="n">
        <x:f>IF(OR(N248="",O248="",N248=0,O248=0),"",(O248-N248)/((O248+N248)/2))</x:f>
        <x:v>0.005606166783461813</x:v>
      </x:c>
      <x:c r="Q248" s="34" t="n">
        <x:v>14.25821313</x:v>
      </x:c>
      <x:c r="R248" s="34" t="n">
        <x:v>14.46</x:v>
      </x:c>
      <x:c r="S248" s="34" t="n">
        <x:v>14</x:v>
      </x:c>
      <x:c r="T248" s="32" t="n">
        <x:v>46236.01246168982</x:v>
      </x:c>
      <x:c r="U248" s="32" t="n">
        <x:v>46237.01246168982</x:v>
      </x:c>
      <x:c r="V248" s="34" t="n">
        <x:v>5</x:v>
      </x:c>
      <x:c r="W248" s="34" t="n">
        <x:v>0.01</x:v>
      </x:c>
      <x:c r="X248" s="34" t="n">
        <x:v>0.01</x:v>
      </x:c>
      <x:c r="Y248" s="34" t="n">
        <x:v>0.01</x:v>
      </x:c>
      <x:c r="Z248" s="30" t="str">
        <x:f>IF(AND(D248="TRADING",I248&lt;&gt;"",L248&lt;&gt;"",M248&lt;&gt;"",N248&lt;&gt;"",O248&lt;&gt;""),"Yes","No")</x:f>
        <x:v>Yes</x:v>
      </x:c>
      <x:c r="AA248" s="39" t="str">
        <x:v>https://developers.binance.com/en/docs/catalog/core-trading-spot-trading/api/rest-api</x:v>
      </x:c>
    </x:row>
    <x:row r="249">
      <x:c r="A249" s="30" t="str">
        <x:v>FLOKIUSDT</x:v>
      </x:c>
      <x:c r="B249" s="30" t="str">
        <x:v>FLOKI</x:v>
      </x:c>
      <x:c r="C249" s="30" t="str">
        <x:v>USDT</x:v>
      </x:c>
      <x:c r="D249" s="30" t="str">
        <x:v>TRADING</x:v>
      </x:c>
      <x:c r="E249" s="31" t="b">
        <x:v>1</x:v>
      </x:c>
      <x:c r="F249" s="32" t="n">
        <x:v>45051</x:v>
      </x:c>
      <x:c r="G249" s="32" t="n">
        <x:v>45051.999999988424</x:v>
      </x:c>
      <x:c r="H249" s="33" t="n">
        <x:f>IF(F249="","",('Summary'!$B$5-F249)/365.25)</x:f>
        <x:v>3.2471252329074467</x:v>
      </x:c>
      <x:c r="I249" s="34" t="n">
        <x:v>0.00002052</x:v>
      </x:c>
      <x:c r="J249" s="35" t="n">
        <x:v>0.014339999999999999</x:v>
      </x:c>
      <x:c r="K249" s="36" t="n">
        <x:v>27109255251</x:v>
      </x:c>
      <x:c r="L249" s="36" t="n">
        <x:v>556440.55113766</x:v>
      </x:c>
      <x:c r="M249" s="37" t="n">
        <x:v>37641</x:v>
      </x:c>
      <x:c r="N249" s="34" t="n">
        <x:v>0.00002051</x:v>
      </x:c>
      <x:c r="O249" s="34" t="n">
        <x:v>0.00002052</x:v>
      </x:c>
      <x:c r="P249" s="38" t="n">
        <x:f>IF(OR(N249="",O249="",N249=0,O249=0),"",(O249-N249)/((O249+N249)/2))</x:f>
        <x:v>0.0004874482086279112</x:v>
      </x:c>
      <x:c r="Q249" s="34" t="n">
        <x:v>0.00002053</x:v>
      </x:c>
      <x:c r="R249" s="34" t="n">
        <x:v>0.00002074</x:v>
      </x:c>
      <x:c r="S249" s="34" t="n">
        <x:v>0.00002015</x:v>
      </x:c>
      <x:c r="T249" s="32" t="n">
        <x:v>46236.01227097222</x:v>
      </x:c>
      <x:c r="U249" s="32" t="n">
        <x:v>46237.01227097222</x:v>
      </x:c>
      <x:c r="V249" s="34" t="n">
        <x:v>1</x:v>
      </x:c>
      <x:c r="W249" s="34" t="n">
        <x:v>1</x:v>
      </x:c>
      <x:c r="X249" s="34" t="n">
        <x:v>1</x:v>
      </x:c>
      <x:c r="Y249" s="34" t="n">
        <x:v>1e-8</x:v>
      </x:c>
      <x:c r="Z249" s="30" t="str">
        <x:f>IF(AND(D249="TRADING",I249&lt;&gt;"",L249&lt;&gt;"",M249&lt;&gt;"",N249&lt;&gt;"",O249&lt;&gt;""),"Yes","No")</x:f>
        <x:v>Yes</x:v>
      </x:c>
      <x:c r="AA249" s="39" t="str">
        <x:v>https://developers.binance.com/en/docs/catalog/core-trading-spot-trading/api/rest-api</x:v>
      </x:c>
    </x:row>
    <x:row r="250">
      <x:c r="A250" s="30" t="str">
        <x:v>FLOWUSDT</x:v>
      </x:c>
      <x:c r="B250" s="30" t="str">
        <x:v>FLOW</x:v>
      </x:c>
      <x:c r="C250" s="30" t="str">
        <x:v>USDT</x:v>
      </x:c>
      <x:c r="D250" s="30" t="str">
        <x:v>TRADING</x:v>
      </x:c>
      <x:c r="E250" s="31" t="b">
        <x:v>1</x:v>
      </x:c>
      <x:c r="F250" s="32" t="n">
        <x:v>44407</x:v>
      </x:c>
      <x:c r="G250" s="32" t="n">
        <x:v>44407.999999988424</x:v>
      </x:c>
      <x:c r="H250" s="33" t="n">
        <x:f>IF(F250="","",('Summary'!$B$5-F250)/365.25)</x:f>
        <x:v>5.01030113982052</x:v>
      </x:c>
      <x:c r="I250" s="34" t="n">
        <x:v>0.02797</x:v>
      </x:c>
      <x:c r="J250" s="35" t="n">
        <x:v>-0.025099999999999997</x:v>
      </x:c>
      <x:c r="K250" s="36" t="n">
        <x:v>16096831.63</x:v>
      </x:c>
      <x:c r="L250" s="36" t="n">
        <x:v>451744.7977922</x:v>
      </x:c>
      <x:c r="M250" s="37" t="n">
        <x:v>7044</x:v>
      </x:c>
      <x:c r="N250" s="34" t="n">
        <x:v>0.02797</x:v>
      </x:c>
      <x:c r="O250" s="34" t="n">
        <x:v>0.02799</x:v>
      </x:c>
      <x:c r="P250" s="38" t="n">
        <x:f>IF(OR(N250="",O250="",N250=0,O250=0),"",(O250-N250)/((O250+N250)/2))</x:f>
        <x:v>0.000714796283059423</x:v>
      </x:c>
      <x:c r="Q250" s="34" t="n">
        <x:v>0.02806421</x:v>
      </x:c>
      <x:c r="R250" s="34" t="n">
        <x:v>0.02907</x:v>
      </x:c>
      <x:c r="S250" s="34" t="n">
        <x:v>0.02738</x:v>
      </x:c>
      <x:c r="T250" s="32" t="n">
        <x:v>46236.01202008102</x:v>
      </x:c>
      <x:c r="U250" s="32" t="n">
        <x:v>46237.01202008102</x:v>
      </x:c>
      <x:c r="V250" s="34" t="n">
        <x:v>5</x:v>
      </x:c>
      <x:c r="W250" s="34" t="n">
        <x:v>0.01</x:v>
      </x:c>
      <x:c r="X250" s="34" t="n">
        <x:v>0.01</x:v>
      </x:c>
      <x:c r="Y250" s="34" t="n">
        <x:v>0.00001</x:v>
      </x:c>
      <x:c r="Z250" s="30" t="str">
        <x:f>IF(AND(D250="TRADING",I250&lt;&gt;"",L250&lt;&gt;"",M250&lt;&gt;"",N250&lt;&gt;"",O250&lt;&gt;""),"Yes","No")</x:f>
        <x:v>Yes</x:v>
      </x:c>
      <x:c r="AA250" s="39" t="str">
        <x:v>https://developers.binance.com/en/docs/catalog/core-trading-spot-trading/api/rest-api</x:v>
      </x:c>
    </x:row>
    <x:row r="251">
      <x:c r="A251" s="30" t="str">
        <x:v>FLUXUSDT</x:v>
      </x:c>
      <x:c r="B251" s="30" t="str">
        <x:v>FLUX</x:v>
      </x:c>
      <x:c r="C251" s="30" t="str">
        <x:v>USDT</x:v>
      </x:c>
      <x:c r="D251" s="30" t="str">
        <x:v>TRADING</x:v>
      </x:c>
      <x:c r="E251" s="31" t="b">
        <x:v>1</x:v>
      </x:c>
      <x:c r="F251" s="32" t="n">
        <x:v>44540</x:v>
      </x:c>
      <x:c r="G251" s="32" t="n">
        <x:v>44540.999999988424</x:v>
      </x:c>
      <x:c r="H251" s="33" t="n">
        <x:f>IF(F251="","",('Summary'!$B$5-F251)/365.25)</x:f>
        <x:v>4.64616698513195</x:v>
      </x:c>
      <x:c r="I251" s="34" t="n">
        <x:v>0.0405</x:v>
      </x:c>
      <x:c r="J251" s="35" t="n">
        <x:v>0.04381</x:v>
      </x:c>
      <x:c r="K251" s="36" t="n">
        <x:v>1353788.56</x:v>
      </x:c>
      <x:c r="L251" s="36" t="n">
        <x:v>53725.937809</x:v>
      </x:c>
      <x:c r="M251" s="37" t="n">
        <x:v>2025</x:v>
      </x:c>
      <x:c r="N251" s="34" t="n">
        <x:v>0.0404</x:v>
      </x:c>
      <x:c r="O251" s="34" t="n">
        <x:v>0.0405</x:v>
      </x:c>
      <x:c r="P251" s="38" t="n">
        <x:f>IF(OR(N251="",O251="",N251=0,O251=0),"",(O251-N251)/((O251+N251)/2))</x:f>
        <x:v>0.002472187886279428</x:v>
      </x:c>
      <x:c r="Q251" s="34" t="n">
        <x:v>0.03968562</x:v>
      </x:c>
      <x:c r="R251" s="34" t="n">
        <x:v>0.041</x:v>
      </x:c>
      <x:c r="S251" s="34" t="n">
        <x:v>0.0388</x:v>
      </x:c>
      <x:c r="T251" s="32" t="n">
        <x:v>46236.01232677083</x:v>
      </x:c>
      <x:c r="U251" s="32" t="n">
        <x:v>46237.01232677083</x:v>
      </x:c>
      <x:c r="V251" s="34" t="n">
        <x:v>5</x:v>
      </x:c>
      <x:c r="W251" s="34" t="n">
        <x:v>0.01</x:v>
      </x:c>
      <x:c r="X251" s="34" t="n">
        <x:v>0.01</x:v>
      </x:c>
      <x:c r="Y251" s="34" t="n">
        <x:v>0.0001</x:v>
      </x:c>
      <x:c r="Z251" s="30" t="str">
        <x:f>IF(AND(D251="TRADING",I251&lt;&gt;"",L251&lt;&gt;"",M251&lt;&gt;"",N251&lt;&gt;"",O251&lt;&gt;""),"Yes","No")</x:f>
        <x:v>Yes</x:v>
      </x:c>
      <x:c r="AA251" s="39" t="str">
        <x:v>https://developers.binance.com/en/docs/catalog/core-trading-spot-trading/api/rest-api</x:v>
      </x:c>
    </x:row>
    <x:row r="252">
      <x:c r="A252" s="30" t="str">
        <x:v>FOGOUSDT</x:v>
      </x:c>
      <x:c r="B252" s="30" t="str">
        <x:v>FOGO</x:v>
      </x:c>
      <x:c r="C252" s="30" t="str">
        <x:v>USDT</x:v>
      </x:c>
      <x:c r="D252" s="30" t="str">
        <x:v>TRADING</x:v>
      </x:c>
      <x:c r="E252" s="31" t="b">
        <x:v>1</x:v>
      </x:c>
      <x:c r="F252" s="32" t="n">
        <x:v>46037</x:v>
      </x:c>
      <x:c r="G252" s="32" t="n">
        <x:v>46037.999999988424</x:v>
      </x:c>
      <x:c r="H252" s="33" t="n">
        <x:f>IF(F252="","",('Summary'!$B$5-F252)/365.25)</x:f>
        <x:v>0.5476043567951949</x:v>
      </x:c>
      <x:c r="I252" s="34" t="n">
        <x:v>0.00836</x:v>
      </x:c>
      <x:c r="J252" s="35" t="n">
        <x:v>-0.014150000000000001</x:v>
      </x:c>
      <x:c r="K252" s="36" t="n">
        <x:v>98137321</x:v>
      </x:c>
      <x:c r="L252" s="36" t="n">
        <x:v>861341.16655</x:v>
      </x:c>
      <x:c r="M252" s="37" t="n">
        <x:v>16585</x:v>
      </x:c>
      <x:c r="N252" s="34" t="n">
        <x:v>0.00835</x:v>
      </x:c>
      <x:c r="O252" s="34" t="n">
        <x:v>0.00836</x:v>
      </x:c>
      <x:c r="P252" s="38" t="n">
        <x:f>IF(OR(N252="",O252="",N252=0,O252=0),"",(O252-N252)/((O252+N252)/2))</x:f>
        <x:v>0.0011968880909634463</x:v>
      </x:c>
      <x:c r="Q252" s="34" t="n">
        <x:v>0.0087769</x:v>
      </x:c>
      <x:c r="R252" s="34" t="n">
        <x:v>0.00914</x:v>
      </x:c>
      <x:c r="S252" s="34" t="n">
        <x:v>0.00835</x:v>
      </x:c>
      <x:c r="T252" s="32" t="n">
        <x:v>46236.01246542824</x:v>
      </x:c>
      <x:c r="U252" s="32" t="n">
        <x:v>46237.01246542824</x:v>
      </x:c>
      <x:c r="V252" s="34" t="n">
        <x:v>5</x:v>
      </x:c>
      <x:c r="W252" s="34" t="n">
        <x:v>1</x:v>
      </x:c>
      <x:c r="X252" s="34" t="n">
        <x:v>1</x:v>
      </x:c>
      <x:c r="Y252" s="34" t="n">
        <x:v>0.00001</x:v>
      </x:c>
      <x:c r="Z252" s="30" t="str">
        <x:f>IF(AND(D252="TRADING",I252&lt;&gt;"",L252&lt;&gt;"",M252&lt;&gt;"",N252&lt;&gt;"",O252&lt;&gt;""),"Yes","No")</x:f>
        <x:v>Yes</x:v>
      </x:c>
      <x:c r="AA252" s="39" t="str">
        <x:v>https://developers.binance.com/en/docs/catalog/core-trading-spot-trading/api/rest-api</x:v>
      </x:c>
    </x:row>
    <x:row r="253">
      <x:c r="A253" s="30" t="str">
        <x:v>FORMUSDT</x:v>
      </x:c>
      <x:c r="B253" s="30" t="str">
        <x:v>FORM</x:v>
      </x:c>
      <x:c r="C253" s="30" t="str">
        <x:v>USDT</x:v>
      </x:c>
      <x:c r="D253" s="30" t="str">
        <x:v>TRADING</x:v>
      </x:c>
      <x:c r="E253" s="31" t="b">
        <x:v>1</x:v>
      </x:c>
      <x:c r="F253" s="32" t="n">
        <x:v>45735</x:v>
      </x:c>
      <x:c r="G253" s="32" t="n">
        <x:v>45735.999999988424</x:v>
      </x:c>
      <x:c r="H253" s="33" t="n">
        <x:f>IF(F253="","",('Summary'!$B$5-F253)/365.25)</x:f>
        <x:v>1.3744352945090896</x:v>
      </x:c>
      <x:c r="I253" s="34" t="n">
        <x:v>0.2033</x:v>
      </x:c>
      <x:c r="J253" s="35" t="n">
        <x:v>0.01295</x:v>
      </x:c>
      <x:c r="K253" s="36" t="n">
        <x:v>1956326.5</x:v>
      </x:c>
      <x:c r="L253" s="36" t="n">
        <x:v>393911.22453</x:v>
      </x:c>
      <x:c r="M253" s="37" t="n">
        <x:v>5716</x:v>
      </x:c>
      <x:c r="N253" s="34" t="n">
        <x:v>0.2029</x:v>
      </x:c>
      <x:c r="O253" s="34" t="n">
        <x:v>0.2032</x:v>
      </x:c>
      <x:c r="P253" s="38" t="n">
        <x:f>IF(OR(N253="",O253="",N253=0,O253=0),"",(O253-N253)/((O253+N253)/2))</x:f>
        <x:v>0.0014774686037921432</x:v>
      </x:c>
      <x:c r="Q253" s="34" t="n">
        <x:v>0.2013525</x:v>
      </x:c>
      <x:c r="R253" s="34" t="n">
        <x:v>0.2048</x:v>
      </x:c>
      <x:c r="S253" s="34" t="n">
        <x:v>0.1975</x:v>
      </x:c>
      <x:c r="T253" s="32" t="n">
        <x:v>46236.01143115741</x:v>
      </x:c>
      <x:c r="U253" s="32" t="n">
        <x:v>46237.01143115741</x:v>
      </x:c>
      <x:c r="V253" s="34" t="n">
        <x:v>5</x:v>
      </x:c>
      <x:c r="W253" s="34" t="n">
        <x:v>0.1</x:v>
      </x:c>
      <x:c r="X253" s="34" t="n">
        <x:v>0.1</x:v>
      </x:c>
      <x:c r="Y253" s="34" t="n">
        <x:v>0.0001</x:v>
      </x:c>
      <x:c r="Z253" s="30" t="str">
        <x:f>IF(AND(D253="TRADING",I253&lt;&gt;"",L253&lt;&gt;"",M253&lt;&gt;"",N253&lt;&gt;"",O253&lt;&gt;""),"Yes","No")</x:f>
        <x:v>Yes</x:v>
      </x:c>
      <x:c r="AA253" s="39" t="str">
        <x:v>https://developers.binance.com/en/docs/catalog/core-trading-spot-trading/api/rest-api</x:v>
      </x:c>
    </x:row>
    <x:row r="254">
      <x:c r="A254" s="30" t="str">
        <x:v>FORTHUSDT</x:v>
      </x:c>
      <x:c r="B254" s="30" t="str">
        <x:v>FORTH</x:v>
      </x:c>
      <x:c r="C254" s="30" t="str">
        <x:v>USDT</x:v>
      </x:c>
      <x:c r="D254" s="30" t="str">
        <x:v>BREAK</x:v>
      </x:c>
      <x:c r="E254" s="31" t="b">
        <x:v>1</x:v>
      </x:c>
      <x:c r="F254" s="32" t="n">
        <x:v>44309</x:v>
      </x:c>
      <x:c r="G254" s="32" t="n">
        <x:v>44309.999999988424</x:v>
      </x:c>
      <x:c r="H254" s="33" t="n">
        <x:f>IF(F254="","",('Summary'!$B$5-F254)/365.25)</x:f>
        <x:v>5.278610516959466</x:v>
      </x:c>
      <x:c r="I254" s="34" t="n">
        <x:v>0.237</x:v>
      </x:c>
      <x:c r="J254" s="35" t="n">
        <x:v>-0.33427</x:v>
      </x:c>
      <x:c r="K254" s="36" t="n">
        <x:v>1458656.09</x:v>
      </x:c>
      <x:c r="L254" s="36" t="n">
        <x:v>435103.33544</x:v>
      </x:c>
      <x:c r="M254" s="37" t="n">
        <x:v>11256</x:v>
      </x:c>
      <x:c r="N254" s="34" t="n">
        <x:v>0</x:v>
      </x:c>
      <x:c r="O254" s="34" t="n">
        <x:v>0</x:v>
      </x:c>
      <x:c r="P254" s="38" t="str">
        <x:f>IF(OR(N254="",O254="",N254=0,O254=0),"",(O254-N254)/((O254+N254)/2))</x:f>
      </x:c>
      <x:c r="Q254" s="34" t="n">
        <x:v>0.29829056</x:v>
      </x:c>
      <x:c r="R254" s="34" t="n">
        <x:v>0.377</x:v>
      </x:c>
      <x:c r="S254" s="34" t="n">
        <x:v>0.221</x:v>
      </x:c>
      <x:c r="T254" s="32" t="n">
        <x:v>46209.26112309028</x:v>
      </x:c>
      <x:c r="U254" s="32" t="n">
        <x:v>46210.26112309028</x:v>
      </x:c>
      <x:c r="V254" s="34" t="n">
        <x:v>5</x:v>
      </x:c>
      <x:c r="W254" s="34" t="n">
        <x:v>0.01</x:v>
      </x:c>
      <x:c r="X254" s="34" t="n">
        <x:v>0.01</x:v>
      </x:c>
      <x:c r="Y254" s="34" t="n">
        <x:v>0.001</x:v>
      </x:c>
      <x:c r="Z254" s="30" t="str">
        <x:f>IF(AND(D254="TRADING",I254&lt;&gt;"",L254&lt;&gt;"",M254&lt;&gt;"",N254&lt;&gt;"",O254&lt;&gt;""),"Yes","No")</x:f>
        <x:v>No</x:v>
      </x:c>
      <x:c r="AA254" s="39" t="str">
        <x:v>https://developers.binance.com/en/docs/catalog/core-trading-spot-trading/api/rest-api</x:v>
      </x:c>
    </x:row>
    <x:row r="255">
      <x:c r="A255" s="30" t="str">
        <x:v>FORUSDT</x:v>
      </x:c>
      <x:c r="B255" s="30" t="str">
        <x:v>FOR</x:v>
      </x:c>
      <x:c r="C255" s="30" t="str">
        <x:v>USDT</x:v>
      </x:c>
      <x:c r="D255" s="30" t="str">
        <x:v>BREAK</x:v>
      </x:c>
      <x:c r="E255" s="31" t="b">
        <x:v>1</x:v>
      </x:c>
      <x:c r="F255" s="32" t="n">
        <x:v>44428</x:v>
      </x:c>
      <x:c r="G255" s="32" t="n">
        <x:v>44428.999999988424</x:v>
      </x:c>
      <x:c r="H255" s="33" t="n">
        <x:f>IF(F255="","",('Summary'!$B$5-F255)/365.25)</x:f>
        <x:v>4.952806273290746</x:v>
      </x:c>
      <x:c r="I255" s="34" t="n">
        <x:v>0.00306</x:v>
      </x:c>
      <x:c r="J255" s="35" t="n">
        <x:v>-0.16848</x:v>
      </x:c>
      <x:c r="K255" s="36" t="n">
        <x:v>112283124</x:v>
      </x:c>
      <x:c r="L255" s="36" t="n">
        <x:v>369393.67526</x:v>
      </x:c>
      <x:c r="M255" s="37" t="n">
        <x:v>4001</x:v>
      </x:c>
      <x:c r="N255" s="34" t="n">
        <x:v>0</x:v>
      </x:c>
      <x:c r="O255" s="34" t="n">
        <x:v>0</x:v>
      </x:c>
      <x:c r="P255" s="38" t="str">
        <x:f>IF(OR(N255="",O255="",N255=0,O255=0),"",(O255-N255)/((O255+N255)/2))</x:f>
      </x:c>
      <x:c r="Q255" s="34" t="n">
        <x:v>0.00328984</x:v>
      </x:c>
      <x:c r="R255" s="34" t="n">
        <x:v>0.00372</x:v>
      </x:c>
      <x:c r="S255" s="34" t="n">
        <x:v>0.003</x:v>
      </x:c>
      <x:c r="T255" s="32" t="n">
        <x:v>46209.26112309028</x:v>
      </x:c>
      <x:c r="U255" s="32" t="n">
        <x:v>46210.26112309028</x:v>
      </x:c>
      <x:c r="V255" s="34" t="n">
        <x:v>5</x:v>
      </x:c>
      <x:c r="W255" s="34" t="n">
        <x:v>1</x:v>
      </x:c>
      <x:c r="X255" s="34" t="n">
        <x:v>1</x:v>
      </x:c>
      <x:c r="Y255" s="34" t="n">
        <x:v>0.00001</x:v>
      </x:c>
      <x:c r="Z255" s="30" t="str">
        <x:f>IF(AND(D255="TRADING",I255&lt;&gt;"",L255&lt;&gt;"",M255&lt;&gt;"",N255&lt;&gt;"",O255&lt;&gt;""),"Yes","No")</x:f>
        <x:v>No</x:v>
      </x:c>
      <x:c r="AA255" s="39" t="str">
        <x:v>https://developers.binance.com/en/docs/catalog/core-trading-spot-trading/api/rest-api</x:v>
      </x:c>
    </x:row>
    <x:row r="256">
      <x:c r="A256" s="30" t="str">
        <x:v>FRAXUSDT</x:v>
      </x:c>
      <x:c r="B256" s="30" t="str">
        <x:v>FRAX</x:v>
      </x:c>
      <x:c r="C256" s="30" t="str">
        <x:v>USDT</x:v>
      </x:c>
      <x:c r="D256" s="30" t="str">
        <x:v>TRADING</x:v>
      </x:c>
      <x:c r="E256" s="31" t="b">
        <x:v>1</x:v>
      </x:c>
      <x:c r="F256" s="32" t="n">
        <x:v>46037</x:v>
      </x:c>
      <x:c r="G256" s="32" t="n">
        <x:v>46037.999999988424</x:v>
      </x:c>
      <x:c r="H256" s="33" t="n">
        <x:f>IF(F256="","",('Summary'!$B$5-F256)/365.25)</x:f>
        <x:v>0.5476043567951949</x:v>
      </x:c>
      <x:c r="I256" s="34" t="n">
        <x:v>0.2603</x:v>
      </x:c>
      <x:c r="J256" s="35" t="n">
        <x:v>0.02319</x:v>
      </x:c>
      <x:c r="K256" s="36" t="n">
        <x:v>476959</x:v>
      </x:c>
      <x:c r="L256" s="36" t="n">
        <x:v>123689.09531</x:v>
      </x:c>
      <x:c r="M256" s="37" t="n">
        <x:v>2157</x:v>
      </x:c>
      <x:c r="N256" s="34" t="n">
        <x:v>0.2603</x:v>
      </x:c>
      <x:c r="O256" s="34" t="n">
        <x:v>0.2606</x:v>
      </x:c>
      <x:c r="P256" s="38" t="n">
        <x:f>IF(OR(N256="",O256="",N256=0,O256=0),"",(O256-N256)/((O256+N256)/2))</x:f>
        <x:v>0.0011518525628720388</x:v>
      </x:c>
      <x:c r="Q256" s="34" t="n">
        <x:v>0.25932857</x:v>
      </x:c>
      <x:c r="R256" s="34" t="n">
        <x:v>0.2663</x:v>
      </x:c>
      <x:c r="S256" s="34" t="n">
        <x:v>0.2542</x:v>
      </x:c>
      <x:c r="T256" s="32" t="n">
        <x:v>46236.01247959491</x:v>
      </x:c>
      <x:c r="U256" s="32" t="n">
        <x:v>46237.01247959491</x:v>
      </x:c>
      <x:c r="V256" s="34" t="n">
        <x:v>5</x:v>
      </x:c>
      <x:c r="W256" s="34" t="n">
        <x:v>0.1</x:v>
      </x:c>
      <x:c r="X256" s="34" t="n">
        <x:v>0.1</x:v>
      </x:c>
      <x:c r="Y256" s="34" t="n">
        <x:v>0.0001</x:v>
      </x:c>
      <x:c r="Z256" s="30" t="str">
        <x:f>IF(AND(D256="TRADING",I256&lt;&gt;"",L256&lt;&gt;"",M256&lt;&gt;"",N256&lt;&gt;"",O256&lt;&gt;""),"Yes","No")</x:f>
        <x:v>Yes</x:v>
      </x:c>
      <x:c r="AA256" s="39" t="str">
        <x:v>https://developers.binance.com/en/docs/catalog/core-trading-spot-trading/api/rest-api</x:v>
      </x:c>
    </x:row>
    <x:row r="257">
      <x:c r="A257" s="30" t="str">
        <x:v>FRONTUSDT</x:v>
      </x:c>
      <x:c r="B257" s="30" t="str">
        <x:v>FRONT</x:v>
      </x:c>
      <x:c r="C257" s="30" t="str">
        <x:v>USDT</x:v>
      </x:c>
      <x:c r="D257" s="30" t="str">
        <x:v>BREAK</x:v>
      </x:c>
      <x:c r="E257" s="31" t="b">
        <x:v>1</x:v>
      </x:c>
      <x:c r="F257" s="32" t="n">
        <x:v>44473</x:v>
      </x:c>
      <x:c r="G257" s="32" t="n">
        <x:v>44473.999999988424</x:v>
      </x:c>
      <x:c r="H257" s="33" t="n">
        <x:f>IF(F257="","",('Summary'!$B$5-F257)/365.25)</x:f>
        <x:v>4.8296029878698015</x:v>
      </x:c>
      <x:c r="I257" s="34" t="n">
        <x:v>0.88</x:v>
      </x:c>
      <x:c r="J257" s="35" t="n">
        <x:v>0.0197</x:v>
      </x:c>
      <x:c r="K257" s="36" t="n">
        <x:v>632357</x:v>
      </x:c>
      <x:c r="L257" s="36" t="n">
        <x:v>548328.1538</x:v>
      </x:c>
      <x:c r="M257" s="37" t="n">
        <x:v>4001</x:v>
      </x:c>
      <x:c r="N257" s="34" t="n">
        <x:v>0</x:v>
      </x:c>
      <x:c r="O257" s="34" t="n">
        <x:v>0</x:v>
      </x:c>
      <x:c r="P257" s="38" t="str">
        <x:f>IF(OR(N257="",O257="",N257=0,O257=0),"",(O257-N257)/((O257+N257)/2))</x:f>
      </x:c>
      <x:c r="Q257" s="34" t="n">
        <x:v>0.86711803</x:v>
      </x:c>
      <x:c r="R257" s="34" t="n">
        <x:v>0.888</x:v>
      </x:c>
      <x:c r="S257" s="34" t="n">
        <x:v>0.847</x:v>
      </x:c>
      <x:c r="T257" s="32" t="n">
        <x:v>46209.26112309028</x:v>
      </x:c>
      <x:c r="U257" s="32" t="n">
        <x:v>46210.26112309028</x:v>
      </x:c>
      <x:c r="V257" s="34" t="n">
        <x:v>5</x:v>
      </x:c>
      <x:c r="W257" s="34" t="n">
        <x:v>0.1</x:v>
      </x:c>
      <x:c r="X257" s="34" t="n">
        <x:v>0.1</x:v>
      </x:c>
      <x:c r="Y257" s="34" t="n">
        <x:v>0.001</x:v>
      </x:c>
      <x:c r="Z257" s="30" t="str">
        <x:f>IF(AND(D257="TRADING",I257&lt;&gt;"",L257&lt;&gt;"",M257&lt;&gt;"",N257&lt;&gt;"",O257&lt;&gt;""),"Yes","No")</x:f>
        <x:v>No</x:v>
      </x:c>
      <x:c r="AA257" s="39" t="str">
        <x:v>https://developers.binance.com/en/docs/catalog/core-trading-spot-trading/api/rest-api</x:v>
      </x:c>
    </x:row>
    <x:row r="258">
      <x:c r="A258" s="30" t="str">
        <x:v>FTMUSDT</x:v>
      </x:c>
      <x:c r="B258" s="30" t="str">
        <x:v>FTM</x:v>
      </x:c>
      <x:c r="C258" s="30" t="str">
        <x:v>USDT</x:v>
      </x:c>
      <x:c r="D258" s="30" t="str">
        <x:v>BREAK</x:v>
      </x:c>
      <x:c r="E258" s="31" t="b">
        <x:v>1</x:v>
      </x:c>
      <x:c r="F258" s="32" t="n">
        <x:v>43627</x:v>
      </x:c>
      <x:c r="G258" s="32" t="n">
        <x:v>43627.999999988424</x:v>
      </x:c>
      <x:c r="H258" s="33" t="n">
        <x:f>IF(F258="","",('Summary'!$B$5-F258)/365.25)</x:f>
        <x:v>7.145824753783559</x:v>
      </x:c>
      <x:c r="I258" s="34" t="n">
        <x:v>0.6994</x:v>
      </x:c>
      <x:c r="J258" s="35" t="n">
        <x:v>-0.00766</x:v>
      </x:c>
      <x:c r="K258" s="36" t="n">
        <x:v>1858967</x:v>
      </x:c>
      <x:c r="L258" s="36" t="n">
        <x:v>1301242.2442</x:v>
      </x:c>
      <x:c r="M258" s="37" t="n">
        <x:v>4001</x:v>
      </x:c>
      <x:c r="N258" s="34" t="n">
        <x:v>0</x:v>
      </x:c>
      <x:c r="O258" s="34" t="n">
        <x:v>0</x:v>
      </x:c>
      <x:c r="P258" s="38" t="str">
        <x:f>IF(OR(N258="",O258="",N258=0,O258=0),"",(O258-N258)/((O258+N258)/2))</x:f>
      </x:c>
      <x:c r="Q258" s="34" t="n">
        <x:v>0.69998136</x:v>
      </x:c>
      <x:c r="R258" s="34" t="n">
        <x:v>0.7111</x:v>
      </x:c>
      <x:c r="S258" s="34" t="n">
        <x:v>0.69</x:v>
      </x:c>
      <x:c r="T258" s="32" t="n">
        <x:v>46209.26112309028</x:v>
      </x:c>
      <x:c r="U258" s="32" t="n">
        <x:v>46210.26112309028</x:v>
      </x:c>
      <x:c r="V258" s="34" t="n">
        <x:v>5</x:v>
      </x:c>
      <x:c r="W258" s="34" t="n">
        <x:v>1</x:v>
      </x:c>
      <x:c r="X258" s="34" t="n">
        <x:v>1</x:v>
      </x:c>
      <x:c r="Y258" s="34" t="n">
        <x:v>0.0001</x:v>
      </x:c>
      <x:c r="Z258" s="30" t="str">
        <x:f>IF(AND(D258="TRADING",I258&lt;&gt;"",L258&lt;&gt;"",M258&lt;&gt;"",N258&lt;&gt;"",O258&lt;&gt;""),"Yes","No")</x:f>
        <x:v>No</x:v>
      </x:c>
      <x:c r="AA258" s="39" t="str">
        <x:v>https://developers.binance.com/en/docs/catalog/core-trading-spot-trading/api/rest-api</x:v>
      </x:c>
    </x:row>
    <x:row r="259">
      <x:c r="A259" s="30" t="str">
        <x:v>FTTUSDT</x:v>
      </x:c>
      <x:c r="B259" s="30" t="str">
        <x:v>FTT</x:v>
      </x:c>
      <x:c r="C259" s="30" t="str">
        <x:v>USDT</x:v>
      </x:c>
      <x:c r="D259" s="30" t="str">
        <x:v>TRADING</x:v>
      </x:c>
      <x:c r="E259" s="31" t="b">
        <x:v>1</x:v>
      </x:c>
      <x:c r="F259" s="32" t="n">
        <x:v>43819</x:v>
      </x:c>
      <x:c r="G259" s="32" t="n">
        <x:v>43819.999999988424</x:v>
      </x:c>
      <x:c r="H259" s="33" t="n">
        <x:f>IF(F259="","",('Summary'!$B$5-F259)/365.25)</x:f>
        <x:v>6.620157402654196</x:v>
      </x:c>
      <x:c r="I259" s="34" t="n">
        <x:v>0.1975</x:v>
      </x:c>
      <x:c r="J259" s="35" t="n">
        <x:v>0.00101</x:v>
      </x:c>
      <x:c r="K259" s="36" t="n">
        <x:v>556012.63</x:v>
      </x:c>
      <x:c r="L259" s="36" t="n">
        <x:v>109779.05259</x:v>
      </x:c>
      <x:c r="M259" s="37" t="n">
        <x:v>2636</x:v>
      </x:c>
      <x:c r="N259" s="34" t="n">
        <x:v>0.1969</x:v>
      </x:c>
      <x:c r="O259" s="34" t="n">
        <x:v>0.1975</x:v>
      </x:c>
      <x:c r="P259" s="38" t="n">
        <x:f>IF(OR(N259="",O259="",N259=0,O259=0),"",(O259-N259)/((O259+N259)/2))</x:f>
        <x:v>0.003042596348884469</x:v>
      </x:c>
      <x:c r="Q259" s="34" t="n">
        <x:v>0.19743985</x:v>
      </x:c>
      <x:c r="R259" s="34" t="n">
        <x:v>0.2002</x:v>
      </x:c>
      <x:c r="S259" s="34" t="n">
        <x:v>0.1947</x:v>
      </x:c>
      <x:c r="T259" s="32" t="n">
        <x:v>46236.01230902778</x:v>
      </x:c>
      <x:c r="U259" s="32" t="n">
        <x:v>46237.01230902778</x:v>
      </x:c>
      <x:c r="V259" s="34" t="n">
        <x:v>5</x:v>
      </x:c>
      <x:c r="W259" s="34" t="n">
        <x:v>0.01</x:v>
      </x:c>
      <x:c r="X259" s="34" t="n">
        <x:v>0.01</x:v>
      </x:c>
      <x:c r="Y259" s="34" t="n">
        <x:v>0.0001</x:v>
      </x:c>
      <x:c r="Z259" s="30" t="str">
        <x:f>IF(AND(D259="TRADING",I259&lt;&gt;"",L259&lt;&gt;"",M259&lt;&gt;"",N259&lt;&gt;"",O259&lt;&gt;""),"Yes","No")</x:f>
        <x:v>Yes</x:v>
      </x:c>
      <x:c r="AA259" s="39" t="str">
        <x:v>https://developers.binance.com/en/docs/catalog/core-trading-spot-trading/api/rest-api</x:v>
      </x:c>
    </x:row>
    <x:row r="260">
      <x:c r="A260" s="30" t="str">
        <x:v>FUNUSDT</x:v>
      </x:c>
      <x:c r="B260" s="30" t="str">
        <x:v>FUN</x:v>
      </x:c>
      <x:c r="C260" s="30" t="str">
        <x:v>USDT</x:v>
      </x:c>
      <x:c r="D260" s="30" t="str">
        <x:v>BREAK</x:v>
      </x:c>
      <x:c r="E260" s="31" t="b">
        <x:v>1</x:v>
      </x:c>
      <x:c r="F260" s="32" t="n">
        <x:v>43704</x:v>
      </x:c>
      <x:c r="G260" s="32" t="n">
        <x:v>43704.999999988424</x:v>
      </x:c>
      <x:c r="H260" s="33" t="n">
        <x:f>IF(F260="","",('Summary'!$B$5-F260)/365.25)</x:f>
        <x:v>6.935010243174387</x:v>
      </x:c>
      <x:c r="I260" s="34" t="n">
        <x:v>0.000342</x:v>
      </x:c>
      <x:c r="J260" s="35" t="n">
        <x:v>-0.24336</x:v>
      </x:c>
      <x:c r="K260" s="36" t="n">
        <x:v>1549586034</x:v>
      </x:c>
      <x:c r="L260" s="36" t="n">
        <x:v>607978.371012</x:v>
      </x:c>
      <x:c r="M260" s="37" t="n">
        <x:v>14430</x:v>
      </x:c>
      <x:c r="N260" s="34" t="n">
        <x:v>0</x:v>
      </x:c>
      <x:c r="O260" s="34" t="n">
        <x:v>0</x:v>
      </x:c>
      <x:c r="P260" s="38" t="str">
        <x:f>IF(OR(N260="",O260="",N260=0,O260=0),"",(O260-N260)/((O260+N260)/2))</x:f>
      </x:c>
      <x:c r="Q260" s="34" t="n">
        <x:v>0.00039235</x:v>
      </x:c>
      <x:c r="R260" s="34" t="n">
        <x:v>0.000465</x:v>
      </x:c>
      <x:c r="S260" s="34" t="n">
        <x:v>0.0003</x:v>
      </x:c>
      <x:c r="T260" s="32" t="n">
        <x:v>46209.26112309028</x:v>
      </x:c>
      <x:c r="U260" s="32" t="n">
        <x:v>46210.26112309028</x:v>
      </x:c>
      <x:c r="V260" s="34" t="n">
        <x:v>5</x:v>
      </x:c>
      <x:c r="W260" s="34" t="n">
        <x:v>1</x:v>
      </x:c>
      <x:c r="X260" s="34" t="n">
        <x:v>1</x:v>
      </x:c>
      <x:c r="Y260" s="34" t="n">
        <x:v>0.000001</x:v>
      </x:c>
      <x:c r="Z260" s="30" t="str">
        <x:f>IF(AND(D260="TRADING",I260&lt;&gt;"",L260&lt;&gt;"",M260&lt;&gt;"",N260&lt;&gt;"",O260&lt;&gt;""),"Yes","No")</x:f>
        <x:v>No</x:v>
      </x:c>
      <x:c r="AA260" s="39" t="str">
        <x:v>https://developers.binance.com/en/docs/catalog/core-trading-spot-trading/api/rest-api</x:v>
      </x:c>
    </x:row>
    <x:row r="261">
      <x:c r="A261" s="30" t="str">
        <x:v>FUSDT</x:v>
      </x:c>
      <x:c r="B261" s="30" t="str">
        <x:v>F</x:v>
      </x:c>
      <x:c r="C261" s="30" t="str">
        <x:v>USDT</x:v>
      </x:c>
      <x:c r="D261" s="30" t="str">
        <x:v>TRADING</x:v>
      </x:c>
      <x:c r="E261" s="31" t="b">
        <x:v>1</x:v>
      </x:c>
      <x:c r="F261" s="32" t="n">
        <x:v>45955</x:v>
      </x:c>
      <x:c r="G261" s="32" t="n">
        <x:v>45955.999999988424</x:v>
      </x:c>
      <x:c r="H261" s="33" t="n">
        <x:f>IF(F261="","",('Summary'!$B$5-F261)/365.25)</x:f>
        <x:v>0.7721081213400273</x:v>
      </x:c>
      <x:c r="I261" s="34" t="n">
        <x:v>0.00283</x:v>
      </x:c>
      <x:c r="J261" s="35" t="n">
        <x:v>-0.0035199999999999997</x:v>
      </x:c>
      <x:c r="K261" s="36" t="n">
        <x:v>23369866</x:v>
      </x:c>
      <x:c r="L261" s="36" t="n">
        <x:v>66131.32937</x:v>
      </x:c>
      <x:c r="M261" s="37" t="n">
        <x:v>1322</x:v>
      </x:c>
      <x:c r="N261" s="34" t="n">
        <x:v>0.00282</x:v>
      </x:c>
      <x:c r="O261" s="34" t="n">
        <x:v>0.00283</x:v>
      </x:c>
      <x:c r="P261" s="38" t="n">
        <x:f>IF(OR(N261="",O261="",N261=0,O261=0),"",(O261-N261)/((O261+N261)/2))</x:f>
        <x:v>0.0035398230088495666</x:v>
      </x:c>
      <x:c r="Q261" s="34" t="n">
        <x:v>0.00282977</x:v>
      </x:c>
      <x:c r="R261" s="34" t="n">
        <x:v>0.00287</x:v>
      </x:c>
      <x:c r="S261" s="34" t="n">
        <x:v>0.00278</x:v>
      </x:c>
      <x:c r="T261" s="32" t="n">
        <x:v>46236.01234033565</x:v>
      </x:c>
      <x:c r="U261" s="32" t="n">
        <x:v>46237.01234033565</x:v>
      </x:c>
      <x:c r="V261" s="34" t="n">
        <x:v>5</x:v>
      </x:c>
      <x:c r="W261" s="34" t="n">
        <x:v>1</x:v>
      </x:c>
      <x:c r="X261" s="34" t="n">
        <x:v>1</x:v>
      </x:c>
      <x:c r="Y261" s="34" t="n">
        <x:v>0.00001</x:v>
      </x:c>
      <x:c r="Z261" s="30" t="str">
        <x:f>IF(AND(D261="TRADING",I261&lt;&gt;"",L261&lt;&gt;"",M261&lt;&gt;"",N261&lt;&gt;"",O261&lt;&gt;""),"Yes","No")</x:f>
        <x:v>Yes</x:v>
      </x:c>
      <x:c r="AA261" s="39" t="str">
        <x:v>https://developers.binance.com/en/docs/catalog/core-trading-spot-trading/api/rest-api</x:v>
      </x:c>
    </x:row>
    <x:row r="262">
      <x:c r="A262" s="30" t="str">
        <x:v>FXSUSDT</x:v>
      </x:c>
      <x:c r="B262" s="30" t="str">
        <x:v>FXS</x:v>
      </x:c>
      <x:c r="C262" s="30" t="str">
        <x:v>USDT</x:v>
      </x:c>
      <x:c r="D262" s="30" t="str">
        <x:v>BREAK</x:v>
      </x:c>
      <x:c r="E262" s="31" t="b">
        <x:v>1</x:v>
      </x:c>
      <x:c r="F262" s="32" t="n">
        <x:v>44540</x:v>
      </x:c>
      <x:c r="G262" s="32" t="n">
        <x:v>44540.999999988424</x:v>
      </x:c>
      <x:c r="H262" s="33" t="n">
        <x:f>IF(F262="","",('Summary'!$B$5-F262)/365.25)</x:f>
        <x:v>4.64616698513195</x:v>
      </x:c>
      <x:c r="I262" s="34" t="n">
        <x:v>0.812</x:v>
      </x:c>
      <x:c r="J262" s="35" t="n">
        <x:v>-0.04807</x:v>
      </x:c>
      <x:c r="K262" s="36" t="n">
        <x:v>558461.2</x:v>
      </x:c>
      <x:c r="L262" s="36" t="n">
        <x:v>461501.8877</x:v>
      </x:c>
      <x:c r="M262" s="37" t="n">
        <x:v>4001</x:v>
      </x:c>
      <x:c r="N262" s="34" t="n">
        <x:v>0</x:v>
      </x:c>
      <x:c r="O262" s="34" t="n">
        <x:v>0</x:v>
      </x:c>
      <x:c r="P262" s="38" t="str">
        <x:f>IF(OR(N262="",O262="",N262=0,O262=0),"",(O262-N262)/((O262+N262)/2))</x:f>
      </x:c>
      <x:c r="Q262" s="34" t="n">
        <x:v>0.82638129</x:v>
      </x:c>
      <x:c r="R262" s="34" t="n">
        <x:v>0.855</x:v>
      </x:c>
      <x:c r="S262" s="34" t="n">
        <x:v>0.811</x:v>
      </x:c>
      <x:c r="T262" s="32" t="n">
        <x:v>46209.26112309028</x:v>
      </x:c>
      <x:c r="U262" s="32" t="n">
        <x:v>46210.26112309028</x:v>
      </x:c>
      <x:c r="V262" s="34" t="n">
        <x:v>5</x:v>
      </x:c>
      <x:c r="W262" s="34" t="n">
        <x:v>0.1</x:v>
      </x:c>
      <x:c r="X262" s="34" t="n">
        <x:v>0.1</x:v>
      </x:c>
      <x:c r="Y262" s="34" t="n">
        <x:v>0.001</x:v>
      </x:c>
      <x:c r="Z262" s="30" t="str">
        <x:f>IF(AND(D262="TRADING",I262&lt;&gt;"",L262&lt;&gt;"",M262&lt;&gt;"",N262&lt;&gt;"",O262&lt;&gt;""),"Yes","No")</x:f>
        <x:v>No</x:v>
      </x:c>
      <x:c r="AA262" s="39" t="str">
        <x:v>https://developers.binance.com/en/docs/catalog/core-trading-spot-trading/api/rest-api</x:v>
      </x:c>
    </x:row>
    <x:row r="263">
      <x:c r="A263" s="30" t="str">
        <x:v>GALAUSDT</x:v>
      </x:c>
      <x:c r="B263" s="30" t="str">
        <x:v>GALA</x:v>
      </x:c>
      <x:c r="C263" s="30" t="str">
        <x:v>USDT</x:v>
      </x:c>
      <x:c r="D263" s="30" t="str">
        <x:v>TRADING</x:v>
      </x:c>
      <x:c r="E263" s="31" t="b">
        <x:v>1</x:v>
      </x:c>
      <x:c r="F263" s="32" t="n">
        <x:v>44452</x:v>
      </x:c>
      <x:c r="G263" s="32" t="n">
        <x:v>44452.999999988424</x:v>
      </x:c>
      <x:c r="H263" s="33" t="n">
        <x:f>IF(F263="","",('Summary'!$B$5-F263)/365.25)</x:f>
        <x:v>4.887097854399576</x:v>
      </x:c>
      <x:c r="I263" s="34" t="n">
        <x:v>0.001797</x:v>
      </x:c>
      <x:c r="J263" s="35" t="n">
        <x:v>0.02044</x:v>
      </x:c>
      <x:c r="K263" s="36" t="n">
        <x:v>422558093</x:v>
      </x:c>
      <x:c r="L263" s="36" t="n">
        <x:v>751342.463295</x:v>
      </x:c>
      <x:c r="M263" s="37" t="n">
        <x:v>5556</x:v>
      </x:c>
      <x:c r="N263" s="34" t="n">
        <x:v>0.001796</x:v>
      </x:c>
      <x:c r="O263" s="34" t="n">
        <x:v>0.001797</x:v>
      </x:c>
      <x:c r="P263" s="38" t="n">
        <x:f>IF(OR(N263="",O263="",N263=0,O263=0),"",(O263-N263)/((O263+N263)/2))</x:f>
        <x:v>0.0005566379070414228</x:v>
      </x:c>
      <x:c r="Q263" s="34" t="n">
        <x:v>0.00177808</x:v>
      </x:c>
      <x:c r="R263" s="34" t="n">
        <x:v>0.001811</x:v>
      </x:c>
      <x:c r="S263" s="34" t="n">
        <x:v>0.00175</x:v>
      </x:c>
      <x:c r="T263" s="32" t="n">
        <x:v>46236.01247696759</x:v>
      </x:c>
      <x:c r="U263" s="32" t="n">
        <x:v>46237.01247696759</x:v>
      </x:c>
      <x:c r="V263" s="34" t="n">
        <x:v>5</x:v>
      </x:c>
      <x:c r="W263" s="34" t="n">
        <x:v>1</x:v>
      </x:c>
      <x:c r="X263" s="34" t="n">
        <x:v>1</x:v>
      </x:c>
      <x:c r="Y263" s="34" t="n">
        <x:v>0.000001</x:v>
      </x:c>
      <x:c r="Z263" s="30" t="str">
        <x:f>IF(AND(D263="TRADING",I263&lt;&gt;"",L263&lt;&gt;"",M263&lt;&gt;"",N263&lt;&gt;"",O263&lt;&gt;""),"Yes","No")</x:f>
        <x:v>Yes</x:v>
      </x:c>
      <x:c r="AA263" s="39" t="str">
        <x:v>https://developers.binance.com/en/docs/catalog/core-trading-spot-trading/api/rest-api</x:v>
      </x:c>
    </x:row>
    <x:row r="264">
      <x:c r="A264" s="30" t="str">
        <x:v>GALUSDT</x:v>
      </x:c>
      <x:c r="B264" s="30" t="str">
        <x:v>GAL</x:v>
      </x:c>
      <x:c r="C264" s="30" t="str">
        <x:v>USDT</x:v>
      </x:c>
      <x:c r="D264" s="30" t="str">
        <x:v>BREAK</x:v>
      </x:c>
      <x:c r="E264" s="31" t="b">
        <x:v>1</x:v>
      </x:c>
      <x:c r="F264" s="32" t="n">
        <x:v>44686</x:v>
      </x:c>
      <x:c r="G264" s="32" t="n">
        <x:v>44686.999999988424</x:v>
      </x:c>
      <x:c r="H264" s="33" t="n">
        <x:f>IF(F264="","",('Summary'!$B$5-F264)/365.25)</x:f>
        <x:v>4.246440770210664</x:v>
      </x:c>
      <x:c r="I264" s="34" t="n">
        <x:v>2.542</x:v>
      </x:c>
      <x:c r="J264" s="35" t="n">
        <x:v>0.01477</x:v>
      </x:c>
      <x:c r="K264" s="36" t="n">
        <x:v>500864.042</x:v>
      </x:c>
      <x:c r="L264" s="36" t="n">
        <x:v>1275318.811376</x:v>
      </x:c>
      <x:c r="M264" s="37" t="n">
        <x:v>4001</x:v>
      </x:c>
      <x:c r="N264" s="34" t="n">
        <x:v>0</x:v>
      </x:c>
      <x:c r="O264" s="34" t="n">
        <x:v>0</x:v>
      </x:c>
      <x:c r="P264" s="38" t="str">
        <x:f>IF(OR(N264="",O264="",N264=0,O264=0),"",(O264-N264)/((O264+N264)/2))</x:f>
      </x:c>
      <x:c r="Q264" s="34" t="n">
        <x:v>2.54623751</x:v>
      </x:c>
      <x:c r="R264" s="34" t="n">
        <x:v>2.6</x:v>
      </x:c>
      <x:c r="S264" s="34" t="n">
        <x:v>2.49</x:v>
      </x:c>
      <x:c r="T264" s="32" t="n">
        <x:v>46209.26112309028</x:v>
      </x:c>
      <x:c r="U264" s="32" t="n">
        <x:v>46210.26112309028</x:v>
      </x:c>
      <x:c r="V264" s="34" t="n">
        <x:v>5</x:v>
      </x:c>
      <x:c r="W264" s="34" t="n">
        <x:v>0.001</x:v>
      </x:c>
      <x:c r="X264" s="34" t="n">
        <x:v>0.001</x:v>
      </x:c>
      <x:c r="Y264" s="34" t="n">
        <x:v>0.001</x:v>
      </x:c>
      <x:c r="Z264" s="30" t="str">
        <x:f>IF(AND(D264="TRADING",I264&lt;&gt;"",L264&lt;&gt;"",M264&lt;&gt;"",N264&lt;&gt;"",O264&lt;&gt;""),"Yes","No")</x:f>
        <x:v>No</x:v>
      </x:c>
      <x:c r="AA264" s="39" t="str">
        <x:v>https://developers.binance.com/en/docs/catalog/core-trading-spot-trading/api/rest-api</x:v>
      </x:c>
    </x:row>
    <x:row r="265">
      <x:c r="A265" s="30" t="str">
        <x:v>GASUSDT</x:v>
      </x:c>
      <x:c r="B265" s="30" t="str">
        <x:v>GAS</x:v>
      </x:c>
      <x:c r="C265" s="30" t="str">
        <x:v>USDT</x:v>
      </x:c>
      <x:c r="D265" s="30" t="str">
        <x:v>TRADING</x:v>
      </x:c>
      <x:c r="E265" s="31" t="b">
        <x:v>1</x:v>
      </x:c>
      <x:c r="F265" s="32" t="n">
        <x:v>45002</x:v>
      </x:c>
      <x:c r="G265" s="32" t="n">
        <x:v>45002.999999988424</x:v>
      </x:c>
      <x:c r="H265" s="33" t="n">
        <x:f>IF(F265="","",('Summary'!$B$5-F265)/365.25)</x:f>
        <x:v>3.38127992147692</x:v>
      </x:c>
      <x:c r="I265" s="34" t="n">
        <x:v>0.928</x:v>
      </x:c>
      <x:c r="J265" s="35" t="n">
        <x:v>0.00433</x:v>
      </x:c>
      <x:c r="K265" s="36" t="n">
        <x:v>79798.2</x:v>
      </x:c>
      <x:c r="L265" s="36" t="n">
        <x:v>74101.4972</x:v>
      </x:c>
      <x:c r="M265" s="37" t="n">
        <x:v>687</x:v>
      </x:c>
      <x:c r="N265" s="34" t="n">
        <x:v>0.927</x:v>
      </x:c>
      <x:c r="O265" s="34" t="n">
        <x:v>0.928</x:v>
      </x:c>
      <x:c r="P265" s="38" t="n">
        <x:f>IF(OR(N265="",O265="",N265=0,O265=0),"",(O265-N265)/((O265+N265)/2))</x:f>
        <x:v>0.001078167115902966</x:v>
      </x:c>
      <x:c r="Q265" s="34" t="n">
        <x:v>0.92861114</x:v>
      </x:c>
      <x:c r="R265" s="34" t="n">
        <x:v>0.938</x:v>
      </x:c>
      <x:c r="S265" s="34" t="n">
        <x:v>0.922</x:v>
      </x:c>
      <x:c r="T265" s="32" t="n">
        <x:v>46236.01152591435</x:v>
      </x:c>
      <x:c r="U265" s="32" t="n">
        <x:v>46237.01152591435</x:v>
      </x:c>
      <x:c r="V265" s="34" t="n">
        <x:v>5</x:v>
      </x:c>
      <x:c r="W265" s="34" t="n">
        <x:v>0.1</x:v>
      </x:c>
      <x:c r="X265" s="34" t="n">
        <x:v>0.1</x:v>
      </x:c>
      <x:c r="Y265" s="34" t="n">
        <x:v>0.001</x:v>
      </x:c>
      <x:c r="Z265" s="30" t="str">
        <x:f>IF(AND(D265="TRADING",I265&lt;&gt;"",L265&lt;&gt;"",M265&lt;&gt;"",N265&lt;&gt;"",O265&lt;&gt;""),"Yes","No")</x:f>
        <x:v>Yes</x:v>
      </x:c>
      <x:c r="AA265" s="39" t="str">
        <x:v>https://developers.binance.com/en/docs/catalog/core-trading-spot-trading/api/rest-api</x:v>
      </x:c>
    </x:row>
    <x:row r="266">
      <x:c r="A266" s="30" t="str">
        <x:v>GBPUSDT</x:v>
      </x:c>
      <x:c r="B266" s="30" t="str">
        <x:v>GBP</x:v>
      </x:c>
      <x:c r="C266" s="30" t="str">
        <x:v>USDT</x:v>
      </x:c>
      <x:c r="D266" s="30" t="str">
        <x:v>BREAK</x:v>
      </x:c>
      <x:c r="E266" s="31" t="b">
        <x:v>1</x:v>
      </x:c>
      <x:c r="F266" s="32" t="n">
        <x:v>44032</x:v>
      </x:c>
      <x:c r="G266" s="32" t="n">
        <x:v>44032.999999988424</x:v>
      </x:c>
      <x:c r="H266" s="33" t="n">
        <x:f>IF(F266="","",('Summary'!$B$5-F266)/365.25)</x:f>
        <x:v>6.0369951849950585</x:v>
      </x:c>
      <x:c r="I266" s="34" t="n">
        <x:v>1.18</x:v>
      </x:c>
      <x:c r="J266" s="35" t="n">
        <x:v>-0.0059</x:v>
      </x:c>
      <x:c r="K266" s="36" t="n">
        <x:v>180121</x:v>
      </x:c>
      <x:c r="L266" s="36" t="n">
        <x:v>213136.9666</x:v>
      </x:c>
      <x:c r="M266" s="37" t="n">
        <x:v>4001</x:v>
      </x:c>
      <x:c r="N266" s="34" t="n">
        <x:v>0</x:v>
      </x:c>
      <x:c r="O266" s="34" t="n">
        <x:v>0</x:v>
      </x:c>
      <x:c r="P266" s="38" t="str">
        <x:f>IF(OR(N266="",O266="",N266=0,O266=0),"",(O266-N266)/((O266+N266)/2))</x:f>
      </x:c>
      <x:c r="Q266" s="34" t="n">
        <x:v>1.18329882</x:v>
      </x:c>
      <x:c r="R266" s="34" t="n">
        <x:v>1.208</x:v>
      </x:c>
      <x:c r="S266" s="34" t="n">
        <x:v>1.162</x:v>
      </x:c>
      <x:c r="T266" s="32" t="n">
        <x:v>46209.26112309028</x:v>
      </x:c>
      <x:c r="U266" s="32" t="n">
        <x:v>46210.26112309028</x:v>
      </x:c>
      <x:c r="V266" s="34" t="n">
        <x:v>5</x:v>
      </x:c>
      <x:c r="W266" s="34" t="n">
        <x:v>0.1</x:v>
      </x:c>
      <x:c r="X266" s="34" t="n">
        <x:v>0.1</x:v>
      </x:c>
      <x:c r="Y266" s="34" t="n">
        <x:v>0.001</x:v>
      </x:c>
      <x:c r="Z266" s="30" t="str">
        <x:f>IF(AND(D266="TRADING",I266&lt;&gt;"",L266&lt;&gt;"",M266&lt;&gt;"",N266&lt;&gt;"",O266&lt;&gt;""),"Yes","No")</x:f>
        <x:v>No</x:v>
      </x:c>
      <x:c r="AA266" s="39" t="str">
        <x:v>https://developers.binance.com/en/docs/catalog/core-trading-spot-trading/api/rest-api</x:v>
      </x:c>
    </x:row>
    <x:row r="267">
      <x:c r="A267" s="30" t="str">
        <x:v>GENIUSUSDT</x:v>
      </x:c>
      <x:c r="B267" s="30" t="str">
        <x:v>GENIUS</x:v>
      </x:c>
      <x:c r="C267" s="30" t="str">
        <x:v>USDT</x:v>
      </x:c>
      <x:c r="D267" s="30" t="str">
        <x:v>TRADING</x:v>
      </x:c>
      <x:c r="E267" s="31" t="b">
        <x:v>1</x:v>
      </x:c>
      <x:c r="F267" s="32" t="n">
        <x:v>46164</x:v>
      </x:c>
      <x:c r="G267" s="32" t="n">
        <x:v>46164.999999988424</x:v>
      </x:c>
      <x:c r="H267" s="33" t="n">
        <x:f>IF(F267="","",('Summary'!$B$5-F267)/365.25)</x:f>
        <x:v>0.19989730682941811</x:v>
      </x:c>
      <x:c r="I267" s="34" t="n">
        <x:v>0.3265</x:v>
      </x:c>
      <x:c r="J267" s="35" t="n">
        <x:v>0.00709</x:v>
      </x:c>
      <x:c r="K267" s="36" t="n">
        <x:v>484292.7</x:v>
      </x:c>
      <x:c r="L267" s="36" t="n">
        <x:v>159029.86372</x:v>
      </x:c>
      <x:c r="M267" s="37" t="n">
        <x:v>2970</x:v>
      </x:c>
      <x:c r="N267" s="34" t="n">
        <x:v>0.3265</x:v>
      </x:c>
      <x:c r="O267" s="34" t="n">
        <x:v>0.3269</x:v>
      </x:c>
      <x:c r="P267" s="38" t="n">
        <x:f>IF(OR(N267="",O267="",N267=0,O267=0),"",(O267-N267)/((O267+N267)/2))</x:f>
        <x:v>0.0012243648607285322</x:v>
      </x:c>
      <x:c r="Q267" s="34" t="n">
        <x:v>0.32837551</x:v>
      </x:c>
      <x:c r="R267" s="34" t="n">
        <x:v>0.3354</x:v>
      </x:c>
      <x:c r="S267" s="34" t="n">
        <x:v>0.322</x:v>
      </x:c>
      <x:c r="T267" s="32" t="n">
        <x:v>46236.01246266204</x:v>
      </x:c>
      <x:c r="U267" s="32" t="n">
        <x:v>46237.01246266204</x:v>
      </x:c>
      <x:c r="V267" s="34" t="n">
        <x:v>5</x:v>
      </x:c>
      <x:c r="W267" s="34" t="n">
        <x:v>0.1</x:v>
      </x:c>
      <x:c r="X267" s="34" t="n">
        <x:v>0.1</x:v>
      </x:c>
      <x:c r="Y267" s="34" t="n">
        <x:v>0.0001</x:v>
      </x:c>
      <x:c r="Z267" s="30" t="str">
        <x:f>IF(AND(D267="TRADING",I267&lt;&gt;"",L267&lt;&gt;"",M267&lt;&gt;"",N267&lt;&gt;"",O267&lt;&gt;""),"Yes","No")</x:f>
        <x:v>Yes</x:v>
      </x:c>
      <x:c r="AA267" s="39" t="str">
        <x:v>https://developers.binance.com/en/docs/catalog/core-trading-spot-trading/api/rest-api</x:v>
      </x:c>
    </x:row>
    <x:row r="268">
      <x:c r="A268" s="30" t="str">
        <x:v>GFTUSDT</x:v>
      </x:c>
      <x:c r="B268" s="30" t="str">
        <x:v>GFT</x:v>
      </x:c>
      <x:c r="C268" s="30" t="str">
        <x:v>USDT</x:v>
      </x:c>
      <x:c r="D268" s="30" t="str">
        <x:v>BREAK</x:v>
      </x:c>
      <x:c r="E268" s="31" t="b">
        <x:v>1</x:v>
      </x:c>
      <x:c r="F268" s="32" t="n">
        <x:v>45191</x:v>
      </x:c>
      <x:c r="G268" s="32" t="n">
        <x:v>45191.999999988424</x:v>
      </x:c>
      <x:c r="H268" s="33" t="n">
        <x:f>IF(F268="","",('Summary'!$B$5-F268)/365.25)</x:f>
        <x:v>2.8638261227089528</x:v>
      </x:c>
      <x:c r="I268" s="34" t="n">
        <x:v>0.00196</x:v>
      </x:c>
      <x:c r="J268" s="35" t="n">
        <x:v>-0.1441</x:v>
      </x:c>
      <x:c r="K268" s="36" t="n">
        <x:v>244649653</x:v>
      </x:c>
      <x:c r="L268" s="36" t="n">
        <x:v>533097.35823</x:v>
      </x:c>
      <x:c r="M268" s="37" t="n">
        <x:v>4001</x:v>
      </x:c>
      <x:c r="N268" s="34" t="n">
        <x:v>0</x:v>
      </x:c>
      <x:c r="O268" s="34" t="n">
        <x:v>0</x:v>
      </x:c>
      <x:c r="P268" s="38" t="str">
        <x:f>IF(OR(N268="",O268="",N268=0,O268=0),"",(O268-N268)/((O268+N268)/2))</x:f>
      </x:c>
      <x:c r="Q268" s="34" t="n">
        <x:v>0.00217902</x:v>
      </x:c>
      <x:c r="R268" s="34" t="n">
        <x:v>0.00243</x:v>
      </x:c>
      <x:c r="S268" s="34" t="n">
        <x:v>0.0019</x:v>
      </x:c>
      <x:c r="T268" s="32" t="n">
        <x:v>46209.26112309028</x:v>
      </x:c>
      <x:c r="U268" s="32" t="n">
        <x:v>46210.26112309028</x:v>
      </x:c>
      <x:c r="V268" s="34" t="n">
        <x:v>1</x:v>
      </x:c>
      <x:c r="W268" s="34" t="n">
        <x:v>1</x:v>
      </x:c>
      <x:c r="X268" s="34" t="n">
        <x:v>1</x:v>
      </x:c>
      <x:c r="Y268" s="34" t="n">
        <x:v>0.00001</x:v>
      </x:c>
      <x:c r="Z268" s="30" t="str">
        <x:f>IF(AND(D268="TRADING",I268&lt;&gt;"",L268&lt;&gt;"",M268&lt;&gt;"",N268&lt;&gt;"",O268&lt;&gt;""),"Yes","No")</x:f>
        <x:v>No</x:v>
      </x:c>
      <x:c r="AA268" s="39" t="str">
        <x:v>https://developers.binance.com/en/docs/catalog/core-trading-spot-trading/api/rest-api</x:v>
      </x:c>
    </x:row>
    <x:row r="269">
      <x:c r="A269" s="30" t="str">
        <x:v>GHSTUSDT</x:v>
      </x:c>
      <x:c r="B269" s="30" t="str">
        <x:v>GHST</x:v>
      </x:c>
      <x:c r="C269" s="30" t="str">
        <x:v>USDT</x:v>
      </x:c>
      <x:c r="D269" s="30" t="str">
        <x:v>BREAK</x:v>
      </x:c>
      <x:c r="E269" s="31" t="b">
        <x:v>1</x:v>
      </x:c>
      <x:c r="F269" s="32" t="n">
        <x:v>44428</x:v>
      </x:c>
      <x:c r="G269" s="32" t="n">
        <x:v>44428.999999988424</x:v>
      </x:c>
      <x:c r="H269" s="33" t="n">
        <x:f>IF(F269="","",('Summary'!$B$5-F269)/365.25)</x:f>
        <x:v>4.952806273290746</x:v>
      </x:c>
      <x:c r="I269" s="34" t="n">
        <x:v>0.108</x:v>
      </x:c>
      <x:c r="J269" s="35" t="n">
        <x:v>0</x:v>
      </x:c>
      <x:c r="K269" s="36" t="n">
        <x:v>1012047</x:v>
      </x:c>
      <x:c r="L269" s="36" t="n">
        <x:v>108841.868</x:v>
      </x:c>
      <x:c r="M269" s="37" t="n">
        <x:v>4001</x:v>
      </x:c>
      <x:c r="N269" s="34" t="n">
        <x:v>0</x:v>
      </x:c>
      <x:c r="O269" s="34" t="n">
        <x:v>0</x:v>
      </x:c>
      <x:c r="P269" s="38" t="str">
        <x:f>IF(OR(N269="",O269="",N269=0,O269=0),"",(O269-N269)/((O269+N269)/2))</x:f>
      </x:c>
      <x:c r="Q269" s="34" t="n">
        <x:v>0.10754626</x:v>
      </x:c>
      <x:c r="R269" s="34" t="n">
        <x:v>0.114</x:v>
      </x:c>
      <x:c r="S269" s="34" t="n">
        <x:v>0.103</x:v>
      </x:c>
      <x:c r="T269" s="32" t="n">
        <x:v>46209.26112309028</x:v>
      </x:c>
      <x:c r="U269" s="32" t="n">
        <x:v>46210.26112309028</x:v>
      </x:c>
      <x:c r="V269" s="34" t="n">
        <x:v>5</x:v>
      </x:c>
      <x:c r="W269" s="34" t="n">
        <x:v>0.1</x:v>
      </x:c>
      <x:c r="X269" s="34" t="n">
        <x:v>0.1</x:v>
      </x:c>
      <x:c r="Y269" s="34" t="n">
        <x:v>0.001</x:v>
      </x:c>
      <x:c r="Z269" s="30" t="str">
        <x:f>IF(AND(D269="TRADING",I269&lt;&gt;"",L269&lt;&gt;"",M269&lt;&gt;"",N269&lt;&gt;"",O269&lt;&gt;""),"Yes","No")</x:f>
        <x:v>No</x:v>
      </x:c>
      <x:c r="AA269" s="39" t="str">
        <x:v>https://developers.binance.com/en/docs/catalog/core-trading-spot-trading/api/rest-api</x:v>
      </x:c>
    </x:row>
    <x:row r="270">
      <x:c r="A270" s="30" t="str">
        <x:v>GIGGLEUSDT</x:v>
      </x:c>
      <x:c r="B270" s="30" t="str">
        <x:v>GIGGLE</x:v>
      </x:c>
      <x:c r="C270" s="30" t="str">
        <x:v>USDT</x:v>
      </x:c>
      <x:c r="D270" s="30" t="str">
        <x:v>TRADING</x:v>
      </x:c>
      <x:c r="E270" s="31" t="b">
        <x:v>1</x:v>
      </x:c>
      <x:c r="F270" s="32" t="n">
        <x:v>45955</x:v>
      </x:c>
      <x:c r="G270" s="32" t="n">
        <x:v>45955.999999988424</x:v>
      </x:c>
      <x:c r="H270" s="33" t="n">
        <x:f>IF(F270="","",('Summary'!$B$5-F270)/365.25)</x:f>
        <x:v>0.7721081213400273</x:v>
      </x:c>
      <x:c r="I270" s="34" t="n">
        <x:v>41.2</x:v>
      </x:c>
      <x:c r="J270" s="35" t="n">
        <x:v>-0.03241</x:v>
      </x:c>
      <x:c r="K270" s="36" t="n">
        <x:v>411754.773</x:v>
      </x:c>
      <x:c r="L270" s="36" t="n">
        <x:v>17526784.65185</x:v>
      </x:c>
      <x:c r="M270" s="37" t="n">
        <x:v>392405</x:v>
      </x:c>
      <x:c r="N270" s="34" t="n">
        <x:v>41.19</x:v>
      </x:c>
      <x:c r="O270" s="34" t="n">
        <x:v>41.22</x:v>
      </x:c>
      <x:c r="P270" s="38" t="n">
        <x:f>IF(OR(N270="",O270="",N270=0,O270=0),"",(O270-N270)/((O270+N270)/2))</x:f>
        <x:v>0.0007280669821623866</x:v>
      </x:c>
      <x:c r="Q270" s="34" t="n">
        <x:v>42.56607525</x:v>
      </x:c>
      <x:c r="R270" s="34" t="n">
        <x:v>45.79</x:v>
      </x:c>
      <x:c r="S270" s="34" t="n">
        <x:v>39.45</x:v>
      </x:c>
      <x:c r="T270" s="32" t="n">
        <x:v>46236.01248128472</x:v>
      </x:c>
      <x:c r="U270" s="32" t="n">
        <x:v>46237.01248128472</x:v>
      </x:c>
      <x:c r="V270" s="34" t="n">
        <x:v>1</x:v>
      </x:c>
      <x:c r="W270" s="34" t="n">
        <x:v>0.001</x:v>
      </x:c>
      <x:c r="X270" s="34" t="n">
        <x:v>0.001</x:v>
      </x:c>
      <x:c r="Y270" s="34" t="n">
        <x:v>0.01</x:v>
      </x:c>
      <x:c r="Z270" s="30" t="str">
        <x:f>IF(AND(D270="TRADING",I270&lt;&gt;"",L270&lt;&gt;"",M270&lt;&gt;"",N270&lt;&gt;"",O270&lt;&gt;""),"Yes","No")</x:f>
        <x:v>Yes</x:v>
      </x:c>
      <x:c r="AA270" s="39" t="str">
        <x:v>https://developers.binance.com/en/docs/catalog/core-trading-spot-trading/api/rest-api</x:v>
      </x:c>
    </x:row>
    <x:row r="271">
      <x:c r="A271" s="30" t="str">
        <x:v>GLMRUSDT</x:v>
      </x:c>
      <x:c r="B271" s="30" t="str">
        <x:v>GLMR</x:v>
      </x:c>
      <x:c r="C271" s="30" t="str">
        <x:v>USDT</x:v>
      </x:c>
      <x:c r="D271" s="30" t="str">
        <x:v>TRADING</x:v>
      </x:c>
      <x:c r="E271" s="31" t="b">
        <x:v>1</x:v>
      </x:c>
      <x:c r="F271" s="32" t="n">
        <x:v>44572</x:v>
      </x:c>
      <x:c r="G271" s="32" t="n">
        <x:v>44572.999999988424</x:v>
      </x:c>
      <x:c r="H271" s="33" t="n">
        <x:f>IF(F271="","",('Summary'!$B$5-F271)/365.25)</x:f>
        <x:v>4.558555759943723</x:v>
      </x:c>
      <x:c r="I271" s="34" t="n">
        <x:v>0.007438</x:v>
      </x:c>
      <x:c r="J271" s="35" t="n">
        <x:v>-0.00508</x:v>
      </x:c>
      <x:c r="K271" s="36" t="n">
        <x:v>31143255.8</x:v>
      </x:c>
      <x:c r="L271" s="36" t="n">
        <x:v>235113.1015093</x:v>
      </x:c>
      <x:c r="M271" s="37" t="n">
        <x:v>5481</x:v>
      </x:c>
      <x:c r="N271" s="34" t="n">
        <x:v>0.007438</x:v>
      </x:c>
      <x:c r="O271" s="34" t="n">
        <x:v>0.007451</x:v>
      </x:c>
      <x:c r="P271" s="38" t="n">
        <x:f>IF(OR(N271="",O271="",N271=0,O271=0),"",(O271-N271)/((O271+N271)/2))</x:f>
        <x:v>0.0017462556249580215</x:v>
      </x:c>
      <x:c r="Q271" s="34" t="n">
        <x:v>0.00754941</x:v>
      </x:c>
      <x:c r="R271" s="34" t="n">
        <x:v>0.007774</x:v>
      </x:c>
      <x:c r="S271" s="34" t="n">
        <x:v>0.007418</x:v>
      </x:c>
      <x:c r="T271" s="32" t="n">
        <x:v>46236.01191447917</x:v>
      </x:c>
      <x:c r="U271" s="32" t="n">
        <x:v>46237.01191447917</x:v>
      </x:c>
      <x:c r="V271" s="34" t="n">
        <x:v>5</x:v>
      </x:c>
      <x:c r="W271" s="34" t="n">
        <x:v>0.1</x:v>
      </x:c>
      <x:c r="X271" s="34" t="n">
        <x:v>0.1</x:v>
      </x:c>
      <x:c r="Y271" s="34" t="n">
        <x:v>0.000001</x:v>
      </x:c>
      <x:c r="Z271" s="30" t="str">
        <x:f>IF(AND(D271="TRADING",I271&lt;&gt;"",L271&lt;&gt;"",M271&lt;&gt;"",N271&lt;&gt;"",O271&lt;&gt;""),"Yes","No")</x:f>
        <x:v>Yes</x:v>
      </x:c>
      <x:c r="AA271" s="39" t="str">
        <x:v>https://developers.binance.com/en/docs/catalog/core-trading-spot-trading/api/rest-api</x:v>
      </x:c>
    </x:row>
    <x:row r="272">
      <x:c r="A272" s="30" t="str">
        <x:v>GLMUSDT</x:v>
      </x:c>
      <x:c r="B272" s="30" t="str">
        <x:v>GLM</x:v>
      </x:c>
      <x:c r="C272" s="30" t="str">
        <x:v>USDT</x:v>
      </x:c>
      <x:c r="D272" s="30" t="str">
        <x:v>TRADING</x:v>
      </x:c>
      <x:c r="E272" s="31" t="b">
        <x:v>1</x:v>
      </x:c>
      <x:c r="F272" s="32" t="n">
        <x:v>45002</x:v>
      </x:c>
      <x:c r="G272" s="32" t="n">
        <x:v>45002.999999988424</x:v>
      </x:c>
      <x:c r="H272" s="33" t="n">
        <x:f>IF(F272="","",('Summary'!$B$5-F272)/365.25)</x:f>
        <x:v>3.38127992147692</x:v>
      </x:c>
      <x:c r="I272" s="34" t="n">
        <x:v>0.0917</x:v>
      </x:c>
      <x:c r="J272" s="35" t="n">
        <x:v>-0.01398</x:v>
      </x:c>
      <x:c r="K272" s="36" t="n">
        <x:v>334209.4</x:v>
      </x:c>
      <x:c r="L272" s="36" t="n">
        <x:v>30907.22391</x:v>
      </x:c>
      <x:c r="M272" s="37" t="n">
        <x:v>647</x:v>
      </x:c>
      <x:c r="N272" s="34" t="n">
        <x:v>0.0917</x:v>
      </x:c>
      <x:c r="O272" s="34" t="n">
        <x:v>0.0918</x:v>
      </x:c>
      <x:c r="P272" s="38" t="n">
        <x:f>IF(OR(N272="",O272="",N272=0,O272=0),"",(O272-N272)/((O272+N272)/2))</x:f>
        <x:v>0.0010899182561308215</x:v>
      </x:c>
      <x:c r="Q272" s="34" t="n">
        <x:v>0.09247862</x:v>
      </x:c>
      <x:c r="R272" s="34" t="n">
        <x:v>0.0939</x:v>
      </x:c>
      <x:c r="S272" s="34" t="n">
        <x:v>0.0914</x:v>
      </x:c>
      <x:c r="T272" s="32" t="n">
        <x:v>46236.01201266204</x:v>
      </x:c>
      <x:c r="U272" s="32" t="n">
        <x:v>46237.01201266204</x:v>
      </x:c>
      <x:c r="V272" s="34" t="n">
        <x:v>5</x:v>
      </x:c>
      <x:c r="W272" s="34" t="n">
        <x:v>0.1</x:v>
      </x:c>
      <x:c r="X272" s="34" t="n">
        <x:v>0.1</x:v>
      </x:c>
      <x:c r="Y272" s="34" t="n">
        <x:v>0.0001</x:v>
      </x:c>
      <x:c r="Z272" s="30" t="str">
        <x:f>IF(AND(D272="TRADING",I272&lt;&gt;"",L272&lt;&gt;"",M272&lt;&gt;"",N272&lt;&gt;"",O272&lt;&gt;""),"Yes","No")</x:f>
        <x:v>Yes</x:v>
      </x:c>
      <x:c r="AA272" s="39" t="str">
        <x:v>https://developers.binance.com/en/docs/catalog/core-trading-spot-trading/api/rest-api</x:v>
      </x:c>
    </x:row>
    <x:row r="273">
      <x:c r="A273" s="30" t="str">
        <x:v>GLWBUSDT</x:v>
      </x:c>
      <x:c r="B273" s="30" t="str">
        <x:v>GLWB</x:v>
      </x:c>
      <x:c r="C273" s="30" t="str">
        <x:v>USDT</x:v>
      </x:c>
      <x:c r="D273" s="30" t="str">
        <x:v>TRADING</x:v>
      </x:c>
      <x:c r="E273" s="31" t="b">
        <x:v>1</x:v>
      </x:c>
      <x:c r="F273" s="32" t="n">
        <x:v>46210</x:v>
      </x:c>
      <x:c r="G273" s="32" t="n">
        <x:v>46210.999999988424</x:v>
      </x:c>
      <x:c r="H273" s="33" t="n">
        <x:f>IF(F273="","",('Summary'!$B$5-F273)/365.25)</x:f>
        <x:v>0.07395617062134144</x:v>
      </x:c>
      <x:c r="I273" s="34" t="n">
        <x:v>141.34</x:v>
      </x:c>
      <x:c r="J273" s="35" t="n">
        <x:v>0.02139</x:v>
      </x:c>
      <x:c r="K273" s="36" t="n">
        <x:v>824.797</x:v>
      </x:c>
      <x:c r="L273" s="36" t="n">
        <x:v>115525.96187</x:v>
      </x:c>
      <x:c r="M273" s="37" t="n">
        <x:v>2793</x:v>
      </x:c>
      <x:c r="N273" s="34" t="n">
        <x:v>141.34</x:v>
      </x:c>
      <x:c r="O273" s="34" t="n">
        <x:v>141.39</x:v>
      </x:c>
      <x:c r="P273" s="38" t="n">
        <x:f>IF(OR(N273="",O273="",N273=0,O273=0),"",(O273-N273)/((O273+N273)/2))</x:f>
        <x:v>0.0003536943373535383</x:v>
      </x:c>
      <x:c r="Q273" s="34" t="n">
        <x:v>140.06593364</x:v>
      </x:c>
      <x:c r="R273" s="34" t="n">
        <x:v>141.7</x:v>
      </x:c>
      <x:c r="S273" s="34" t="n">
        <x:v>138.34</x:v>
      </x:c>
      <x:c r="T273" s="32" t="n">
        <x:v>46236.01245592593</x:v>
      </x:c>
      <x:c r="U273" s="32" t="n">
        <x:v>46237.01245592593</x:v>
      </x:c>
      <x:c r="V273" s="34" t="n">
        <x:v>5</x:v>
      </x:c>
      <x:c r="W273" s="34" t="n">
        <x:v>0.001</x:v>
      </x:c>
      <x:c r="X273" s="34" t="n">
        <x:v>0.001</x:v>
      </x:c>
      <x:c r="Y273" s="34" t="n">
        <x:v>0.01</x:v>
      </x:c>
      <x:c r="Z273" s="30" t="str">
        <x:f>IF(AND(D273="TRADING",I273&lt;&gt;"",L273&lt;&gt;"",M273&lt;&gt;"",N273&lt;&gt;"",O273&lt;&gt;""),"Yes","No")</x:f>
        <x:v>Yes</x:v>
      </x:c>
      <x:c r="AA273" s="39" t="str">
        <x:v>https://developers.binance.com/en/docs/catalog/core-trading-spot-trading/api/rest-api</x:v>
      </x:c>
    </x:row>
    <x:row r="274">
      <x:c r="A274" s="30" t="str">
        <x:v>GMTUSDT</x:v>
      </x:c>
      <x:c r="B274" s="30" t="str">
        <x:v>GMT</x:v>
      </x:c>
      <x:c r="C274" s="30" t="str">
        <x:v>USDT</x:v>
      </x:c>
      <x:c r="D274" s="30" t="str">
        <x:v>TRADING</x:v>
      </x:c>
      <x:c r="E274" s="31" t="b">
        <x:v>1</x:v>
      </x:c>
      <x:c r="F274" s="32" t="n">
        <x:v>44629</x:v>
      </x:c>
      <x:c r="G274" s="32" t="n">
        <x:v>44629.999999988424</x:v>
      </x:c>
      <x:c r="H274" s="33" t="n">
        <x:f>IF(F274="","",('Summary'!$B$5-F274)/365.25)</x:f>
        <x:v>4.4024982650771936</x:v>
      </x:c>
      <x:c r="I274" s="34" t="n">
        <x:v>0.00667</x:v>
      </x:c>
      <x:c r="J274" s="35" t="n">
        <x:v>0.00603</x:v>
      </x:c>
      <x:c r="K274" s="36" t="n">
        <x:v>38181596.5</x:v>
      </x:c>
      <x:c r="L274" s="36" t="n">
        <x:v>256223.8775</x:v>
      </x:c>
      <x:c r="M274" s="37" t="n">
        <x:v>3859</x:v>
      </x:c>
      <x:c r="N274" s="34" t="n">
        <x:v>0.00666</x:v>
      </x:c>
      <x:c r="O274" s="34" t="n">
        <x:v>0.00667</x:v>
      </x:c>
      <x:c r="P274" s="38" t="n">
        <x:f>IF(OR(N274="",O274="",N274=0,O274=0),"",(O274-N274)/((O274+N274)/2))</x:f>
        <x:v>0.0015003750937733823</x:v>
      </x:c>
      <x:c r="Q274" s="34" t="n">
        <x:v>0.00671066</x:v>
      </x:c>
      <x:c r="R274" s="34" t="n">
        <x:v>0.00679</x:v>
      </x:c>
      <x:c r="S274" s="34" t="n">
        <x:v>0.00661</x:v>
      </x:c>
      <x:c r="T274" s="32" t="n">
        <x:v>46236.01248754629</x:v>
      </x:c>
      <x:c r="U274" s="32" t="n">
        <x:v>46237.01248754629</x:v>
      </x:c>
      <x:c r="V274" s="34" t="n">
        <x:v>5</x:v>
      </x:c>
      <x:c r="W274" s="34" t="n">
        <x:v>0.1</x:v>
      </x:c>
      <x:c r="X274" s="34" t="n">
        <x:v>0.1</x:v>
      </x:c>
      <x:c r="Y274" s="34" t="n">
        <x:v>0.00001</x:v>
      </x:c>
      <x:c r="Z274" s="30" t="str">
        <x:f>IF(AND(D274="TRADING",I274&lt;&gt;"",L274&lt;&gt;"",M274&lt;&gt;"",N274&lt;&gt;"",O274&lt;&gt;""),"Yes","No")</x:f>
        <x:v>Yes</x:v>
      </x:c>
      <x:c r="AA274" s="39" t="str">
        <x:v>https://developers.binance.com/en/docs/catalog/core-trading-spot-trading/api/rest-api</x:v>
      </x:c>
    </x:row>
    <x:row r="275">
      <x:c r="A275" s="30" t="str">
        <x:v>GMXUSDT</x:v>
      </x:c>
      <x:c r="B275" s="30" t="str">
        <x:v>GMX</x:v>
      </x:c>
      <x:c r="C275" s="30" t="str">
        <x:v>USDT</x:v>
      </x:c>
      <x:c r="D275" s="30" t="str">
        <x:v>TRADING</x:v>
      </x:c>
      <x:c r="E275" s="31" t="b">
        <x:v>1</x:v>
      </x:c>
      <x:c r="F275" s="32" t="n">
        <x:v>44839</x:v>
      </x:c>
      <x:c r="G275" s="32" t="n">
        <x:v>44839.999999988424</x:v>
      </x:c>
      <x:c r="H275" s="33" t="n">
        <x:f>IF(F275="","",('Summary'!$B$5-F275)/365.25)</x:f>
        <x:v>3.827549599779452</x:v>
      </x:c>
      <x:c r="I275" s="34" t="n">
        <x:v>6.08</x:v>
      </x:c>
      <x:c r="J275" s="35" t="n">
        <x:v>0.01165</x:v>
      </x:c>
      <x:c r="K275" s="36" t="n">
        <x:v>34801.85</x:v>
      </x:c>
      <x:c r="L275" s="36" t="n">
        <x:v>214264.19944</x:v>
      </x:c>
      <x:c r="M275" s="37" t="n">
        <x:v>8832</x:v>
      </x:c>
      <x:c r="N275" s="34" t="n">
        <x:v>6.08</x:v>
      </x:c>
      <x:c r="O275" s="34" t="n">
        <x:v>6.09</x:v>
      </x:c>
      <x:c r="P275" s="38" t="n">
        <x:f>IF(OR(N275="",O275="",N275=0,O275=0),"",(O275-N275)/((O275+N275)/2))</x:f>
        <x:v>0.0016433853738701376</x:v>
      </x:c>
      <x:c r="Q275" s="34" t="n">
        <x:v>6.15668993</x:v>
      </x:c>
      <x:c r="R275" s="34" t="n">
        <x:v>6.32</x:v>
      </x:c>
      <x:c r="S275" s="34" t="n">
        <x:v>5.97</x:v>
      </x:c>
      <x:c r="T275" s="32" t="n">
        <x:v>46236.0124674537</x:v>
      </x:c>
      <x:c r="U275" s="32" t="n">
        <x:v>46237.0124674537</x:v>
      </x:c>
      <x:c r="V275" s="34" t="n">
        <x:v>5</x:v>
      </x:c>
      <x:c r="W275" s="34" t="n">
        <x:v>0.001</x:v>
      </x:c>
      <x:c r="X275" s="34" t="n">
        <x:v>0.001</x:v>
      </x:c>
      <x:c r="Y275" s="34" t="n">
        <x:v>0.01</x:v>
      </x:c>
      <x:c r="Z275" s="30" t="str">
        <x:f>IF(AND(D275="TRADING",I275&lt;&gt;"",L275&lt;&gt;"",M275&lt;&gt;"",N275&lt;&gt;"",O275&lt;&gt;""),"Yes","No")</x:f>
        <x:v>Yes</x:v>
      </x:c>
      <x:c r="AA275" s="39" t="str">
        <x:v>https://developers.binance.com/en/docs/catalog/core-trading-spot-trading/api/rest-api</x:v>
      </x:c>
    </x:row>
    <x:row r="276">
      <x:c r="A276" s="30" t="str">
        <x:v>GNOUSDT</x:v>
      </x:c>
      <x:c r="B276" s="30" t="str">
        <x:v>GNO</x:v>
      </x:c>
      <x:c r="C276" s="30" t="str">
        <x:v>USDT</x:v>
      </x:c>
      <x:c r="D276" s="30" t="str">
        <x:v>TRADING</x:v>
      </x:c>
      <x:c r="E276" s="31" t="b">
        <x:v>1</x:v>
      </x:c>
      <x:c r="F276" s="32" t="n">
        <x:v>44438</x:v>
      </x:c>
      <x:c r="G276" s="32" t="n">
        <x:v>44438.999999988424</x:v>
      </x:c>
      <x:c r="H276" s="33" t="n">
        <x:f>IF(F276="","",('Summary'!$B$5-F276)/365.25)</x:f>
        <x:v>4.925427765419425</x:v>
      </x:c>
      <x:c r="I276" s="34" t="n">
        <x:v>104.95</x:v>
      </x:c>
      <x:c r="J276" s="35" t="n">
        <x:v>0.015969999999999998</x:v>
      </x:c>
      <x:c r="K276" s="36" t="n">
        <x:v>745.28</x:v>
      </x:c>
      <x:c r="L276" s="36" t="n">
        <x:v>77912.50868</x:v>
      </x:c>
      <x:c r="M276" s="37" t="n">
        <x:v>1949</x:v>
      </x:c>
      <x:c r="N276" s="34" t="n">
        <x:v>104.72</x:v>
      </x:c>
      <x:c r="O276" s="34" t="n">
        <x:v>104.95</x:v>
      </x:c>
      <x:c r="P276" s="38" t="n">
        <x:f>IF(OR(N276="",O276="",N276=0,O276=0),"",(O276-N276)/((O276+N276)/2))</x:f>
        <x:v>0.002193923784995507</x:v>
      </x:c>
      <x:c r="Q276" s="34" t="n">
        <x:v>104.54125789</x:v>
      </x:c>
      <x:c r="R276" s="34" t="n">
        <x:v>106.03</x:v>
      </x:c>
      <x:c r="S276" s="34" t="n">
        <x:v>102.98</x:v>
      </x:c>
      <x:c r="T276" s="32" t="n">
        <x:v>46236.011997685186</x:v>
      </x:c>
      <x:c r="U276" s="32" t="n">
        <x:v>46237.011997685186</x:v>
      </x:c>
      <x:c r="V276" s="34" t="n">
        <x:v>5</x:v>
      </x:c>
      <x:c r="W276" s="34" t="n">
        <x:v>0.001</x:v>
      </x:c>
      <x:c r="X276" s="34" t="n">
        <x:v>0.001</x:v>
      </x:c>
      <x:c r="Y276" s="34" t="n">
        <x:v>0.01</x:v>
      </x:c>
      <x:c r="Z276" s="30" t="str">
        <x:f>IF(AND(D276="TRADING",I276&lt;&gt;"",L276&lt;&gt;"",M276&lt;&gt;"",N276&lt;&gt;"",O276&lt;&gt;""),"Yes","No")</x:f>
        <x:v>Yes</x:v>
      </x:c>
      <x:c r="AA276" s="39" t="str">
        <x:v>https://developers.binance.com/en/docs/catalog/core-trading-spot-trading/api/rest-api</x:v>
      </x:c>
    </x:row>
    <x:row r="277">
      <x:c r="A277" s="30" t="str">
        <x:v>GNSUSDT</x:v>
      </x:c>
      <x:c r="B277" s="30" t="str">
        <x:v>GNS</x:v>
      </x:c>
      <x:c r="C277" s="30" t="str">
        <x:v>USDT</x:v>
      </x:c>
      <x:c r="D277" s="30" t="str">
        <x:v>TRADING</x:v>
      </x:c>
      <x:c r="E277" s="31" t="b">
        <x:v>1</x:v>
      </x:c>
      <x:c r="F277" s="32" t="n">
        <x:v>44974</x:v>
      </x:c>
      <x:c r="G277" s="32" t="n">
        <x:v>44974.999999988424</x:v>
      </x:c>
      <x:c r="H277" s="33" t="n">
        <x:f>IF(F277="","",('Summary'!$B$5-F277)/365.25)</x:f>
        <x:v>3.4579397435166186</x:v>
      </x:c>
      <x:c r="I277" s="34" t="n">
        <x:v>0.498</x:v>
      </x:c>
      <x:c r="J277" s="35" t="n">
        <x:v>0.01426</x:v>
      </x:c>
      <x:c r="K277" s="36" t="n">
        <x:v>98143.32</x:v>
      </x:c>
      <x:c r="L277" s="36" t="n">
        <x:v>48654.50375</x:v>
      </x:c>
      <x:c r="M277" s="37" t="n">
        <x:v>1776</x:v>
      </x:c>
      <x:c r="N277" s="34" t="n">
        <x:v>0.498</x:v>
      </x:c>
      <x:c r="O277" s="34" t="n">
        <x:v>0.499</x:v>
      </x:c>
      <x:c r="P277" s="38" t="n">
        <x:f>IF(OR(N277="",O277="",N277=0,O277=0),"",(O277-N277)/((O277+N277)/2))</x:f>
        <x:v>0.002006018054162489</x:v>
      </x:c>
      <x:c r="Q277" s="34" t="n">
        <x:v>0.49574952</x:v>
      </x:c>
      <x:c r="R277" s="34" t="n">
        <x:v>0.502</x:v>
      </x:c>
      <x:c r="S277" s="34" t="n">
        <x:v>0.49</x:v>
      </x:c>
      <x:c r="T277" s="32" t="n">
        <x:v>46236.011934594906</x:v>
      </x:c>
      <x:c r="U277" s="32" t="n">
        <x:v>46237.011934594906</x:v>
      </x:c>
      <x:c r="V277" s="34" t="n">
        <x:v>5</x:v>
      </x:c>
      <x:c r="W277" s="34" t="n">
        <x:v>0.01</x:v>
      </x:c>
      <x:c r="X277" s="34" t="n">
        <x:v>0.01</x:v>
      </x:c>
      <x:c r="Y277" s="34" t="n">
        <x:v>0.001</x:v>
      </x:c>
      <x:c r="Z277" s="30" t="str">
        <x:f>IF(AND(D277="TRADING",I277&lt;&gt;"",L277&lt;&gt;"",M277&lt;&gt;"",N277&lt;&gt;"",O277&lt;&gt;""),"Yes","No")</x:f>
        <x:v>Yes</x:v>
      </x:c>
      <x:c r="AA277" s="39" t="str">
        <x:v>https://developers.binance.com/en/docs/catalog/core-trading-spot-trading/api/rest-api</x:v>
      </x:c>
    </x:row>
    <x:row r="278">
      <x:c r="A278" s="30" t="str">
        <x:v>GOOGLBUSDT</x:v>
      </x:c>
      <x:c r="B278" s="30" t="str">
        <x:v>GOOGLB</x:v>
      </x:c>
      <x:c r="C278" s="30" t="str">
        <x:v>USDT</x:v>
      </x:c>
      <x:c r="D278" s="30" t="str">
        <x:v>TRADING</x:v>
      </x:c>
      <x:c r="E278" s="31" t="b">
        <x:v>1</x:v>
      </x:c>
      <x:c r="F278" s="32" t="n">
        <x:v>46210</x:v>
      </x:c>
      <x:c r="G278" s="32" t="n">
        <x:v>46210.999999988424</x:v>
      </x:c>
      <x:c r="H278" s="33" t="n">
        <x:f>IF(F278="","",('Summary'!$B$5-F278)/365.25)</x:f>
        <x:v>0.07395617062134144</x:v>
      </x:c>
      <x:c r="I278" s="34" t="n">
        <x:v>360.84</x:v>
      </x:c>
      <x:c r="J278" s="35" t="n">
        <x:v>0.024620000000000003</x:v>
      </x:c>
      <x:c r="K278" s="36" t="n">
        <x:v>1261.447</x:v>
      </x:c>
      <x:c r="L278" s="36" t="n">
        <x:v>448471.98032</x:v>
      </x:c>
      <x:c r="M278" s="37" t="n">
        <x:v>4691</x:v>
      </x:c>
      <x:c r="N278" s="34" t="n">
        <x:v>360.47</x:v>
      </x:c>
      <x:c r="O278" s="34" t="n">
        <x:v>360.88</x:v>
      </x:c>
      <x:c r="P278" s="38" t="n">
        <x:f>IF(OR(N278="",O278="",N278=0,O278=0),"",(O278-N278)/((O278+N278)/2))</x:f>
        <x:v>0.0011367574686351096</x:v>
      </x:c>
      <x:c r="Q278" s="34" t="n">
        <x:v>355.5218573</x:v>
      </x:c>
      <x:c r="R278" s="34" t="n">
        <x:v>361.26</x:v>
      </x:c>
      <x:c r="S278" s="34" t="n">
        <x:v>352.17</x:v>
      </x:c>
      <x:c r="T278" s="32" t="n">
        <x:v>46236.01247908565</x:v>
      </x:c>
      <x:c r="U278" s="32" t="n">
        <x:v>46237.01247908565</x:v>
      </x:c>
      <x:c r="V278" s="34" t="n">
        <x:v>5</x:v>
      </x:c>
      <x:c r="W278" s="34" t="n">
        <x:v>0.001</x:v>
      </x:c>
      <x:c r="X278" s="34" t="n">
        <x:v>0.001</x:v>
      </x:c>
      <x:c r="Y278" s="34" t="n">
        <x:v>0.01</x:v>
      </x:c>
      <x:c r="Z278" s="30" t="str">
        <x:f>IF(AND(D278="TRADING",I278&lt;&gt;"",L278&lt;&gt;"",M278&lt;&gt;"",N278&lt;&gt;"",O278&lt;&gt;""),"Yes","No")</x:f>
        <x:v>Yes</x:v>
      </x:c>
      <x:c r="AA278" s="39" t="str">
        <x:v>https://developers.binance.com/en/docs/catalog/core-trading-spot-trading/api/rest-api</x:v>
      </x:c>
    </x:row>
    <x:row r="279">
      <x:c r="A279" s="30" t="str">
        <x:v>GPSUSDT</x:v>
      </x:c>
      <x:c r="B279" s="30" t="str">
        <x:v>GPS</x:v>
      </x:c>
      <x:c r="C279" s="30" t="str">
        <x:v>USDT</x:v>
      </x:c>
      <x:c r="D279" s="30" t="str">
        <x:v>TRADING</x:v>
      </x:c>
      <x:c r="E279" s="31" t="b">
        <x:v>1</x:v>
      </x:c>
      <x:c r="F279" s="32" t="n">
        <x:v>45720</x:v>
      </x:c>
      <x:c r="G279" s="32" t="n">
        <x:v>45720.999999988424</x:v>
      </x:c>
      <x:c r="H279" s="33" t="n">
        <x:f>IF(F279="","",('Summary'!$B$5-F279)/365.25)</x:f>
        <x:v>1.415503056316071</x:v>
      </x:c>
      <x:c r="I279" s="34" t="n">
        <x:v>0.00947</x:v>
      </x:c>
      <x:c r="J279" s="35" t="n">
        <x:v>-0.00105</x:v>
      </x:c>
      <x:c r="K279" s="36" t="n">
        <x:v>16697116.7</x:v>
      </x:c>
      <x:c r="L279" s="36" t="n">
        <x:v>156184.872227</x:v>
      </x:c>
      <x:c r="M279" s="37" t="n">
        <x:v>3299</x:v>
      </x:c>
      <x:c r="N279" s="34" t="n">
        <x:v>0.00947</x:v>
      </x:c>
      <x:c r="O279" s="34" t="n">
        <x:v>0.00949</x:v>
      </x:c>
      <x:c r="P279" s="38" t="n">
        <x:f>IF(OR(N279="",O279="",N279=0,O279=0),"",(O279-N279)/((O279+N279)/2))</x:f>
        <x:v>0.0021097046413503084</x:v>
      </x:c>
      <x:c r="Q279" s="34" t="n">
        <x:v>0.009354</x:v>
      </x:c>
      <x:c r="R279" s="34" t="n">
        <x:v>0.00948</x:v>
      </x:c>
      <x:c r="S279" s="34" t="n">
        <x:v>0.00922</x:v>
      </x:c>
      <x:c r="T279" s="32" t="n">
        <x:v>46236.01247278935</x:v>
      </x:c>
      <x:c r="U279" s="32" t="n">
        <x:v>46237.01247278935</x:v>
      </x:c>
      <x:c r="V279" s="34" t="n">
        <x:v>5</x:v>
      </x:c>
      <x:c r="W279" s="34" t="n">
        <x:v>0.1</x:v>
      </x:c>
      <x:c r="X279" s="34" t="n">
        <x:v>0.1</x:v>
      </x:c>
      <x:c r="Y279" s="34" t="n">
        <x:v>0.00001</x:v>
      </x:c>
      <x:c r="Z279" s="30" t="str">
        <x:f>IF(AND(D279="TRADING",I279&lt;&gt;"",L279&lt;&gt;"",M279&lt;&gt;"",N279&lt;&gt;"",O279&lt;&gt;""),"Yes","No")</x:f>
        <x:v>Yes</x:v>
      </x:c>
      <x:c r="AA279" s="39" t="str">
        <x:v>https://developers.binance.com/en/docs/catalog/core-trading-spot-trading/api/rest-api</x:v>
      </x:c>
    </x:row>
    <x:row r="280">
      <x:c r="A280" s="30" t="str">
        <x:v>GRAMUSDT</x:v>
      </x:c>
      <x:c r="B280" s="30" t="str">
        <x:v>GRAM</x:v>
      </x:c>
      <x:c r="C280" s="30" t="str">
        <x:v>USDT</x:v>
      </x:c>
      <x:c r="D280" s="30" t="str">
        <x:v>TRADING</x:v>
      </x:c>
      <x:c r="E280" s="31" t="b">
        <x:v>1</x:v>
      </x:c>
      <x:c r="F280" s="32" t="n">
        <x:v>46205</x:v>
      </x:c>
      <x:c r="G280" s="32" t="n">
        <x:v>46205.999999988424</x:v>
      </x:c>
      <x:c r="H280" s="33" t="n">
        <x:f>IF(F280="","",('Summary'!$B$5-F280)/365.25)</x:f>
        <x:v>0.08764542455700194</x:v>
      </x:c>
      <x:c r="I280" s="34" t="n">
        <x:v>1.416</x:v>
      </x:c>
      <x:c r="J280" s="35" t="n">
        <x:v>0.015780000000000002</x:v>
      </x:c>
      <x:c r="K280" s="36" t="n">
        <x:v>2004882.8</x:v>
      </x:c>
      <x:c r="L280" s="36" t="n">
        <x:v>2828727.11071</x:v>
      </x:c>
      <x:c r="M280" s="37" t="n">
        <x:v>14814</x:v>
      </x:c>
      <x:c r="N280" s="34" t="n">
        <x:v>1.416</x:v>
      </x:c>
      <x:c r="O280" s="34" t="n">
        <x:v>1.417</x:v>
      </x:c>
      <x:c r="P280" s="38" t="n">
        <x:f>IF(OR(N280="",O280="",N280=0,O280=0),"",(O280-N280)/((O280+N280)/2))</x:f>
        <x:v>0.0007059654076951019</x:v>
      </x:c>
      <x:c r="Q280" s="34" t="n">
        <x:v>1.41091894</x:v>
      </x:c>
      <x:c r="R280" s="34" t="n">
        <x:v>1.43</x:v>
      </x:c>
      <x:c r="S280" s="34" t="n">
        <x:v>1.391</x:v>
      </x:c>
      <x:c r="T280" s="32" t="n">
        <x:v>46236.01230050926</x:v>
      </x:c>
      <x:c r="U280" s="32" t="n">
        <x:v>46237.01230050926</x:v>
      </x:c>
      <x:c r="V280" s="34" t="n">
        <x:v>5</x:v>
      </x:c>
      <x:c r="W280" s="34" t="n">
        <x:v>0.01</x:v>
      </x:c>
      <x:c r="X280" s="34" t="n">
        <x:v>0.01</x:v>
      </x:c>
      <x:c r="Y280" s="34" t="n">
        <x:v>0.001</x:v>
      </x:c>
      <x:c r="Z280" s="30" t="str">
        <x:f>IF(AND(D280="TRADING",I280&lt;&gt;"",L280&lt;&gt;"",M280&lt;&gt;"",N280&lt;&gt;"",O280&lt;&gt;""),"Yes","No")</x:f>
        <x:v>Yes</x:v>
      </x:c>
      <x:c r="AA280" s="39" t="str">
        <x:v>https://developers.binance.com/en/docs/catalog/core-trading-spot-trading/api/rest-api</x:v>
      </x:c>
    </x:row>
    <x:row r="281">
      <x:c r="A281" s="30" t="str">
        <x:v>GRTUSDT</x:v>
      </x:c>
      <x:c r="B281" s="30" t="str">
        <x:v>GRT</x:v>
      </x:c>
      <x:c r="C281" s="30" t="str">
        <x:v>USDT</x:v>
      </x:c>
      <x:c r="D281" s="30" t="str">
        <x:v>TRADING</x:v>
      </x:c>
      <x:c r="E281" s="31" t="b">
        <x:v>1</x:v>
      </x:c>
      <x:c r="F281" s="32" t="n">
        <x:v>44182</x:v>
      </x:c>
      <x:c r="G281" s="32" t="n">
        <x:v>44182.999999988424</x:v>
      </x:c>
      <x:c r="H281" s="33" t="n">
        <x:f>IF(F281="","",('Summary'!$B$5-F281)/365.25)</x:f>
        <x:v>5.626317566925243</x:v>
      </x:c>
      <x:c r="I281" s="34" t="n">
        <x:v>0.01475</x:v>
      </x:c>
      <x:c r="J281" s="35" t="n">
        <x:v>0.03873</x:v>
      </x:c>
      <x:c r="K281" s="36" t="n">
        <x:v>28623241</x:v>
      </x:c>
      <x:c r="L281" s="36" t="n">
        <x:v>414073.08639</x:v>
      </x:c>
      <x:c r="M281" s="37" t="n">
        <x:v>5723</x:v>
      </x:c>
      <x:c r="N281" s="34" t="n">
        <x:v>0.01475</x:v>
      </x:c>
      <x:c r="O281" s="34" t="n">
        <x:v>0.01476</x:v>
      </x:c>
      <x:c r="P281" s="38" t="n">
        <x:f>IF(OR(N281="",O281="",N281=0,O281=0),"",(O281-N281)/((O281+N281)/2))</x:f>
        <x:v>0.0006777363605558337</x:v>
      </x:c>
      <x:c r="Q281" s="34" t="n">
        <x:v>0.01446632</x:v>
      </x:c>
      <x:c r="R281" s="34" t="n">
        <x:v>0.0148</x:v>
      </x:c>
      <x:c r="S281" s="34" t="n">
        <x:v>0.01414</x:v>
      </x:c>
      <x:c r="T281" s="32" t="n">
        <x:v>46236.01248152778</x:v>
      </x:c>
      <x:c r="U281" s="32" t="n">
        <x:v>46237.01248152778</x:v>
      </x:c>
      <x:c r="V281" s="34" t="n">
        <x:v>5</x:v>
      </x:c>
      <x:c r="W281" s="34" t="n">
        <x:v>1</x:v>
      </x:c>
      <x:c r="X281" s="34" t="n">
        <x:v>1</x:v>
      </x:c>
      <x:c r="Y281" s="34" t="n">
        <x:v>0.00001</x:v>
      </x:c>
      <x:c r="Z281" s="30" t="str">
        <x:f>IF(AND(D281="TRADING",I281&lt;&gt;"",L281&lt;&gt;"",M281&lt;&gt;"",N281&lt;&gt;"",O281&lt;&gt;""),"Yes","No")</x:f>
        <x:v>Yes</x:v>
      </x:c>
      <x:c r="AA281" s="39" t="str">
        <x:v>https://developers.binance.com/en/docs/catalog/core-trading-spot-trading/api/rest-api</x:v>
      </x:c>
    </x:row>
    <x:row r="282">
      <x:c r="A282" s="30" t="str">
        <x:v>GSBUSDT</x:v>
      </x:c>
      <x:c r="B282" s="30" t="str">
        <x:v>GSB</x:v>
      </x:c>
      <x:c r="C282" s="30" t="str">
        <x:v>USDT</x:v>
      </x:c>
      <x:c r="D282" s="30" t="str">
        <x:v>TRADING</x:v>
      </x:c>
      <x:c r="E282" s="31" t="b">
        <x:v>1</x:v>
      </x:c>
      <x:c r="F282" s="32" t="n">
        <x:v>46232</x:v>
      </x:c>
      <x:c r="G282" s="32" t="n">
        <x:v>46232.999999988424</x:v>
      </x:c>
      <x:c r="H282" s="33" t="n">
        <x:f>IF(F282="","",('Summary'!$B$5-F282)/365.25)</x:f>
        <x:v>0.013723453304435213</x:v>
      </x:c>
      <x:c r="I282" s="34" t="n">
        <x:v>1017.81</x:v>
      </x:c>
      <x:c r="J282" s="35" t="n">
        <x:v>-0.0034000000000000002</x:v>
      </x:c>
      <x:c r="K282" s="36" t="n">
        <x:v>6.7091</x:v>
      </x:c>
      <x:c r="L282" s="36" t="n">
        <x:v>6832.787588</x:v>
      </x:c>
      <x:c r="M282" s="37" t="n">
        <x:v>277</x:v>
      </x:c>
      <x:c r="N282" s="34" t="n">
        <x:v>1019.44</x:v>
      </x:c>
      <x:c r="O282" s="34" t="n">
        <x:v>1039.84</x:v>
      </x:c>
      <x:c r="P282" s="38" t="n">
        <x:f>IF(OR(N282="",O282="",N282=0,O282=0),"",(O282-N282)/((O282+N282)/2))</x:f>
        <x:v>0.019812750087409063</x:v>
      </x:c>
      <x:c r="Q282" s="34" t="n">
        <x:v>1018.43579437</x:v>
      </x:c>
      <x:c r="R282" s="34" t="n">
        <x:v>1042.2</x:v>
      </x:c>
      <x:c r="S282" s="34" t="n">
        <x:v>1007.13</x:v>
      </x:c>
      <x:c r="T282" s="32" t="n">
        <x:v>46236.01231122685</x:v>
      </x:c>
      <x:c r="U282" s="32" t="n">
        <x:v>46237.01231122685</x:v>
      </x:c>
      <x:c r="V282" s="34" t="n">
        <x:v>5</x:v>
      </x:c>
      <x:c r="W282" s="34" t="n">
        <x:v>0.0001</x:v>
      </x:c>
      <x:c r="X282" s="34" t="n">
        <x:v>0.0001</x:v>
      </x:c>
      <x:c r="Y282" s="34" t="n">
        <x:v>0.01</x:v>
      </x:c>
      <x:c r="Z282" s="30" t="str">
        <x:f>IF(AND(D282="TRADING",I282&lt;&gt;"",L282&lt;&gt;"",M282&lt;&gt;"",N282&lt;&gt;"",O282&lt;&gt;""),"Yes","No")</x:f>
        <x:v>Yes</x:v>
      </x:c>
      <x:c r="AA282" s="39" t="str">
        <x:v>https://developers.binance.com/en/docs/catalog/core-trading-spot-trading/api/rest-api</x:v>
      </x:c>
    </x:row>
    <x:row r="283">
      <x:c r="A283" s="30" t="str">
        <x:v>GTCUSDT</x:v>
      </x:c>
      <x:c r="B283" s="30" t="str">
        <x:v>GTC</x:v>
      </x:c>
      <x:c r="C283" s="30" t="str">
        <x:v>USDT</x:v>
      </x:c>
      <x:c r="D283" s="30" t="str">
        <x:v>TRADING</x:v>
      </x:c>
      <x:c r="E283" s="31" t="b">
        <x:v>1</x:v>
      </x:c>
      <x:c r="F283" s="32" t="n">
        <x:v>44357</x:v>
      </x:c>
      <x:c r="G283" s="32" t="n">
        <x:v>44357.999999988424</x:v>
      </x:c>
      <x:c r="H283" s="33" t="n">
        <x:f>IF(F283="","",('Summary'!$B$5-F283)/365.25)</x:f>
        <x:v>5.147193679177125</x:v>
      </x:c>
      <x:c r="I283" s="34" t="n">
        <x:v>0.07686</x:v>
      </x:c>
      <x:c r="J283" s="35" t="n">
        <x:v>0.008</x:v>
      </x:c>
      <x:c r="K283" s="36" t="n">
        <x:v>3501395.7</x:v>
      </x:c>
      <x:c r="L283" s="36" t="n">
        <x:v>269014.82459</x:v>
      </x:c>
      <x:c r="M283" s="37" t="n">
        <x:v>9121</x:v>
      </x:c>
      <x:c r="N283" s="34" t="n">
        <x:v>0.07685</x:v>
      </x:c>
      <x:c r="O283" s="34" t="n">
        <x:v>0.07695</x:v>
      </x:c>
      <x:c r="P283" s="38" t="n">
        <x:f>IF(OR(N283="",O283="",N283=0,O283=0),"",(O283-N283)/((O283+N283)/2))</x:f>
        <x:v>0.0013003901170351479</x:v>
      </x:c>
      <x:c r="Q283" s="34" t="n">
        <x:v>0.07683074</x:v>
      </x:c>
      <x:c r="R283" s="34" t="n">
        <x:v>0.0795</x:v>
      </x:c>
      <x:c r="S283" s="34" t="n">
        <x:v>0.07412</x:v>
      </x:c>
      <x:c r="T283" s="32" t="n">
        <x:v>46236.01246766204</x:v>
      </x:c>
      <x:c r="U283" s="32" t="n">
        <x:v>46237.01246766204</x:v>
      </x:c>
      <x:c r="V283" s="34" t="n">
        <x:v>5</x:v>
      </x:c>
      <x:c r="W283" s="34" t="n">
        <x:v>0.1</x:v>
      </x:c>
      <x:c r="X283" s="34" t="n">
        <x:v>0.1</x:v>
      </x:c>
      <x:c r="Y283" s="34" t="n">
        <x:v>0.00001</x:v>
      </x:c>
      <x:c r="Z283" s="30" t="str">
        <x:f>IF(AND(D283="TRADING",I283&lt;&gt;"",L283&lt;&gt;"",M283&lt;&gt;"",N283&lt;&gt;"",O283&lt;&gt;""),"Yes","No")</x:f>
        <x:v>Yes</x:v>
      </x:c>
      <x:c r="AA283" s="39" t="str">
        <x:v>https://developers.binance.com/en/docs/catalog/core-trading-spot-trading/api/rest-api</x:v>
      </x:c>
    </x:row>
    <x:row r="284">
      <x:c r="A284" s="30" t="str">
        <x:v>GTOUSDT</x:v>
      </x:c>
      <x:c r="B284" s="30" t="str">
        <x:v>GTO</x:v>
      </x:c>
      <x:c r="C284" s="30" t="str">
        <x:v>USDT</x:v>
      </x:c>
      <x:c r="D284" s="30" t="str">
        <x:v>BREAK</x:v>
      </x:c>
      <x:c r="E284" s="31" t="b">
        <x:v>1</x:v>
      </x:c>
      <x:c r="F284" s="32" t="n">
        <x:v>43647</x:v>
      </x:c>
      <x:c r="G284" s="32" t="n">
        <x:v>43647.999999988424</x:v>
      </x:c>
      <x:c r="H284" s="33" t="n">
        <x:f>IF(F284="","",('Summary'!$B$5-F284)/365.25)</x:f>
        <x:v>7.091067738040917</x:v>
      </x:c>
      <x:c r="I284" s="34" t="n">
        <x:v>0.01233</x:v>
      </x:c>
      <x:c r="J284" s="35" t="n">
        <x:v>-0.08054</x:v>
      </x:c>
      <x:c r="K284" s="36" t="n">
        <x:v>41038500.4</x:v>
      </x:c>
      <x:c r="L284" s="36" t="n">
        <x:v>534484.499351</x:v>
      </x:c>
      <x:c r="M284" s="37" t="n">
        <x:v>4001</x:v>
      </x:c>
      <x:c r="N284" s="34" t="n">
        <x:v>0</x:v>
      </x:c>
      <x:c r="O284" s="34" t="n">
        <x:v>0</x:v>
      </x:c>
      <x:c r="P284" s="38" t="str">
        <x:f>IF(OR(N284="",O284="",N284=0,O284=0),"",(O284-N284)/((O284+N284)/2))</x:f>
      </x:c>
      <x:c r="Q284" s="34" t="n">
        <x:v>0.01302398</x:v>
      </x:c>
      <x:c r="R284" s="34" t="n">
        <x:v>0.01359</x:v>
      </x:c>
      <x:c r="S284" s="34" t="n">
        <x:v>0.01223</x:v>
      </x:c>
      <x:c r="T284" s="32" t="n">
        <x:v>46209.26112309028</x:v>
      </x:c>
      <x:c r="U284" s="32" t="n">
        <x:v>46210.26112309028</x:v>
      </x:c>
      <x:c r="V284" s="34" t="n">
        <x:v>10</x:v>
      </x:c>
      <x:c r="W284" s="34" t="n">
        <x:v>0.1</x:v>
      </x:c>
      <x:c r="X284" s="34" t="n">
        <x:v>0.1</x:v>
      </x:c>
      <x:c r="Y284" s="34" t="n">
        <x:v>0.00001</x:v>
      </x:c>
      <x:c r="Z284" s="30" t="str">
        <x:f>IF(AND(D284="TRADING",I284&lt;&gt;"",L284&lt;&gt;"",M284&lt;&gt;"",N284&lt;&gt;"",O284&lt;&gt;""),"Yes","No")</x:f>
        <x:v>No</x:v>
      </x:c>
      <x:c r="AA284" s="39" t="str">
        <x:v>https://developers.binance.com/en/docs/catalog/core-trading-spot-trading/api/rest-api</x:v>
      </x:c>
    </x:row>
    <x:row r="285">
      <x:c r="A285" s="30" t="str">
        <x:v>GUNUSDT</x:v>
      </x:c>
      <x:c r="B285" s="30" t="str">
        <x:v>GUN</x:v>
      </x:c>
      <x:c r="C285" s="30" t="str">
        <x:v>USDT</x:v>
      </x:c>
      <x:c r="D285" s="30" t="str">
        <x:v>TRADING</x:v>
      </x:c>
      <x:c r="E285" s="31" t="b">
        <x:v>1</x:v>
      </x:c>
      <x:c r="F285" s="32" t="n">
        <x:v>45747</x:v>
      </x:c>
      <x:c r="G285" s="32" t="n">
        <x:v>45747.999999988424</x:v>
      </x:c>
      <x:c r="H285" s="33" t="n">
        <x:f>IF(F285="","",('Summary'!$B$5-F285)/365.25)</x:f>
        <x:v>1.3415810850635044</x:v>
      </x:c>
      <x:c r="I285" s="34" t="n">
        <x:v>0.00282</x:v>
      </x:c>
      <x:c r="J285" s="35" t="n">
        <x:v>-0.01742</x:v>
      </x:c>
      <x:c r="K285" s="36" t="n">
        <x:v>89176234</x:v>
      </x:c>
      <x:c r="L285" s="36" t="n">
        <x:v>257900.30967</x:v>
      </x:c>
      <x:c r="M285" s="37" t="n">
        <x:v>5507</x:v>
      </x:c>
      <x:c r="N285" s="34" t="n">
        <x:v>0.00282</x:v>
      </x:c>
      <x:c r="O285" s="34" t="n">
        <x:v>0.00283</x:v>
      </x:c>
      <x:c r="P285" s="38" t="n">
        <x:f>IF(OR(N285="",O285="",N285=0,O285=0),"",(O285-N285)/((O285+N285)/2))</x:f>
        <x:v>0.0035398230088495666</x:v>
      </x:c>
      <x:c r="Q285" s="34" t="n">
        <x:v>0.00289203</x:v>
      </x:c>
      <x:c r="R285" s="34" t="n">
        <x:v>0.00294</x:v>
      </x:c>
      <x:c r="S285" s="34" t="n">
        <x:v>0.00282</x:v>
      </x:c>
      <x:c r="T285" s="32" t="n">
        <x:v>46236.01247770833</x:v>
      </x:c>
      <x:c r="U285" s="32" t="n">
        <x:v>46237.01247770833</x:v>
      </x:c>
      <x:c r="V285" s="34" t="n">
        <x:v>5</x:v>
      </x:c>
      <x:c r="W285" s="34" t="n">
        <x:v>1</x:v>
      </x:c>
      <x:c r="X285" s="34" t="n">
        <x:v>1</x:v>
      </x:c>
      <x:c r="Y285" s="34" t="n">
        <x:v>0.00001</x:v>
      </x:c>
      <x:c r="Z285" s="30" t="str">
        <x:f>IF(AND(D285="TRADING",I285&lt;&gt;"",L285&lt;&gt;"",M285&lt;&gt;"",N285&lt;&gt;"",O285&lt;&gt;""),"Yes","No")</x:f>
        <x:v>Yes</x:v>
      </x:c>
      <x:c r="AA285" s="39" t="str">
        <x:v>https://developers.binance.com/en/docs/catalog/core-trading-spot-trading/api/rest-api</x:v>
      </x:c>
    </x:row>
    <x:row r="286">
      <x:c r="A286" s="30" t="str">
        <x:v>GUSDT</x:v>
      </x:c>
      <x:c r="B286" s="30" t="str">
        <x:v>G</x:v>
      </x:c>
      <x:c r="C286" s="30" t="str">
        <x:v>USDT</x:v>
      </x:c>
      <x:c r="D286" s="30" t="str">
        <x:v>TRADING</x:v>
      </x:c>
      <x:c r="E286" s="31" t="b">
        <x:v>1</x:v>
      </x:c>
      <x:c r="F286" s="32" t="n">
        <x:v>45492</x:v>
      </x:c>
      <x:c r="G286" s="32" t="n">
        <x:v>45492.999999988424</x:v>
      </x:c>
      <x:c r="H286" s="33" t="n">
        <x:f>IF(F286="","",('Summary'!$B$5-F286)/365.25)</x:f>
        <x:v>2.03973303578219</x:v>
      </x:c>
      <x:c r="I286" s="34" t="n">
        <x:v>0.00364</x:v>
      </x:c>
      <x:c r="J286" s="35" t="n">
        <x:v>0.04598</x:v>
      </x:c>
      <x:c r="K286" s="36" t="n">
        <x:v>327922381</x:v>
      </x:c>
      <x:c r="L286" s="36" t="n">
        <x:v>1190699.30538</x:v>
      </x:c>
      <x:c r="M286" s="37" t="n">
        <x:v>24194</x:v>
      </x:c>
      <x:c r="N286" s="34" t="n">
        <x:v>0.00363</x:v>
      </x:c>
      <x:c r="O286" s="34" t="n">
        <x:v>0.00364</x:v>
      </x:c>
      <x:c r="P286" s="38" t="n">
        <x:f>IF(OR(N286="",O286="",N286=0,O286=0),"",(O286-N286)/((O286+N286)/2))</x:f>
        <x:v>0.002751031636863831</x:v>
      </x:c>
      <x:c r="Q286" s="34" t="n">
        <x:v>0.00363104</x:v>
      </x:c>
      <x:c r="R286" s="34" t="n">
        <x:v>0.00372</x:v>
      </x:c>
      <x:c r="S286" s="34" t="n">
        <x:v>0.00347</x:v>
      </x:c>
      <x:c r="T286" s="32" t="n">
        <x:v>46236.012438125</x:v>
      </x:c>
      <x:c r="U286" s="32" t="n">
        <x:v>46237.012438125</x:v>
      </x:c>
      <x:c r="V286" s="34" t="n">
        <x:v>5</x:v>
      </x:c>
      <x:c r="W286" s="34" t="n">
        <x:v>1</x:v>
      </x:c>
      <x:c r="X286" s="34" t="n">
        <x:v>1</x:v>
      </x:c>
      <x:c r="Y286" s="34" t="n">
        <x:v>0.00001</x:v>
      </x:c>
      <x:c r="Z286" s="30" t="str">
        <x:f>IF(AND(D286="TRADING",I286&lt;&gt;"",L286&lt;&gt;"",M286&lt;&gt;"",N286&lt;&gt;"",O286&lt;&gt;""),"Yes","No")</x:f>
        <x:v>Yes</x:v>
      </x:c>
      <x:c r="AA286" s="39" t="str">
        <x:v>https://developers.binance.com/en/docs/catalog/core-trading-spot-trading/api/rest-api</x:v>
      </x:c>
    </x:row>
    <x:row r="287">
      <x:c r="A287" s="30" t="str">
        <x:v>GXSUSDT</x:v>
      </x:c>
      <x:c r="B287" s="30" t="str">
        <x:v>GXS</x:v>
      </x:c>
      <x:c r="C287" s="30" t="str">
        <x:v>USDT</x:v>
      </x:c>
      <x:c r="D287" s="30" t="str">
        <x:v>BREAK</x:v>
      </x:c>
      <x:c r="E287" s="31" t="b">
        <x:v>1</x:v>
      </x:c>
      <x:c r="F287" s="32" t="n">
        <x:v>43964</x:v>
      </x:c>
      <x:c r="G287" s="32" t="n">
        <x:v>43964.999999988424</x:v>
      </x:c>
      <x:c r="H287" s="33" t="n">
        <x:f>IF(F287="","",('Summary'!$B$5-F287)/365.25)</x:f>
        <x:v>6.223169038520041</x:v>
      </x:c>
      <x:c r="I287" s="34" t="n">
        <x:v>0</x:v>
      </x:c>
      <x:c r="J287" s="35" t="n">
        <x:v>0</x:v>
      </x:c>
      <x:c r="K287" s="36" t="n">
        <x:v>0</x:v>
      </x:c>
      <x:c r="L287" s="36" t="n">
        <x:v>0</x:v>
      </x:c>
      <x:c r="M287" s="37" t="n">
        <x:v>0</x:v>
      </x:c>
      <x:c r="N287" s="34" t="n">
        <x:v>0</x:v>
      </x:c>
      <x:c r="O287" s="34" t="n">
        <x:v>0</x:v>
      </x:c>
      <x:c r="P287" s="38" t="str">
        <x:f>IF(OR(N287="",O287="",N287=0,O287=0),"",(O287-N287)/((O287+N287)/2))</x:f>
      </x:c>
      <x:c r="Q287" s="34" t="n">
        <x:v>0</x:v>
      </x:c>
      <x:c r="R287" s="34" t="n">
        <x:v>0</x:v>
      </x:c>
      <x:c r="S287" s="34" t="n">
        <x:v>0</x:v>
      </x:c>
      <x:c r="T287" s="32" t="n">
        <x:v>46209.26112309028</x:v>
      </x:c>
      <x:c r="U287" s="32" t="n">
        <x:v>46210.26112309028</x:v>
      </x:c>
      <x:c r="V287" s="34" t="n">
        <x:v>10</x:v>
      </x:c>
      <x:c r="W287" s="34" t="n">
        <x:v>1</x:v>
      </x:c>
      <x:c r="X287" s="34" t="n">
        <x:v>1</x:v>
      </x:c>
      <x:c r="Y287" s="34" t="n">
        <x:v>0.0001</x:v>
      </x:c>
      <x:c r="Z287" s="30" t="str">
        <x:f>IF(AND(D287="TRADING",I287&lt;&gt;"",L287&lt;&gt;"",M287&lt;&gt;"",N287&lt;&gt;"",O287&lt;&gt;""),"Yes","No")</x:f>
        <x:v>No</x:v>
      </x:c>
      <x:c r="AA287" s="39" t="str">
        <x:v>https://developers.binance.com/en/docs/catalog/core-trading-spot-trading/api/rest-api</x:v>
      </x:c>
    </x:row>
    <x:row r="288">
      <x:c r="A288" s="30" t="str">
        <x:v>HAEDALUSDT</x:v>
      </x:c>
      <x:c r="B288" s="30" t="str">
        <x:v>HAEDAL</x:v>
      </x:c>
      <x:c r="C288" s="30" t="str">
        <x:v>USDT</x:v>
      </x:c>
      <x:c r="D288" s="30" t="str">
        <x:v>TRADING</x:v>
      </x:c>
      <x:c r="E288" s="31" t="b">
        <x:v>1</x:v>
      </x:c>
      <x:c r="F288" s="32" t="n">
        <x:v>45798</x:v>
      </x:c>
      <x:c r="G288" s="32" t="n">
        <x:v>45798.999999988424</x:v>
      </x:c>
      <x:c r="H288" s="33" t="n">
        <x:f>IF(F288="","",('Summary'!$B$5-F288)/365.25)</x:f>
        <x:v>1.2019506949197671</x:v>
      </x:c>
      <x:c r="I288" s="34" t="n">
        <x:v>0.01513</x:v>
      </x:c>
      <x:c r="J288" s="35" t="n">
        <x:v>-0.00461</x:v>
      </x:c>
      <x:c r="K288" s="36" t="n">
        <x:v>2970619.7</x:v>
      </x:c>
      <x:c r="L288" s="36" t="n">
        <x:v>45215.216452</x:v>
      </x:c>
      <x:c r="M288" s="37" t="n">
        <x:v>911</x:v>
      </x:c>
      <x:c r="N288" s="34" t="n">
        <x:v>0.01513</x:v>
      </x:c>
      <x:c r="O288" s="34" t="n">
        <x:v>0.01514</x:v>
      </x:c>
      <x:c r="P288" s="38" t="n">
        <x:f>IF(OR(N288="",O288="",N288=0,O288=0),"",(O288-N288)/((O288+N288)/2))</x:f>
        <x:v>0.0006607201850017396</x:v>
      </x:c>
      <x:c r="Q288" s="34" t="n">
        <x:v>0.0152208</x:v>
      </x:c>
      <x:c r="R288" s="34" t="n">
        <x:v>0.01537</x:v>
      </x:c>
      <x:c r="S288" s="34" t="n">
        <x:v>0.01509</x:v>
      </x:c>
      <x:c r="T288" s="32" t="n">
        <x:v>46236.012178993056</x:v>
      </x:c>
      <x:c r="U288" s="32" t="n">
        <x:v>46237.012178993056</x:v>
      </x:c>
      <x:c r="V288" s="34" t="n">
        <x:v>5</x:v>
      </x:c>
      <x:c r="W288" s="34" t="n">
        <x:v>0.1</x:v>
      </x:c>
      <x:c r="X288" s="34" t="n">
        <x:v>0.1</x:v>
      </x:c>
      <x:c r="Y288" s="34" t="n">
        <x:v>0.00001</x:v>
      </x:c>
      <x:c r="Z288" s="30" t="str">
        <x:f>IF(AND(D288="TRADING",I288&lt;&gt;"",L288&lt;&gt;"",M288&lt;&gt;"",N288&lt;&gt;"",O288&lt;&gt;""),"Yes","No")</x:f>
        <x:v>Yes</x:v>
      </x:c>
      <x:c r="AA288" s="39" t="str">
        <x:v>https://developers.binance.com/en/docs/catalog/core-trading-spot-trading/api/rest-api</x:v>
      </x:c>
    </x:row>
    <x:row r="289">
      <x:c r="A289" s="30" t="str">
        <x:v>HARDUSDT</x:v>
      </x:c>
      <x:c r="B289" s="30" t="str">
        <x:v>HARD</x:v>
      </x:c>
      <x:c r="C289" s="30" t="str">
        <x:v>USDT</x:v>
      </x:c>
      <x:c r="D289" s="30" t="str">
        <x:v>BREAK</x:v>
      </x:c>
      <x:c r="E289" s="31" t="b">
        <x:v>1</x:v>
      </x:c>
      <x:c r="F289" s="32" t="n">
        <x:v>44141</x:v>
      </x:c>
      <x:c r="G289" s="32" t="n">
        <x:v>44141.999999988424</x:v>
      </x:c>
      <x:c r="H289" s="33" t="n">
        <x:f>IF(F289="","",('Summary'!$B$5-F289)/365.25)</x:f>
        <x:v>5.738569449197659</x:v>
      </x:c>
      <x:c r="I289" s="34" t="n">
        <x:v>0.0095</x:v>
      </x:c>
      <x:c r="J289" s="35" t="n">
        <x:v>-0.40252000000000004</x:v>
      </x:c>
      <x:c r="K289" s="36" t="n">
        <x:v>11528516</x:v>
      </x:c>
      <x:c r="L289" s="36" t="n">
        <x:v>138020.6777</x:v>
      </x:c>
      <x:c r="M289" s="37" t="n">
        <x:v>4001</x:v>
      </x:c>
      <x:c r="N289" s="34" t="n">
        <x:v>0</x:v>
      </x:c>
      <x:c r="O289" s="34" t="n">
        <x:v>0</x:v>
      </x:c>
      <x:c r="P289" s="38" t="str">
        <x:f>IF(OR(N289="",O289="",N289=0,O289=0),"",(O289-N289)/((O289+N289)/2))</x:f>
      </x:c>
      <x:c r="Q289" s="34" t="n">
        <x:v>0.01197211</x:v>
      </x:c>
      <x:c r="R289" s="34" t="n">
        <x:v>0.0159</x:v>
      </x:c>
      <x:c r="S289" s="34" t="n">
        <x:v>0.0088</x:v>
      </x:c>
      <x:c r="T289" s="32" t="n">
        <x:v>46209.26112309028</x:v>
      </x:c>
      <x:c r="U289" s="32" t="n">
        <x:v>46210.26112309028</x:v>
      </x:c>
      <x:c r="V289" s="34" t="n">
        <x:v>5</x:v>
      </x:c>
      <x:c r="W289" s="34" t="n">
        <x:v>1</x:v>
      </x:c>
      <x:c r="X289" s="34" t="n">
        <x:v>1</x:v>
      </x:c>
      <x:c r="Y289" s="34" t="n">
        <x:v>0.0001</x:v>
      </x:c>
      <x:c r="Z289" s="30" t="str">
        <x:f>IF(AND(D289="TRADING",I289&lt;&gt;"",L289&lt;&gt;"",M289&lt;&gt;"",N289&lt;&gt;"",O289&lt;&gt;""),"Yes","No")</x:f>
        <x:v>No</x:v>
      </x:c>
      <x:c r="AA289" s="39" t="str">
        <x:v>https://developers.binance.com/en/docs/catalog/core-trading-spot-trading/api/rest-api</x:v>
      </x:c>
    </x:row>
    <x:row r="290">
      <x:c r="A290" s="30" t="str">
        <x:v>HBARUSDT</x:v>
      </x:c>
      <x:c r="B290" s="30" t="str">
        <x:v>HBAR</x:v>
      </x:c>
      <x:c r="C290" s="30" t="str">
        <x:v>USDT</x:v>
      </x:c>
      <x:c r="D290" s="30" t="str">
        <x:v>TRADING</x:v>
      </x:c>
      <x:c r="E290" s="31" t="b">
        <x:v>1</x:v>
      </x:c>
      <x:c r="F290" s="32" t="n">
        <x:v>43737</x:v>
      </x:c>
      <x:c r="G290" s="32" t="n">
        <x:v>43737.999999988424</x:v>
      </x:c>
      <x:c r="H290" s="33" t="n">
        <x:f>IF(F290="","",('Summary'!$B$5-F290)/365.25)</x:f>
        <x:v>6.844661167199028</x:v>
      </x:c>
      <x:c r="I290" s="34" t="n">
        <x:v>0.06989</x:v>
      </x:c>
      <x:c r="J290" s="35" t="n">
        <x:v>0.00619</x:v>
      </x:c>
      <x:c r="K290" s="36" t="n">
        <x:v>45812376</x:v>
      </x:c>
      <x:c r="L290" s="36" t="n">
        <x:v>3207189.13478</x:v>
      </x:c>
      <x:c r="M290" s="37" t="n">
        <x:v>34454</x:v>
      </x:c>
      <x:c r="N290" s="34" t="n">
        <x:v>0.06988</x:v>
      </x:c>
      <x:c r="O290" s="34" t="n">
        <x:v>0.06989</x:v>
      </x:c>
      <x:c r="P290" s="38" t="n">
        <x:f>IF(OR(N290="",O290="",N290=0,O290=0),"",(O290-N290)/((O290+N290)/2))</x:f>
        <x:v>0.00014309222293762785</x:v>
      </x:c>
      <x:c r="Q290" s="34" t="n">
        <x:v>0.07000705</x:v>
      </x:c>
      <x:c r="R290" s="34" t="n">
        <x:v>0.07073</x:v>
      </x:c>
      <x:c r="S290" s="34" t="n">
        <x:v>0.06919</x:v>
      </x:c>
      <x:c r="T290" s="32" t="n">
        <x:v>46236.01245609954</x:v>
      </x:c>
      <x:c r="U290" s="32" t="n">
        <x:v>46237.01245609954</x:v>
      </x:c>
      <x:c r="V290" s="34" t="n">
        <x:v>5</x:v>
      </x:c>
      <x:c r="W290" s="34" t="n">
        <x:v>1</x:v>
      </x:c>
      <x:c r="X290" s="34" t="n">
        <x:v>1</x:v>
      </x:c>
      <x:c r="Y290" s="34" t="n">
        <x:v>0.00001</x:v>
      </x:c>
      <x:c r="Z290" s="30" t="str">
        <x:f>IF(AND(D290="TRADING",I290&lt;&gt;"",L290&lt;&gt;"",M290&lt;&gt;"",N290&lt;&gt;"",O290&lt;&gt;""),"Yes","No")</x:f>
        <x:v>Yes</x:v>
      </x:c>
      <x:c r="AA290" s="39" t="str">
        <x:v>https://developers.binance.com/en/docs/catalog/core-trading-spot-trading/api/rest-api</x:v>
      </x:c>
    </x:row>
    <x:row r="291">
      <x:c r="A291" s="30" t="str">
        <x:v>HCUSDT</x:v>
      </x:c>
      <x:c r="B291" s="30" t="str">
        <x:v>HC</x:v>
      </x:c>
      <x:c r="C291" s="30" t="str">
        <x:v>USDT</x:v>
      </x:c>
      <x:c r="D291" s="30" t="str">
        <x:v>BREAK</x:v>
      </x:c>
      <x:c r="E291" s="31" t="b">
        <x:v>1</x:v>
      </x:c>
      <x:c r="F291" s="32" t="n">
        <x:v>43733</x:v>
      </x:c>
      <x:c r="G291" s="32" t="n">
        <x:v>43733.999999988424</x:v>
      </x:c>
      <x:c r="H291" s="33" t="n">
        <x:f>IF(F291="","",('Summary'!$B$5-F291)/365.25)</x:f>
        <x:v>6.8556125703475566</x:v>
      </x:c>
      <x:c r="I291" s="34" t="n">
        <x:v>0</x:v>
      </x:c>
      <x:c r="J291" s="35" t="n">
        <x:v>0</x:v>
      </x:c>
      <x:c r="K291" s="36" t="n">
        <x:v>0</x:v>
      </x:c>
      <x:c r="L291" s="36" t="n">
        <x:v>0</x:v>
      </x:c>
      <x:c r="M291" s="37" t="n">
        <x:v>0</x:v>
      </x:c>
      <x:c r="N291" s="34" t="n">
        <x:v>0</x:v>
      </x:c>
      <x:c r="O291" s="34" t="n">
        <x:v>0</x:v>
      </x:c>
      <x:c r="P291" s="38" t="str">
        <x:f>IF(OR(N291="",O291="",N291=0,O291=0),"",(O291-N291)/((O291+N291)/2))</x:f>
      </x:c>
      <x:c r="Q291" s="34" t="n">
        <x:v>0</x:v>
      </x:c>
      <x:c r="R291" s="34" t="n">
        <x:v>0</x:v>
      </x:c>
      <x:c r="S291" s="34" t="n">
        <x:v>0</x:v>
      </x:c>
      <x:c r="T291" s="32" t="n">
        <x:v>46209.26112309028</x:v>
      </x:c>
      <x:c r="U291" s="32" t="n">
        <x:v>46210.26112309028</x:v>
      </x:c>
      <x:c r="V291" s="34" t="n">
        <x:v>10</x:v>
      </x:c>
      <x:c r="W291" s="34" t="n">
        <x:v>0.01</x:v>
      </x:c>
      <x:c r="X291" s="34" t="n">
        <x:v>0.01</x:v>
      </x:c>
      <x:c r="Y291" s="34" t="n">
        <x:v>0.0001</x:v>
      </x:c>
      <x:c r="Z291" s="30" t="str">
        <x:f>IF(AND(D291="TRADING",I291&lt;&gt;"",L291&lt;&gt;"",M291&lt;&gt;"",N291&lt;&gt;"",O291&lt;&gt;""),"Yes","No")</x:f>
        <x:v>No</x:v>
      </x:c>
      <x:c r="AA291" s="39" t="str">
        <x:v>https://developers.binance.com/en/docs/catalog/core-trading-spot-trading/api/rest-api</x:v>
      </x:c>
    </x:row>
    <x:row r="292">
      <x:c r="A292" s="30" t="str">
        <x:v>HEIUSDT</x:v>
      </x:c>
      <x:c r="B292" s="30" t="str">
        <x:v>HEI</x:v>
      </x:c>
      <x:c r="C292" s="30" t="str">
        <x:v>USDT</x:v>
      </x:c>
      <x:c r="D292" s="30" t="str">
        <x:v>TRADING</x:v>
      </x:c>
      <x:c r="E292" s="31" t="b">
        <x:v>1</x:v>
      </x:c>
      <x:c r="F292" s="32" t="n">
        <x:v>45701</x:v>
      </x:c>
      <x:c r="G292" s="32" t="n">
        <x:v>45701.999999988424</x:v>
      </x:c>
      <x:c r="H292" s="33" t="n">
        <x:f>IF(F292="","",('Summary'!$B$5-F292)/365.25)</x:f>
        <x:v>1.467522221271581</x:v>
      </x:c>
      <x:c r="I292" s="34" t="n">
        <x:v>0.0809</x:v>
      </x:c>
      <x:c r="J292" s="35" t="n">
        <x:v>-0.06257</x:v>
      </x:c>
      <x:c r="K292" s="36" t="n">
        <x:v>13644617.6</x:v>
      </x:c>
      <x:c r="L292" s="36" t="n">
        <x:v>1141005.72846</x:v>
      </x:c>
      <x:c r="M292" s="37" t="n">
        <x:v>34463</x:v>
      </x:c>
      <x:c r="N292" s="34" t="n">
        <x:v>0.0809</x:v>
      </x:c>
      <x:c r="O292" s="34" t="n">
        <x:v>0.081</x:v>
      </x:c>
      <x:c r="P292" s="38" t="n">
        <x:f>IF(OR(N292="",O292="",N292=0,O292=0),"",(O292-N292)/((O292+N292)/2))</x:f>
        <x:v>0.00123533045089565</x:v>
      </x:c>
      <x:c r="Q292" s="34" t="n">
        <x:v>0.08362314</x:v>
      </x:c>
      <x:c r="R292" s="34" t="n">
        <x:v>0.0872</x:v>
      </x:c>
      <x:c r="S292" s="34" t="n">
        <x:v>0.0808</x:v>
      </x:c>
      <x:c r="T292" s="32" t="n">
        <x:v>46236.01241164352</x:v>
      </x:c>
      <x:c r="U292" s="32" t="n">
        <x:v>46237.01241164352</x:v>
      </x:c>
      <x:c r="V292" s="34" t="n">
        <x:v>5</x:v>
      </x:c>
      <x:c r="W292" s="34" t="n">
        <x:v>0.1</x:v>
      </x:c>
      <x:c r="X292" s="34" t="n">
        <x:v>0.1</x:v>
      </x:c>
      <x:c r="Y292" s="34" t="n">
        <x:v>0.0001</x:v>
      </x:c>
      <x:c r="Z292" s="30" t="str">
        <x:f>IF(AND(D292="TRADING",I292&lt;&gt;"",L292&lt;&gt;"",M292&lt;&gt;"",N292&lt;&gt;"",O292&lt;&gt;""),"Yes","No")</x:f>
        <x:v>Yes</x:v>
      </x:c>
      <x:c r="AA292" s="39" t="str">
        <x:v>https://developers.binance.com/en/docs/catalog/core-trading-spot-trading/api/rest-api</x:v>
      </x:c>
    </x:row>
    <x:row r="293">
      <x:c r="A293" s="30" t="str">
        <x:v>HEMIUSDT</x:v>
      </x:c>
      <x:c r="B293" s="30" t="str">
        <x:v>HEMI</x:v>
      </x:c>
      <x:c r="C293" s="30" t="str">
        <x:v>USDT</x:v>
      </x:c>
      <x:c r="D293" s="30" t="str">
        <x:v>TRADING</x:v>
      </x:c>
      <x:c r="E293" s="31" t="b">
        <x:v>1</x:v>
      </x:c>
      <x:c r="F293" s="32" t="n">
        <x:v>45923</x:v>
      </x:c>
      <x:c r="G293" s="32" t="n">
        <x:v>45923.999999988424</x:v>
      </x:c>
      <x:c r="H293" s="33" t="n">
        <x:f>IF(F293="","",('Summary'!$B$5-F293)/365.25)</x:f>
        <x:v>0.8597193465282545</x:v>
      </x:c>
      <x:c r="I293" s="34" t="n">
        <x:v>0.00468</x:v>
      </x:c>
      <x:c r="J293" s="35" t="n">
        <x:v>0</x:v>
      </x:c>
      <x:c r="K293" s="36" t="n">
        <x:v>95798073.7</x:v>
      </x:c>
      <x:c r="L293" s="36" t="n">
        <x:v>456294.330246</x:v>
      </x:c>
      <x:c r="M293" s="37" t="n">
        <x:v>12105</x:v>
      </x:c>
      <x:c r="N293" s="34" t="n">
        <x:v>0.00467</x:v>
      </x:c>
      <x:c r="O293" s="34" t="n">
        <x:v>0.00468</x:v>
      </x:c>
      <x:c r="P293" s="38" t="n">
        <x:f>IF(OR(N293="",O293="",N293=0,O293=0),"",(O293-N293)/((O293+N293)/2))</x:f>
        <x:v>0.0021390374331551783</x:v>
      </x:c>
      <x:c r="Q293" s="34" t="n">
        <x:v>0.00476308</x:v>
      </x:c>
      <x:c r="R293" s="34" t="n">
        <x:v>0.00493</x:v>
      </x:c>
      <x:c r="S293" s="34" t="n">
        <x:v>0.00464</x:v>
      </x:c>
      <x:c r="T293" s="32" t="n">
        <x:v>46236.01233194445</x:v>
      </x:c>
      <x:c r="U293" s="32" t="n">
        <x:v>46237.01233194445</x:v>
      </x:c>
      <x:c r="V293" s="34" t="n">
        <x:v>5</x:v>
      </x:c>
      <x:c r="W293" s="34" t="n">
        <x:v>0.1</x:v>
      </x:c>
      <x:c r="X293" s="34" t="n">
        <x:v>0.1</x:v>
      </x:c>
      <x:c r="Y293" s="34" t="n">
        <x:v>0.00001</x:v>
      </x:c>
      <x:c r="Z293" s="30" t="str">
        <x:f>IF(AND(D293="TRADING",I293&lt;&gt;"",L293&lt;&gt;"",M293&lt;&gt;"",N293&lt;&gt;"",O293&lt;&gt;""),"Yes","No")</x:f>
        <x:v>Yes</x:v>
      </x:c>
      <x:c r="AA293" s="39" t="str">
        <x:v>https://developers.binance.com/en/docs/catalog/core-trading-spot-trading/api/rest-api</x:v>
      </x:c>
    </x:row>
    <x:row r="294">
      <x:c r="A294" s="30" t="str">
        <x:v>HFTUSDT</x:v>
      </x:c>
      <x:c r="B294" s="30" t="str">
        <x:v>HFT</x:v>
      </x:c>
      <x:c r="C294" s="30" t="str">
        <x:v>USDT</x:v>
      </x:c>
      <x:c r="D294" s="30" t="str">
        <x:v>TRADING</x:v>
      </x:c>
      <x:c r="E294" s="31" t="b">
        <x:v>1</x:v>
      </x:c>
      <x:c r="F294" s="32" t="n">
        <x:v>44872</x:v>
      </x:c>
      <x:c r="G294" s="32" t="n">
        <x:v>44872.999999988424</x:v>
      </x:c>
      <x:c r="H294" s="33" t="n">
        <x:f>IF(F294="","",('Summary'!$B$5-F294)/365.25)</x:f>
        <x:v>3.737200523804093</x:v>
      </x:c>
      <x:c r="I294" s="34" t="n">
        <x:v>0.008779</x:v>
      </x:c>
      <x:c r="J294" s="35" t="n">
        <x:v>0.00068</x:v>
      </x:c>
      <x:c r="K294" s="36" t="n">
        <x:v>18014888.6</x:v>
      </x:c>
      <x:c r="L294" s="36" t="n">
        <x:v>158524.8561894</x:v>
      </x:c>
      <x:c r="M294" s="37" t="n">
        <x:v>5868</x:v>
      </x:c>
      <x:c r="N294" s="34" t="n">
        <x:v>0.008793</x:v>
      </x:c>
      <x:c r="O294" s="34" t="n">
        <x:v>0.008798</x:v>
      </x:c>
      <x:c r="P294" s="38" t="n">
        <x:f>IF(OR(N294="",O294="",N294=0,O294=0),"",(O294-N294)/((O294+N294)/2))</x:f>
        <x:v>0.0005684725143539078</x:v>
      </x:c>
      <x:c r="Q294" s="34" t="n">
        <x:v>0.00879966</x:v>
      </x:c>
      <x:c r="R294" s="34" t="n">
        <x:v>0.009054</x:v>
      </x:c>
      <x:c r="S294" s="34" t="n">
        <x:v>0.008604</x:v>
      </x:c>
      <x:c r="T294" s="32" t="n">
        <x:v>46236.01230420139</x:v>
      </x:c>
      <x:c r="U294" s="32" t="n">
        <x:v>46237.01230420139</x:v>
      </x:c>
      <x:c r="V294" s="34" t="n">
        <x:v>5</x:v>
      </x:c>
      <x:c r="W294" s="34" t="n">
        <x:v>0.1</x:v>
      </x:c>
      <x:c r="X294" s="34" t="n">
        <x:v>0.1</x:v>
      </x:c>
      <x:c r="Y294" s="34" t="n">
        <x:v>0.000001</x:v>
      </x:c>
      <x:c r="Z294" s="30" t="str">
        <x:f>IF(AND(D294="TRADING",I294&lt;&gt;"",L294&lt;&gt;"",M294&lt;&gt;"",N294&lt;&gt;"",O294&lt;&gt;""),"Yes","No")</x:f>
        <x:v>Yes</x:v>
      </x:c>
      <x:c r="AA294" s="39" t="str">
        <x:v>https://developers.binance.com/en/docs/catalog/core-trading-spot-trading/api/rest-api</x:v>
      </x:c>
    </x:row>
    <x:row r="295">
      <x:c r="A295" s="30" t="str">
        <x:v>HIFIUSDT</x:v>
      </x:c>
      <x:c r="B295" s="30" t="str">
        <x:v>HIFI</x:v>
      </x:c>
      <x:c r="C295" s="30" t="str">
        <x:v>USDT</x:v>
      </x:c>
      <x:c r="D295" s="30" t="str">
        <x:v>BREAK</x:v>
      </x:c>
      <x:c r="E295" s="31" t="b">
        <x:v>1</x:v>
      </x:c>
      <x:c r="F295" s="32" t="n">
        <x:v>44938</x:v>
      </x:c>
      <x:c r="G295" s="32" t="n">
        <x:v>44938.999999988424</x:v>
      </x:c>
      <x:c r="H295" s="33" t="n">
        <x:f>IF(F295="","",('Summary'!$B$5-F295)/365.25)</x:f>
        <x:v>3.5565023718533744</x:v>
      </x:c>
      <x:c r="I295" s="34" t="n">
        <x:v>0.127</x:v>
      </x:c>
      <x:c r="J295" s="35" t="n">
        <x:v>0.06187</x:v>
      </x:c>
      <x:c r="K295" s="36" t="n">
        <x:v>7092566</x:v>
      </x:c>
      <x:c r="L295" s="36" t="n">
        <x:v>879729.93804</x:v>
      </x:c>
      <x:c r="M295" s="37" t="n">
        <x:v>4001</x:v>
      </x:c>
      <x:c r="N295" s="34" t="n">
        <x:v>0</x:v>
      </x:c>
      <x:c r="O295" s="34" t="n">
        <x:v>0</x:v>
      </x:c>
      <x:c r="P295" s="38" t="str">
        <x:f>IF(OR(N295="",O295="",N295=0,O295=0),"",(O295-N295)/((O295+N295)/2))</x:f>
      </x:c>
      <x:c r="Q295" s="34" t="n">
        <x:v>0.1240355</x:v>
      </x:c>
      <x:c r="R295" s="34" t="n">
        <x:v>0.1393</x:v>
      </x:c>
      <x:c r="S295" s="34" t="n">
        <x:v>0.1143</x:v>
      </x:c>
      <x:c r="T295" s="32" t="n">
        <x:v>46209.26112309028</x:v>
      </x:c>
      <x:c r="U295" s="32" t="n">
        <x:v>46210.26112309028</x:v>
      </x:c>
      <x:c r="V295" s="34" t="n">
        <x:v>5</x:v>
      </x:c>
      <x:c r="W295" s="34" t="n">
        <x:v>0.1</x:v>
      </x:c>
      <x:c r="X295" s="34" t="n">
        <x:v>0.1</x:v>
      </x:c>
      <x:c r="Y295" s="34" t="n">
        <x:v>0.0001</x:v>
      </x:c>
      <x:c r="Z295" s="30" t="str">
        <x:f>IF(AND(D295="TRADING",I295&lt;&gt;"",L295&lt;&gt;"",M295&lt;&gt;"",N295&lt;&gt;"",O295&lt;&gt;""),"Yes","No")</x:f>
        <x:v>No</x:v>
      </x:c>
      <x:c r="AA295" s="39" t="str">
        <x:v>https://developers.binance.com/en/docs/catalog/core-trading-spot-trading/api/rest-api</x:v>
      </x:c>
    </x:row>
    <x:row r="296">
      <x:c r="A296" s="30" t="str">
        <x:v>HIGHUSDT</x:v>
      </x:c>
      <x:c r="B296" s="30" t="str">
        <x:v>HIGH</x:v>
      </x:c>
      <x:c r="C296" s="30" t="str">
        <x:v>USDT</x:v>
      </x:c>
      <x:c r="D296" s="30" t="str">
        <x:v>BREAK</x:v>
      </x:c>
      <x:c r="E296" s="31" t="b">
        <x:v>1</x:v>
      </x:c>
      <x:c r="F296" s="32" t="n">
        <x:v>44547</x:v>
      </x:c>
      <x:c r="G296" s="32" t="n">
        <x:v>44547.999999988424</x:v>
      </x:c>
      <x:c r="H296" s="33" t="n">
        <x:f>IF(F296="","",('Summary'!$B$5-F296)/365.25)</x:f>
        <x:v>4.627002029622026</x:v>
      </x:c>
      <x:c r="I296" s="34" t="n">
        <x:v>0.034</x:v>
      </x:c>
      <x:c r="J296" s="35" t="n">
        <x:v>-0.22727</x:v>
      </x:c>
      <x:c r="K296" s="36" t="n">
        <x:v>29496172.383</x:v>
      </x:c>
      <x:c r="L296" s="36" t="n">
        <x:v>1255373.8761</x:v>
      </x:c>
      <x:c r="M296" s="37" t="n">
        <x:v>10971</x:v>
      </x:c>
      <x:c r="N296" s="34" t="n">
        <x:v>0</x:v>
      </x:c>
      <x:c r="O296" s="34" t="n">
        <x:v>0</x:v>
      </x:c>
      <x:c r="P296" s="38" t="str">
        <x:f>IF(OR(N296="",O296="",N296=0,O296=0),"",(O296-N296)/((O296+N296)/2))</x:f>
      </x:c>
      <x:c r="Q296" s="34" t="n">
        <x:v>0.04256057</x:v>
      </x:c>
      <x:c r="R296" s="34" t="n">
        <x:v>0.055</x:v>
      </x:c>
      <x:c r="S296" s="34" t="n">
        <x:v>0.033</x:v>
      </x:c>
      <x:c r="T296" s="32" t="n">
        <x:v>46209.26112309028</x:v>
      </x:c>
      <x:c r="U296" s="32" t="n">
        <x:v>46210.26112309028</x:v>
      </x:c>
      <x:c r="V296" s="34" t="n">
        <x:v>5</x:v>
      </x:c>
      <x:c r="W296" s="34" t="n">
        <x:v>0.001</x:v>
      </x:c>
      <x:c r="X296" s="34" t="n">
        <x:v>0.001</x:v>
      </x:c>
      <x:c r="Y296" s="34" t="n">
        <x:v>0.001</x:v>
      </x:c>
      <x:c r="Z296" s="30" t="str">
        <x:f>IF(AND(D296="TRADING",I296&lt;&gt;"",L296&lt;&gt;"",M296&lt;&gt;"",N296&lt;&gt;"",O296&lt;&gt;""),"Yes","No")</x:f>
        <x:v>No</x:v>
      </x:c>
      <x:c r="AA296" s="39" t="str">
        <x:v>https://developers.binance.com/en/docs/catalog/core-trading-spot-trading/api/rest-api</x:v>
      </x:c>
    </x:row>
    <x:row r="297">
      <x:c r="A297" s="30" t="str">
        <x:v>HIVEUSDT</x:v>
      </x:c>
      <x:c r="B297" s="30" t="str">
        <x:v>HIVE</x:v>
      </x:c>
      <x:c r="C297" s="30" t="str">
        <x:v>USDT</x:v>
      </x:c>
      <x:c r="D297" s="30" t="str">
        <x:v>TRADING</x:v>
      </x:c>
      <x:c r="E297" s="31" t="b">
        <x:v>1</x:v>
      </x:c>
      <x:c r="F297" s="32" t="n">
        <x:v>43948</x:v>
      </x:c>
      <x:c r="G297" s="32" t="n">
        <x:v>43948.999999988424</x:v>
      </x:c>
      <x:c r="H297" s="33" t="n">
        <x:f>IF(F297="","",('Summary'!$B$5-F297)/365.25)</x:f>
        <x:v>6.266974651114155</x:v>
      </x:c>
      <x:c r="I297" s="34" t="n">
        <x:v>0.0422</x:v>
      </x:c>
      <x:c r="J297" s="35" t="n">
        <x:v>0.00957</x:v>
      </x:c>
      <x:c r="K297" s="36" t="n">
        <x:v>1554056</x:v>
      </x:c>
      <x:c r="L297" s="36" t="n">
        <x:v>65677.802</x:v>
      </x:c>
      <x:c r="M297" s="37" t="n">
        <x:v>1325</x:v>
      </x:c>
      <x:c r="N297" s="34" t="n">
        <x:v>0.0421</x:v>
      </x:c>
      <x:c r="O297" s="34" t="n">
        <x:v>0.0422</x:v>
      </x:c>
      <x:c r="P297" s="38" t="n">
        <x:f>IF(OR(N297="",O297="",N297=0,O297=0),"",(O297-N297)/((O297+N297)/2))</x:f>
        <x:v>0.0023724792408067108</x:v>
      </x:c>
      <x:c r="Q297" s="34" t="n">
        <x:v>0.04226218</x:v>
      </x:c>
      <x:c r="R297" s="34" t="n">
        <x:v>0.0426</x:v>
      </x:c>
      <x:c r="S297" s="34" t="n">
        <x:v>0.0418</x:v>
      </x:c>
      <x:c r="T297" s="32" t="n">
        <x:v>46236.01247612268</x:v>
      </x:c>
      <x:c r="U297" s="32" t="n">
        <x:v>46237.01247612268</x:v>
      </x:c>
      <x:c r="V297" s="34" t="n">
        <x:v>5</x:v>
      </x:c>
      <x:c r="W297" s="34" t="n">
        <x:v>1</x:v>
      </x:c>
      <x:c r="X297" s="34" t="n">
        <x:v>1</x:v>
      </x:c>
      <x:c r="Y297" s="34" t="n">
        <x:v>0.0001</x:v>
      </x:c>
      <x:c r="Z297" s="30" t="str">
        <x:f>IF(AND(D297="TRADING",I297&lt;&gt;"",L297&lt;&gt;"",M297&lt;&gt;"",N297&lt;&gt;"",O297&lt;&gt;""),"Yes","No")</x:f>
        <x:v>Yes</x:v>
      </x:c>
      <x:c r="AA297" s="39" t="str">
        <x:v>https://developers.binance.com/en/docs/catalog/core-trading-spot-trading/api/rest-api</x:v>
      </x:c>
    </x:row>
    <x:row r="298">
      <x:c r="A298" s="30" t="str">
        <x:v>HMSTRUSDT</x:v>
      </x:c>
      <x:c r="B298" s="30" t="str">
        <x:v>HMSTR</x:v>
      </x:c>
      <x:c r="C298" s="30" t="str">
        <x:v>USDT</x:v>
      </x:c>
      <x:c r="D298" s="30" t="str">
        <x:v>TRADING</x:v>
      </x:c>
      <x:c r="E298" s="31" t="b">
        <x:v>1</x:v>
      </x:c>
      <x:c r="F298" s="32" t="n">
        <x:v>45561</x:v>
      </x:c>
      <x:c r="G298" s="32" t="n">
        <x:v>45561.999999988424</x:v>
      </x:c>
      <x:c r="H298" s="33" t="n">
        <x:f>IF(F298="","",('Summary'!$B$5-F298)/365.25)</x:f>
        <x:v>1.8508213314700752</x:v>
      </x:c>
      <x:c r="I298" s="34" t="n">
        <x:v>0.000168</x:v>
      </x:c>
      <x:c r="J298" s="35" t="n">
        <x:v>-0.00709</x:v>
      </x:c>
      <x:c r="K298" s="36" t="n">
        <x:v>1886765733</x:v>
      </x:c>
      <x:c r="L298" s="36" t="n">
        <x:v>317498.9692424</x:v>
      </x:c>
      <x:c r="M298" s="37" t="n">
        <x:v>7549</x:v>
      </x:c>
      <x:c r="N298" s="34" t="n">
        <x:v>0.0001681</x:v>
      </x:c>
      <x:c r="O298" s="34" t="n">
        <x:v>0.0001682</x:v>
      </x:c>
      <x:c r="P298" s="38" t="n">
        <x:f>IF(OR(N298="",O298="",N298=0,O298=0),"",(O298-N298)/((O298+N298)/2))</x:f>
        <x:v>0.0005947071067499401</x:v>
      </x:c>
      <x:c r="Q298" s="34" t="n">
        <x:v>0.00016828</x:v>
      </x:c>
      <x:c r="R298" s="34" t="n">
        <x:v>0.0001709</x:v>
      </x:c>
      <x:c r="S298" s="34" t="n">
        <x:v>0.0001665</x:v>
      </x:c>
      <x:c r="T298" s="32" t="n">
        <x:v>46236.01248361111</x:v>
      </x:c>
      <x:c r="U298" s="32" t="n">
        <x:v>46237.01248361111</x:v>
      </x:c>
      <x:c r="V298" s="34" t="n">
        <x:v>5</x:v>
      </x:c>
      <x:c r="W298" s="34" t="n">
        <x:v>1</x:v>
      </x:c>
      <x:c r="X298" s="34" t="n">
        <x:v>1</x:v>
      </x:c>
      <x:c r="Y298" s="34" t="n">
        <x:v>1e-7</x:v>
      </x:c>
      <x:c r="Z298" s="30" t="str">
        <x:f>IF(AND(D298="TRADING",I298&lt;&gt;"",L298&lt;&gt;"",M298&lt;&gt;"",N298&lt;&gt;"",O298&lt;&gt;""),"Yes","No")</x:f>
        <x:v>Yes</x:v>
      </x:c>
      <x:c r="AA298" s="39" t="str">
        <x:v>https://developers.binance.com/en/docs/catalog/core-trading-spot-trading/api/rest-api</x:v>
      </x:c>
    </x:row>
    <x:row r="299">
      <x:c r="A299" s="30" t="str">
        <x:v>HNTUSDT</x:v>
      </x:c>
      <x:c r="B299" s="30" t="str">
        <x:v>HNT</x:v>
      </x:c>
      <x:c r="C299" s="30" t="str">
        <x:v>USDT</x:v>
      </x:c>
      <x:c r="D299" s="30" t="str">
        <x:v>BREAK</x:v>
      </x:c>
      <x:c r="E299" s="31" t="b">
        <x:v>1</x:v>
      </x:c>
      <x:c r="F299" s="32" t="n">
        <x:v>44098</x:v>
      </x:c>
      <x:c r="G299" s="32" t="n">
        <x:v>44098.999999988424</x:v>
      </x:c>
      <x:c r="H299" s="33" t="n">
        <x:f>IF(F299="","",('Summary'!$B$5-F299)/365.25)</x:f>
        <x:v>5.856297033044339</x:v>
      </x:c>
      <x:c r="I299" s="34" t="n">
        <x:v>4.67</x:v>
      </x:c>
      <x:c r="J299" s="35" t="n">
        <x:v>0.01743</x:v>
      </x:c>
      <x:c r="K299" s="36" t="n">
        <x:v>186891.97</x:v>
      </x:c>
      <x:c r="L299" s="36" t="n">
        <x:v>863151.1729</x:v>
      </x:c>
      <x:c r="M299" s="37" t="n">
        <x:v>4001</x:v>
      </x:c>
      <x:c r="N299" s="34" t="n">
        <x:v>0</x:v>
      </x:c>
      <x:c r="O299" s="34" t="n">
        <x:v>0</x:v>
      </x:c>
      <x:c r="P299" s="38" t="str">
        <x:f>IF(OR(N299="",O299="",N299=0,O299=0),"",(O299-N299)/((O299+N299)/2))</x:f>
      </x:c>
      <x:c r="Q299" s="34" t="n">
        <x:v>4.61844975</x:v>
      </x:c>
      <x:c r="R299" s="34" t="n">
        <x:v>4.7</x:v>
      </x:c>
      <x:c r="S299" s="34" t="n">
        <x:v>4.55</x:v>
      </x:c>
      <x:c r="T299" s="32" t="n">
        <x:v>46209.26112309028</x:v>
      </x:c>
      <x:c r="U299" s="32" t="n">
        <x:v>46210.26112309028</x:v>
      </x:c>
      <x:c r="V299" s="34" t="n">
        <x:v>10</x:v>
      </x:c>
      <x:c r="W299" s="34" t="n">
        <x:v>0.01</x:v>
      </x:c>
      <x:c r="X299" s="34" t="n">
        <x:v>0.01</x:v>
      </x:c>
      <x:c r="Y299" s="34" t="n">
        <x:v>0.01</x:v>
      </x:c>
      <x:c r="Z299" s="30" t="str">
        <x:f>IF(AND(D299="TRADING",I299&lt;&gt;"",L299&lt;&gt;"",M299&lt;&gt;"",N299&lt;&gt;"",O299&lt;&gt;""),"Yes","No")</x:f>
        <x:v>No</x:v>
      </x:c>
      <x:c r="AA299" s="39" t="str">
        <x:v>https://developers.binance.com/en/docs/catalog/core-trading-spot-trading/api/rest-api</x:v>
      </x:c>
    </x:row>
    <x:row r="300">
      <x:c r="A300" s="30" t="str">
        <x:v>HOLOUSDT</x:v>
      </x:c>
      <x:c r="B300" s="30" t="str">
        <x:v>HOLO</x:v>
      </x:c>
      <x:c r="C300" s="30" t="str">
        <x:v>USDT</x:v>
      </x:c>
      <x:c r="D300" s="30" t="str">
        <x:v>TRADING</x:v>
      </x:c>
      <x:c r="E300" s="31" t="b">
        <x:v>1</x:v>
      </x:c>
      <x:c r="F300" s="32" t="n">
        <x:v>45911</x:v>
      </x:c>
      <x:c r="G300" s="32" t="n">
        <x:v>45911.999999988424</x:v>
      </x:c>
      <x:c r="H300" s="33" t="n">
        <x:f>IF(F300="","",('Summary'!$B$5-F300)/365.25)</x:f>
        <x:v>0.8925735559738397</x:v>
      </x:c>
      <x:c r="I300" s="34" t="n">
        <x:v>0.066</x:v>
      </x:c>
      <x:c r="J300" s="35" t="n">
        <x:v>0.018520000000000002</x:v>
      </x:c>
      <x:c r="K300" s="36" t="n">
        <x:v>9129730.3</x:v>
      </x:c>
      <x:c r="L300" s="36" t="n">
        <x:v>597663.16411</x:v>
      </x:c>
      <x:c r="M300" s="37" t="n">
        <x:v>7406</x:v>
      </x:c>
      <x:c r="N300" s="34" t="n">
        <x:v>0.066</x:v>
      </x:c>
      <x:c r="O300" s="34" t="n">
        <x:v>0.0661</x:v>
      </x:c>
      <x:c r="P300" s="38" t="n">
        <x:f>IF(OR(N300="",O300="",N300=0,O300=0),"",(O300-N300)/((O300+N300)/2))</x:f>
        <x:v>0.0015140045420136694</x:v>
      </x:c>
      <x:c r="Q300" s="34" t="n">
        <x:v>0.0654634</x:v>
      </x:c>
      <x:c r="R300" s="34" t="n">
        <x:v>0.0678</x:v>
      </x:c>
      <x:c r="S300" s="34" t="n">
        <x:v>0.0635</x:v>
      </x:c>
      <x:c r="T300" s="32" t="n">
        <x:v>46236.01248549768</x:v>
      </x:c>
      <x:c r="U300" s="32" t="n">
        <x:v>46237.01248549768</x:v>
      </x:c>
      <x:c r="V300" s="34" t="n">
        <x:v>5</x:v>
      </x:c>
      <x:c r="W300" s="34" t="n">
        <x:v>0.1</x:v>
      </x:c>
      <x:c r="X300" s="34" t="n">
        <x:v>0.1</x:v>
      </x:c>
      <x:c r="Y300" s="34" t="n">
        <x:v>0.0001</x:v>
      </x:c>
      <x:c r="Z300" s="30" t="str">
        <x:f>IF(AND(D300="TRADING",I300&lt;&gt;"",L300&lt;&gt;"",M300&lt;&gt;"",N300&lt;&gt;"",O300&lt;&gt;""),"Yes","No")</x:f>
        <x:v>Yes</x:v>
      </x:c>
      <x:c r="AA300" s="39" t="str">
        <x:v>https://developers.binance.com/en/docs/catalog/core-trading-spot-trading/api/rest-api</x:v>
      </x:c>
    </x:row>
    <x:row r="301">
      <x:c r="A301" s="30" t="str">
        <x:v>HOMEUSDT</x:v>
      </x:c>
      <x:c r="B301" s="30" t="str">
        <x:v>HOME</x:v>
      </x:c>
      <x:c r="C301" s="30" t="str">
        <x:v>USDT</x:v>
      </x:c>
      <x:c r="D301" s="30" t="str">
        <x:v>TRADING</x:v>
      </x:c>
      <x:c r="E301" s="31" t="b">
        <x:v>1</x:v>
      </x:c>
      <x:c r="F301" s="32" t="n">
        <x:v>45820</x:v>
      </x:c>
      <x:c r="G301" s="32" t="n">
        <x:v>45820.999999988424</x:v>
      </x:c>
      <x:c r="H301" s="33" t="n">
        <x:f>IF(F301="","",('Summary'!$B$5-F301)/365.25)</x:f>
        <x:v>1.141717977602861</x:v>
      </x:c>
      <x:c r="I301" s="34" t="n">
        <x:v>0.00728</x:v>
      </x:c>
      <x:c r="J301" s="35" t="n">
        <x:v>0.12519</x:v>
      </x:c>
      <x:c r="K301" s="36" t="n">
        <x:v>3491655535</x:v>
      </x:c>
      <x:c r="L301" s="36" t="n">
        <x:v>27591959.08839</x:v>
      </x:c>
      <x:c r="M301" s="37" t="n">
        <x:v>308594</x:v>
      </x:c>
      <x:c r="N301" s="34" t="n">
        <x:v>0.00726</x:v>
      </x:c>
      <x:c r="O301" s="34" t="n">
        <x:v>0.00728</x:v>
      </x:c>
      <x:c r="P301" s="38" t="n">
        <x:f>IF(OR(N301="",O301="",N301=0,O301=0),"",(O301-N301)/((O301+N301)/2))</x:f>
        <x:v>0.002751031636863831</x:v>
      </x:c>
      <x:c r="Q301" s="34" t="n">
        <x:v>0.00790226</x:v>
      </x:c>
      <x:c r="R301" s="34" t="n">
        <x:v>0.00903</x:v>
      </x:c>
      <x:c r="S301" s="34" t="n">
        <x:v>0.00637</x:v>
      </x:c>
      <x:c r="T301" s="32" t="n">
        <x:v>46236.01248976852</x:v>
      </x:c>
      <x:c r="U301" s="32" t="n">
        <x:v>46237.01248976852</x:v>
      </x:c>
      <x:c r="V301" s="34" t="n">
        <x:v>5</x:v>
      </x:c>
      <x:c r="W301" s="34" t="n">
        <x:v>1</x:v>
      </x:c>
      <x:c r="X301" s="34" t="n">
        <x:v>1</x:v>
      </x:c>
      <x:c r="Y301" s="34" t="n">
        <x:v>0.00001</x:v>
      </x:c>
      <x:c r="Z301" s="30" t="str">
        <x:f>IF(AND(D301="TRADING",I301&lt;&gt;"",L301&lt;&gt;"",M301&lt;&gt;"",N301&lt;&gt;"",O301&lt;&gt;""),"Yes","No")</x:f>
        <x:v>Yes</x:v>
      </x:c>
      <x:c r="AA301" s="39" t="str">
        <x:v>https://developers.binance.com/en/docs/catalog/core-trading-spot-trading/api/rest-api</x:v>
      </x:c>
    </x:row>
    <x:row r="302">
      <x:c r="A302" s="30" t="str">
        <x:v>HOODBUSDT</x:v>
      </x:c>
      <x:c r="B302" s="30" t="str">
        <x:v>HOODB</x:v>
      </x:c>
      <x:c r="C302" s="30" t="str">
        <x:v>USDT</x:v>
      </x:c>
      <x:c r="D302" s="30" t="str">
        <x:v>TRADING</x:v>
      </x:c>
      <x:c r="E302" s="31" t="b">
        <x:v>1</x:v>
      </x:c>
      <x:c r="F302" s="32" t="n">
        <x:v>46218</x:v>
      </x:c>
      <x:c r="G302" s="32" t="n">
        <x:v>46218.999999988424</x:v>
      </x:c>
      <x:c r="H302" s="33" t="n">
        <x:f>IF(F302="","",('Summary'!$B$5-F302)/365.25)</x:f>
        <x:v>0.05205336432428463</x:v>
      </x:c>
      <x:c r="I302" s="34" t="n">
        <x:v>87.85</x:v>
      </x:c>
      <x:c r="J302" s="35" t="n">
        <x:v>0.01737</x:v>
      </x:c>
      <x:c r="K302" s="36" t="n">
        <x:v>678.014</x:v>
      </x:c>
      <x:c r="L302" s="36" t="n">
        <x:v>59595.08219</x:v>
      </x:c>
      <x:c r="M302" s="37" t="n">
        <x:v>2162</x:v>
      </x:c>
      <x:c r="N302" s="34" t="n">
        <x:v>87.77</x:v>
      </x:c>
      <x:c r="O302" s="34" t="n">
        <x:v>87.93</x:v>
      </x:c>
      <x:c r="P302" s="38" t="n">
        <x:f>IF(OR(N302="",O302="",N302=0,O302=0),"",(O302-N302)/((O302+N302)/2))</x:f>
        <x:v>0.0018212862834378009</x:v>
      </x:c>
      <x:c r="Q302" s="34" t="n">
        <x:v>87.89653634</x:v>
      </x:c>
      <x:c r="R302" s="34" t="n">
        <x:v>88.99</x:v>
      </x:c>
      <x:c r="S302" s="34" t="n">
        <x:v>86.3</x:v>
      </x:c>
      <x:c r="T302" s="32" t="n">
        <x:v>46236.01245872685</x:v>
      </x:c>
      <x:c r="U302" s="32" t="n">
        <x:v>46237.01245872685</x:v>
      </x:c>
      <x:c r="V302" s="34" t="n">
        <x:v>5</x:v>
      </x:c>
      <x:c r="W302" s="34" t="n">
        <x:v>0.001</x:v>
      </x:c>
      <x:c r="X302" s="34" t="n">
        <x:v>0.001</x:v>
      </x:c>
      <x:c r="Y302" s="34" t="n">
        <x:v>0.01</x:v>
      </x:c>
      <x:c r="Z302" s="30" t="str">
        <x:f>IF(AND(D302="TRADING",I302&lt;&gt;"",L302&lt;&gt;"",M302&lt;&gt;"",N302&lt;&gt;"",O302&lt;&gt;""),"Yes","No")</x:f>
        <x:v>Yes</x:v>
      </x:c>
      <x:c r="AA302" s="39" t="str">
        <x:v>https://developers.binance.com/en/docs/catalog/core-trading-spot-trading/api/rest-api</x:v>
      </x:c>
    </x:row>
    <x:row r="303">
      <x:c r="A303" s="30" t="str">
        <x:v>HOOKUSDT</x:v>
      </x:c>
      <x:c r="B303" s="30" t="str">
        <x:v>HOOK</x:v>
      </x:c>
      <x:c r="C303" s="30" t="str">
        <x:v>USDT</x:v>
      </x:c>
      <x:c r="D303" s="30" t="str">
        <x:v>BREAK</x:v>
      </x:c>
      <x:c r="E303" s="31" t="b">
        <x:v>1</x:v>
      </x:c>
      <x:c r="F303" s="32" t="n">
        <x:v>44896</x:v>
      </x:c>
      <x:c r="G303" s="32" t="n">
        <x:v>44896.999999988424</x:v>
      </x:c>
      <x:c r="H303" s="33" t="n">
        <x:f>IF(F303="","",('Summary'!$B$5-F303)/365.25)</x:f>
        <x:v>3.6714921049129225</x:v>
      </x:c>
      <x:c r="I303" s="34" t="n">
        <x:v>0.0078</x:v>
      </x:c>
      <x:c r="J303" s="35" t="n">
        <x:v>-0.15217</x:v>
      </x:c>
      <x:c r="K303" s="36" t="n">
        <x:v>62674418.1</x:v>
      </x:c>
      <x:c r="L303" s="36" t="n">
        <x:v>497457.44701</x:v>
      </x:c>
      <x:c r="M303" s="37" t="n">
        <x:v>6948</x:v>
      </x:c>
      <x:c r="N303" s="34" t="n">
        <x:v>0</x:v>
      </x:c>
      <x:c r="O303" s="34" t="n">
        <x:v>0</x:v>
      </x:c>
      <x:c r="P303" s="38" t="str">
        <x:f>IF(OR(N303="",O303="",N303=0,O303=0),"",(O303-N303)/((O303+N303)/2))</x:f>
      </x:c>
      <x:c r="Q303" s="34" t="n">
        <x:v>0.00793717</x:v>
      </x:c>
      <x:c r="R303" s="34" t="n">
        <x:v>0.011</x:v>
      </x:c>
      <x:c r="S303" s="34" t="n">
        <x:v>0.0048</x:v>
      </x:c>
      <x:c r="T303" s="32" t="n">
        <x:v>46209.26112309028</x:v>
      </x:c>
      <x:c r="U303" s="32" t="n">
        <x:v>46210.26112309028</x:v>
      </x:c>
      <x:c r="V303" s="34" t="n">
        <x:v>5</x:v>
      </x:c>
      <x:c r="W303" s="34" t="n">
        <x:v>0.1</x:v>
      </x:c>
      <x:c r="X303" s="34" t="n">
        <x:v>0.1</x:v>
      </x:c>
      <x:c r="Y303" s="34" t="n">
        <x:v>0.0001</x:v>
      </x:c>
      <x:c r="Z303" s="30" t="str">
        <x:f>IF(AND(D303="TRADING",I303&lt;&gt;"",L303&lt;&gt;"",M303&lt;&gt;"",N303&lt;&gt;"",O303&lt;&gt;""),"Yes","No")</x:f>
        <x:v>No</x:v>
      </x:c>
      <x:c r="AA303" s="39" t="str">
        <x:v>https://developers.binance.com/en/docs/catalog/core-trading-spot-trading/api/rest-api</x:v>
      </x:c>
    </x:row>
    <x:row r="304">
      <x:c r="A304" s="30" t="str">
        <x:v>HOTUSDT</x:v>
      </x:c>
      <x:c r="B304" s="30" t="str">
        <x:v>HOT</x:v>
      </x:c>
      <x:c r="C304" s="30" t="str">
        <x:v>USDT</x:v>
      </x:c>
      <x:c r="D304" s="30" t="str">
        <x:v>TRADING</x:v>
      </x:c>
      <x:c r="E304" s="31" t="b">
        <x:v>1</x:v>
      </x:c>
      <x:c r="F304" s="32" t="n">
        <x:v>43514</x:v>
      </x:c>
      <x:c r="G304" s="32" t="n">
        <x:v>43514.999999988424</x:v>
      </x:c>
      <x:c r="H304" s="33" t="n">
        <x:f>IF(F304="","",('Summary'!$B$5-F304)/365.25)</x:f>
        <x:v>7.4552018927294865</x:v>
      </x:c>
      <x:c r="I304" s="34" t="n">
        <x:v>0.000331</x:v>
      </x:c>
      <x:c r="J304" s="35" t="n">
        <x:v>-0.00601</x:v>
      </x:c>
      <x:c r="K304" s="36" t="n">
        <x:v>300406270</x:v>
      </x:c>
      <x:c r="L304" s="36" t="n">
        <x:v>101017.95506</x:v>
      </x:c>
      <x:c r="M304" s="37" t="n">
        <x:v>1366</x:v>
      </x:c>
      <x:c r="N304" s="34" t="n">
        <x:v>0.000331</x:v>
      </x:c>
      <x:c r="O304" s="34" t="n">
        <x:v>0.000332</x:v>
      </x:c>
      <x:c r="P304" s="38" t="n">
        <x:f>IF(OR(N304="",O304="",N304=0,O304=0),"",(O304-N304)/((O304+N304)/2))</x:f>
        <x:v>0.0030165912518852795</x:v>
      </x:c>
      <x:c r="Q304" s="34" t="n">
        <x:v>0.00033627</x:v>
      </x:c>
      <x:c r="R304" s="34" t="n">
        <x:v>0.00034</x:v>
      </x:c>
      <x:c r="S304" s="34" t="n">
        <x:v>0.000331</x:v>
      </x:c>
      <x:c r="T304" s="32" t="n">
        <x:v>46236.012394791665</x:v>
      </x:c>
      <x:c r="U304" s="32" t="n">
        <x:v>46237.012394791665</x:v>
      </x:c>
      <x:c r="V304" s="34" t="n">
        <x:v>5</x:v>
      </x:c>
      <x:c r="W304" s="34" t="n">
        <x:v>1</x:v>
      </x:c>
      <x:c r="X304" s="34" t="n">
        <x:v>1</x:v>
      </x:c>
      <x:c r="Y304" s="34" t="n">
        <x:v>0.000001</x:v>
      </x:c>
      <x:c r="Z304" s="30" t="str">
        <x:f>IF(AND(D304="TRADING",I304&lt;&gt;"",L304&lt;&gt;"",M304&lt;&gt;"",N304&lt;&gt;"",O304&lt;&gt;""),"Yes","No")</x:f>
        <x:v>Yes</x:v>
      </x:c>
      <x:c r="AA304" s="39" t="str">
        <x:v>https://developers.binance.com/en/docs/catalog/core-trading-spot-trading/api/rest-api</x:v>
      </x:c>
    </x:row>
    <x:row r="305">
      <x:c r="A305" s="30" t="str">
        <x:v>HUMAUSDT</x:v>
      </x:c>
      <x:c r="B305" s="30" t="str">
        <x:v>HUMA</x:v>
      </x:c>
      <x:c r="C305" s="30" t="str">
        <x:v>USDT</x:v>
      </x:c>
      <x:c r="D305" s="30" t="str">
        <x:v>TRADING</x:v>
      </x:c>
      <x:c r="E305" s="31" t="b">
        <x:v>1</x:v>
      </x:c>
      <x:c r="F305" s="32" t="n">
        <x:v>45803</x:v>
      </x:c>
      <x:c r="G305" s="32" t="n">
        <x:v>45803.999999988424</x:v>
      </x:c>
      <x:c r="H305" s="33" t="n">
        <x:f>IF(F305="","",('Summary'!$B$5-F305)/365.25)</x:f>
        <x:v>1.1882614409841066</x:v>
      </x:c>
      <x:c r="I305" s="34" t="n">
        <x:v>0.01858</x:v>
      </x:c>
      <x:c r="J305" s="35" t="n">
        <x:v>-0.046689999999999995</x:v>
      </x:c>
      <x:c r="K305" s="36" t="n">
        <x:v>14281425</x:v>
      </x:c>
      <x:c r="L305" s="36" t="n">
        <x:v>267887.3376</x:v>
      </x:c>
      <x:c r="M305" s="37" t="n">
        <x:v>5445</x:v>
      </x:c>
      <x:c r="N305" s="34" t="n">
        <x:v>0.01857</x:v>
      </x:c>
      <x:c r="O305" s="34" t="n">
        <x:v>0.01859</x:v>
      </x:c>
      <x:c r="P305" s="38" t="n">
        <x:f>IF(OR(N305="",O305="",N305=0,O305=0),"",(O305-N305)/((O305+N305)/2))</x:f>
        <x:v>0.0010764262648008172</x:v>
      </x:c>
      <x:c r="Q305" s="34" t="n">
        <x:v>0.01875775</x:v>
      </x:c>
      <x:c r="R305" s="34" t="n">
        <x:v>0.01955</x:v>
      </x:c>
      <x:c r="S305" s="34" t="n">
        <x:v>0.01821</x:v>
      </x:c>
      <x:c r="T305" s="32" t="n">
        <x:v>46236.01236274306</x:v>
      </x:c>
      <x:c r="U305" s="32" t="n">
        <x:v>46237.01236274306</x:v>
      </x:c>
      <x:c r="V305" s="34" t="n">
        <x:v>5</x:v>
      </x:c>
      <x:c r="W305" s="34" t="n">
        <x:v>1</x:v>
      </x:c>
      <x:c r="X305" s="34" t="n">
        <x:v>1</x:v>
      </x:c>
      <x:c r="Y305" s="34" t="n">
        <x:v>0.00001</x:v>
      </x:c>
      <x:c r="Z305" s="30" t="str">
        <x:f>IF(AND(D305="TRADING",I305&lt;&gt;"",L305&lt;&gt;"",M305&lt;&gt;"",N305&lt;&gt;"",O305&lt;&gt;""),"Yes","No")</x:f>
        <x:v>Yes</x:v>
      </x:c>
      <x:c r="AA305" s="39" t="str">
        <x:v>https://developers.binance.com/en/docs/catalog/core-trading-spot-trading/api/rest-api</x:v>
      </x:c>
    </x:row>
    <x:row r="306">
      <x:c r="A306" s="30" t="str">
        <x:v>HYPERUSDT</x:v>
      </x:c>
      <x:c r="B306" s="30" t="str">
        <x:v>HYPER</x:v>
      </x:c>
      <x:c r="C306" s="30" t="str">
        <x:v>USDT</x:v>
      </x:c>
      <x:c r="D306" s="30" t="str">
        <x:v>TRADING</x:v>
      </x:c>
      <x:c r="E306" s="31" t="b">
        <x:v>1</x:v>
      </x:c>
      <x:c r="F306" s="32" t="n">
        <x:v>45769</x:v>
      </x:c>
      <x:c r="G306" s="32" t="n">
        <x:v>45769.999999988424</x:v>
      </x:c>
      <x:c r="H306" s="33" t="n">
        <x:f>IF(F306="","",('Summary'!$B$5-F306)/365.25)</x:f>
        <x:v>1.2813483677465982</x:v>
      </x:c>
      <x:c r="I306" s="34" t="n">
        <x:v>0.0654</x:v>
      </x:c>
      <x:c r="J306" s="35" t="n">
        <x:v>0.01711</x:v>
      </x:c>
      <x:c r="K306" s="36" t="n">
        <x:v>145414336.5</x:v>
      </x:c>
      <x:c r="L306" s="36" t="n">
        <x:v>9969045.21718</x:v>
      </x:c>
      <x:c r="M306" s="37" t="n">
        <x:v>104243</x:v>
      </x:c>
      <x:c r="N306" s="34" t="n">
        <x:v>0.0654</x:v>
      </x:c>
      <x:c r="O306" s="34" t="n">
        <x:v>0.0655</x:v>
      </x:c>
      <x:c r="P306" s="38" t="n">
        <x:f>IF(OR(N306="",O306="",N306=0,O306=0),"",(O306-N306)/((O306+N306)/2))</x:f>
        <x:v>0.0015278838808251009</x:v>
      </x:c>
      <x:c r="Q306" s="34" t="n">
        <x:v>0.06855614</x:v>
      </x:c>
      <x:c r="R306" s="34" t="n">
        <x:v>0.0833</x:v>
      </x:c>
      <x:c r="S306" s="34" t="n">
        <x:v>0.061</x:v>
      </x:c>
      <x:c r="T306" s="32" t="n">
        <x:v>46236.012466423614</x:v>
      </x:c>
      <x:c r="U306" s="32" t="n">
        <x:v>46237.012466423614</x:v>
      </x:c>
      <x:c r="V306" s="34" t="n">
        <x:v>5</x:v>
      </x:c>
      <x:c r="W306" s="34" t="n">
        <x:v>0.1</x:v>
      </x:c>
      <x:c r="X306" s="34" t="n">
        <x:v>0.1</x:v>
      </x:c>
      <x:c r="Y306" s="34" t="n">
        <x:v>0.0001</x:v>
      </x:c>
      <x:c r="Z306" s="30" t="str">
        <x:f>IF(AND(D306="TRADING",I306&lt;&gt;"",L306&lt;&gt;"",M306&lt;&gt;"",N306&lt;&gt;"",O306&lt;&gt;""),"Yes","No")</x:f>
        <x:v>Yes</x:v>
      </x:c>
      <x:c r="AA306" s="39" t="str">
        <x:v>https://developers.binance.com/en/docs/catalog/core-trading-spot-trading/api/rest-api</x:v>
      </x:c>
    </x:row>
    <x:row r="307">
      <x:c r="A307" s="30" t="str">
        <x:v>IBMBUSDT</x:v>
      </x:c>
      <x:c r="B307" s="30" t="str">
        <x:v>IBMB</x:v>
      </x:c>
      <x:c r="C307" s="30" t="str">
        <x:v>USDT</x:v>
      </x:c>
      <x:c r="D307" s="30" t="str">
        <x:v>TRADING</x:v>
      </x:c>
      <x:c r="E307" s="31" t="b">
        <x:v>1</x:v>
      </x:c>
      <x:c r="F307" s="32" t="n">
        <x:v>46218</x:v>
      </x:c>
      <x:c r="G307" s="32" t="n">
        <x:v>46218.999999988424</x:v>
      </x:c>
      <x:c r="H307" s="33" t="n">
        <x:f>IF(F307="","",('Summary'!$B$5-F307)/365.25)</x:f>
        <x:v>0.05205336432428463</x:v>
      </x:c>
      <x:c r="I307" s="34" t="n">
        <x:v>224.68</x:v>
      </x:c>
      <x:c r="J307" s="35" t="n">
        <x:v>0.00758</x:v>
      </x:c>
      <x:c r="K307" s="36" t="n">
        <x:v>326.242</x:v>
      </x:c>
      <x:c r="L307" s="36" t="n">
        <x:v>73224.68794</x:v>
      </x:c>
      <x:c r="M307" s="37" t="n">
        <x:v>1664</x:v>
      </x:c>
      <x:c r="N307" s="34" t="n">
        <x:v>224.37</x:v>
      </x:c>
      <x:c r="O307" s="34" t="n">
        <x:v>225.06</x:v>
      </x:c>
      <x:c r="P307" s="38" t="n">
        <x:f>IF(OR(N307="",O307="",N307=0,O307=0),"",(O307-N307)/((O307+N307)/2))</x:f>
        <x:v>0.003070556037647677</x:v>
      </x:c>
      <x:c r="Q307" s="34" t="n">
        <x:v>224.44899167</x:v>
      </x:c>
      <x:c r="R307" s="34" t="n">
        <x:v>225.6</x:v>
      </x:c>
      <x:c r="S307" s="34" t="n">
        <x:v>222.94</x:v>
      </x:c>
      <x:c r="T307" s="32" t="n">
        <x:v>46236.01247085648</x:v>
      </x:c>
      <x:c r="U307" s="32" t="n">
        <x:v>46237.01247085648</x:v>
      </x:c>
      <x:c r="V307" s="34" t="n">
        <x:v>5</x:v>
      </x:c>
      <x:c r="W307" s="34" t="n">
        <x:v>0.001</x:v>
      </x:c>
      <x:c r="X307" s="34" t="n">
        <x:v>0.001</x:v>
      </x:c>
      <x:c r="Y307" s="34" t="n">
        <x:v>0.01</x:v>
      </x:c>
      <x:c r="Z307" s="30" t="str">
        <x:f>IF(AND(D307="TRADING",I307&lt;&gt;"",L307&lt;&gt;"",M307&lt;&gt;"",N307&lt;&gt;"",O307&lt;&gt;""),"Yes","No")</x:f>
        <x:v>Yes</x:v>
      </x:c>
      <x:c r="AA307" s="39" t="str">
        <x:v>https://developers.binance.com/en/docs/catalog/core-trading-spot-trading/api/rest-api</x:v>
      </x:c>
    </x:row>
    <x:row r="308">
      <x:c r="A308" s="30" t="str">
        <x:v>ICPUSDT</x:v>
      </x:c>
      <x:c r="B308" s="30" t="str">
        <x:v>ICP</x:v>
      </x:c>
      <x:c r="C308" s="30" t="str">
        <x:v>USDT</x:v>
      </x:c>
      <x:c r="D308" s="30" t="str">
        <x:v>TRADING</x:v>
      </x:c>
      <x:c r="E308" s="31" t="b">
        <x:v>1</x:v>
      </x:c>
      <x:c r="F308" s="32" t="n">
        <x:v>44327</x:v>
      </x:c>
      <x:c r="G308" s="32" t="n">
        <x:v>44327.999999988424</x:v>
      </x:c>
      <x:c r="H308" s="33" t="n">
        <x:f>IF(F308="","",('Summary'!$B$5-F308)/365.25)</x:f>
        <x:v>5.229329202791088</x:v>
      </x:c>
      <x:c r="I308" s="34" t="n">
        <x:v>2.074</x:v>
      </x:c>
      <x:c r="J308" s="35" t="n">
        <x:v>0.023690000000000003</x:v>
      </x:c>
      <x:c r="K308" s="36" t="n">
        <x:v>840936.94</x:v>
      </x:c>
      <x:c r="L308" s="36" t="n">
        <x:v>1737791.54351</x:v>
      </x:c>
      <x:c r="M308" s="37" t="n">
        <x:v>9396</x:v>
      </x:c>
      <x:c r="N308" s="34" t="n">
        <x:v>2.073</x:v>
      </x:c>
      <x:c r="O308" s="34" t="n">
        <x:v>2.074</x:v>
      </x:c>
      <x:c r="P308" s="38" t="n">
        <x:f>IF(OR(N308="",O308="",N308=0,O308=0),"",(O308-N308)/((O308+N308)/2))</x:f>
        <x:v>0.0004822763443452567</x:v>
      </x:c>
      <x:c r="Q308" s="34" t="n">
        <x:v>2.06649448</x:v>
      </x:c>
      <x:c r="R308" s="34" t="n">
        <x:v>2.094</x:v>
      </x:c>
      <x:c r="S308" s="34" t="n">
        <x:v>2.025</x:v>
      </x:c>
      <x:c r="T308" s="32" t="n">
        <x:v>46236.01247011574</x:v>
      </x:c>
      <x:c r="U308" s="32" t="n">
        <x:v>46237.01247011574</x:v>
      </x:c>
      <x:c r="V308" s="34" t="n">
        <x:v>5</x:v>
      </x:c>
      <x:c r="W308" s="34" t="n">
        <x:v>0.01</x:v>
      </x:c>
      <x:c r="X308" s="34" t="n">
        <x:v>0.01</x:v>
      </x:c>
      <x:c r="Y308" s="34" t="n">
        <x:v>0.001</x:v>
      </x:c>
      <x:c r="Z308" s="30" t="str">
        <x:f>IF(AND(D308="TRADING",I308&lt;&gt;"",L308&lt;&gt;"",M308&lt;&gt;"",N308&lt;&gt;"",O308&lt;&gt;""),"Yes","No")</x:f>
        <x:v>Yes</x:v>
      </x:c>
      <x:c r="AA308" s="39" t="str">
        <x:v>https://developers.binance.com/en/docs/catalog/core-trading-spot-trading/api/rest-api</x:v>
      </x:c>
    </x:row>
    <x:row r="309">
      <x:c r="A309" s="30" t="str">
        <x:v>ICXUSDT</x:v>
      </x:c>
      <x:c r="B309" s="30" t="str">
        <x:v>ICX</x:v>
      </x:c>
      <x:c r="C309" s="30" t="str">
        <x:v>USDT</x:v>
      </x:c>
      <x:c r="D309" s="30" t="str">
        <x:v>TRADING</x:v>
      </x:c>
      <x:c r="E309" s="31" t="b">
        <x:v>1</x:v>
      </x:c>
      <x:c r="F309" s="32" t="n">
        <x:v>43264</x:v>
      </x:c>
      <x:c r="G309" s="32" t="n">
        <x:v>43264.999999988424</x:v>
      </x:c>
      <x:c r="H309" s="33" t="n">
        <x:f>IF(F309="","",('Summary'!$B$5-F309)/365.25)</x:f>
        <x:v>8.139664589512511</x:v>
      </x:c>
      <x:c r="I309" s="34" t="n">
        <x:v>0.0215</x:v>
      </x:c>
      <x:c r="J309" s="35" t="n">
        <x:v>-0.01376</x:v>
      </x:c>
      <x:c r="K309" s="36" t="n">
        <x:v>1864476.7</x:v>
      </x:c>
      <x:c r="L309" s="36" t="n">
        <x:v>40113.13443</x:v>
      </x:c>
      <x:c r="M309" s="37" t="n">
        <x:v>821</x:v>
      </x:c>
      <x:c r="N309" s="34" t="n">
        <x:v>0.0214</x:v>
      </x:c>
      <x:c r="O309" s="34" t="n">
        <x:v>0.0215</x:v>
      </x:c>
      <x:c r="P309" s="38" t="n">
        <x:f>IF(OR(N309="",O309="",N309=0,O309=0),"",(O309-N309)/((O309+N309)/2))</x:f>
        <x:v>0.004662004662004634</x:v>
      </x:c>
      <x:c r="Q309" s="34" t="n">
        <x:v>0.02151442</x:v>
      </x:c>
      <x:c r="R309" s="34" t="n">
        <x:v>0.0219</x:v>
      </x:c>
      <x:c r="S309" s="34" t="n">
        <x:v>0.0212</x:v>
      </x:c>
      <x:c r="T309" s="32" t="n">
        <x:v>46236.012315416665</x:v>
      </x:c>
      <x:c r="U309" s="32" t="n">
        <x:v>46237.012315416665</x:v>
      </x:c>
      <x:c r="V309" s="34" t="n">
        <x:v>5</x:v>
      </x:c>
      <x:c r="W309" s="34" t="n">
        <x:v>0.1</x:v>
      </x:c>
      <x:c r="X309" s="34" t="n">
        <x:v>0.1</x:v>
      </x:c>
      <x:c r="Y309" s="34" t="n">
        <x:v>0.0001</x:v>
      </x:c>
      <x:c r="Z309" s="30" t="str">
        <x:f>IF(AND(D309="TRADING",I309&lt;&gt;"",L309&lt;&gt;"",M309&lt;&gt;"",N309&lt;&gt;"",O309&lt;&gt;""),"Yes","No")</x:f>
        <x:v>Yes</x:v>
      </x:c>
      <x:c r="AA309" s="39" t="str">
        <x:v>https://developers.binance.com/en/docs/catalog/core-trading-spot-trading/api/rest-api</x:v>
      </x:c>
    </x:row>
    <x:row r="310">
      <x:c r="A310" s="30" t="str">
        <x:v>IDEXUSDT</x:v>
      </x:c>
      <x:c r="B310" s="30" t="str">
        <x:v>IDEX</x:v>
      </x:c>
      <x:c r="C310" s="30" t="str">
        <x:v>USDT</x:v>
      </x:c>
      <x:c r="D310" s="30" t="str">
        <x:v>BREAK</x:v>
      </x:c>
      <x:c r="E310" s="31" t="b">
        <x:v>1</x:v>
      </x:c>
      <x:c r="F310" s="32" t="n">
        <x:v>44448</x:v>
      </x:c>
      <x:c r="G310" s="32" t="n">
        <x:v>44448.999999988424</x:v>
      </x:c>
      <x:c r="H310" s="33" t="n">
        <x:f>IF(F310="","",('Summary'!$B$5-F310)/365.25)</x:f>
        <x:v>4.898049257548104</x:v>
      </x:c>
      <x:c r="I310" s="34" t="n">
        <x:v>0.00199</x:v>
      </x:c>
      <x:c r="J310" s="35" t="n">
        <x:v>-0.30175</x:v>
      </x:c>
      <x:c r="K310" s="36" t="n">
        <x:v>164208495.7</x:v>
      </x:c>
      <x:c r="L310" s="36" t="n">
        <x:v>401259.067317</x:v>
      </x:c>
      <x:c r="M310" s="37" t="n">
        <x:v>13784</x:v>
      </x:c>
      <x:c r="N310" s="34" t="n">
        <x:v>0</x:v>
      </x:c>
      <x:c r="O310" s="34" t="n">
        <x:v>0</x:v>
      </x:c>
      <x:c r="P310" s="38" t="str">
        <x:f>IF(OR(N310="",O310="",N310=0,O310=0),"",(O310-N310)/((O310+N310)/2))</x:f>
      </x:c>
      <x:c r="Q310" s="34" t="n">
        <x:v>0.0024436</x:v>
      </x:c>
      <x:c r="R310" s="34" t="n">
        <x:v>0.00291</x:v>
      </x:c>
      <x:c r="S310" s="34" t="n">
        <x:v>0.00199</x:v>
      </x:c>
      <x:c r="T310" s="32" t="n">
        <x:v>46209.26112309028</x:v>
      </x:c>
      <x:c r="U310" s="32" t="n">
        <x:v>46210.26112309028</x:v>
      </x:c>
      <x:c r="V310" s="34" t="n">
        <x:v>5</x:v>
      </x:c>
      <x:c r="W310" s="34" t="n">
        <x:v>0.1</x:v>
      </x:c>
      <x:c r="X310" s="34" t="n">
        <x:v>0.1</x:v>
      </x:c>
      <x:c r="Y310" s="34" t="n">
        <x:v>0.00001</x:v>
      </x:c>
      <x:c r="Z310" s="30" t="str">
        <x:f>IF(AND(D310="TRADING",I310&lt;&gt;"",L310&lt;&gt;"",M310&lt;&gt;"",N310&lt;&gt;"",O310&lt;&gt;""),"Yes","No")</x:f>
        <x:v>No</x:v>
      </x:c>
      <x:c r="AA310" s="39" t="str">
        <x:v>https://developers.binance.com/en/docs/catalog/core-trading-spot-trading/api/rest-api</x:v>
      </x:c>
    </x:row>
    <x:row r="311">
      <x:c r="A311" s="30" t="str">
        <x:v>IDUSDT</x:v>
      </x:c>
      <x:c r="B311" s="30" t="str">
        <x:v>ID</x:v>
      </x:c>
      <x:c r="C311" s="30" t="str">
        <x:v>USDT</x:v>
      </x:c>
      <x:c r="D311" s="30" t="str">
        <x:v>TRADING</x:v>
      </x:c>
      <x:c r="E311" s="31" t="b">
        <x:v>1</x:v>
      </x:c>
      <x:c r="F311" s="32" t="n">
        <x:v>45007</x:v>
      </x:c>
      <x:c r="G311" s="32" t="n">
        <x:v>45007.999999988424</x:v>
      </x:c>
      <x:c r="H311" s="33" t="n">
        <x:f>IF(F311="","",('Summary'!$B$5-F311)/365.25)</x:f>
        <x:v>3.3675906675412595</x:v>
      </x:c>
      <x:c r="I311" s="34" t="n">
        <x:v>0.0272</x:v>
      </x:c>
      <x:c r="J311" s="35" t="n">
        <x:v>-0.02158</x:v>
      </x:c>
      <x:c r="K311" s="36" t="n">
        <x:v>7127676</x:v>
      </x:c>
      <x:c r="L311" s="36" t="n">
        <x:v>197466.2579</x:v>
      </x:c>
      <x:c r="M311" s="37" t="n">
        <x:v>1809</x:v>
      </x:c>
      <x:c r="N311" s="34" t="n">
        <x:v>0.0272</x:v>
      </x:c>
      <x:c r="O311" s="34" t="n">
        <x:v>0.0273</x:v>
      </x:c>
      <x:c r="P311" s="38" t="n">
        <x:f>IF(OR(N311="",O311="",N311=0,O311=0),"",(O311-N311)/((O311+N311)/2))</x:f>
        <x:v>0.003669724770642307</x:v>
      </x:c>
      <x:c r="Q311" s="34" t="n">
        <x:v>0.02770416</x:v>
      </x:c>
      <x:c r="R311" s="34" t="n">
        <x:v>0.0284</x:v>
      </x:c>
      <x:c r="S311" s="34" t="n">
        <x:v>0.0272</x:v>
      </x:c>
      <x:c r="T311" s="32" t="n">
        <x:v>46236.012393969904</x:v>
      </x:c>
      <x:c r="U311" s="32" t="n">
        <x:v>46237.012393969904</x:v>
      </x:c>
      <x:c r="V311" s="34" t="n">
        <x:v>5</x:v>
      </x:c>
      <x:c r="W311" s="34" t="n">
        <x:v>1</x:v>
      </x:c>
      <x:c r="X311" s="34" t="n">
        <x:v>1</x:v>
      </x:c>
      <x:c r="Y311" s="34" t="n">
        <x:v>0.0001</x:v>
      </x:c>
      <x:c r="Z311" s="30" t="str">
        <x:f>IF(AND(D311="TRADING",I311&lt;&gt;"",L311&lt;&gt;"",M311&lt;&gt;"",N311&lt;&gt;"",O311&lt;&gt;""),"Yes","No")</x:f>
        <x:v>Yes</x:v>
      </x:c>
      <x:c r="AA311" s="39" t="str">
        <x:v>https://developers.binance.com/en/docs/catalog/core-trading-spot-trading/api/rest-api</x:v>
      </x:c>
    </x:row>
    <x:row r="312">
      <x:c r="A312" s="30" t="str">
        <x:v>ILVUSDT</x:v>
      </x:c>
      <x:c r="B312" s="30" t="str">
        <x:v>ILV</x:v>
      </x:c>
      <x:c r="C312" s="30" t="str">
        <x:v>USDT</x:v>
      </x:c>
      <x:c r="D312" s="30" t="str">
        <x:v>TRADING</x:v>
      </x:c>
      <x:c r="E312" s="31" t="b">
        <x:v>1</x:v>
      </x:c>
      <x:c r="F312" s="32" t="n">
        <x:v>44461</x:v>
      </x:c>
      <x:c r="G312" s="32" t="n">
        <x:v>44461.999999988424</x:v>
      </x:c>
      <x:c r="H312" s="33" t="n">
        <x:f>IF(F312="","",('Summary'!$B$5-F312)/365.25)</x:f>
        <x:v>4.862457197315386</x:v>
      </x:c>
      <x:c r="I312" s="34" t="n">
        <x:v>2.85</x:v>
      </x:c>
      <x:c r="J312" s="35" t="n">
        <x:v>-0.0034999999999999996</x:v>
      </x:c>
      <x:c r="K312" s="36" t="n">
        <x:v>20990.824</x:v>
      </x:c>
      <x:c r="L312" s="36" t="n">
        <x:v>60061.15056</x:v>
      </x:c>
      <x:c r="M312" s="37" t="n">
        <x:v>1384</x:v>
      </x:c>
      <x:c r="N312" s="34" t="n">
        <x:v>2.85</x:v>
      </x:c>
      <x:c r="O312" s="34" t="n">
        <x:v>2.86</x:v>
      </x:c>
      <x:c r="P312" s="38" t="n">
        <x:f>IF(OR(N312="",O312="",N312=0,O312=0),"",(O312-N312)/((O312+N312)/2))</x:f>
        <x:v>0.003502626970227596</x:v>
      </x:c>
      <x:c r="Q312" s="34" t="n">
        <x:v>2.86130504</x:v>
      </x:c>
      <x:c r="R312" s="34" t="n">
        <x:v>2.9</x:v>
      </x:c>
      <x:c r="S312" s="34" t="n">
        <x:v>2.84</x:v>
      </x:c>
      <x:c r="T312" s="32" t="n">
        <x:v>46236.01231886574</x:v>
      </x:c>
      <x:c r="U312" s="32" t="n">
        <x:v>46237.01231886574</x:v>
      </x:c>
      <x:c r="V312" s="34" t="n">
        <x:v>5</x:v>
      </x:c>
      <x:c r="W312" s="34" t="n">
        <x:v>0.001</x:v>
      </x:c>
      <x:c r="X312" s="34" t="n">
        <x:v>0.001</x:v>
      </x:c>
      <x:c r="Y312" s="34" t="n">
        <x:v>0.01</x:v>
      </x:c>
      <x:c r="Z312" s="30" t="str">
        <x:f>IF(AND(D312="TRADING",I312&lt;&gt;"",L312&lt;&gt;"",M312&lt;&gt;"",N312&lt;&gt;"",O312&lt;&gt;""),"Yes","No")</x:f>
        <x:v>Yes</x:v>
      </x:c>
      <x:c r="AA312" s="39" t="str">
        <x:v>https://developers.binance.com/en/docs/catalog/core-trading-spot-trading/api/rest-api</x:v>
      </x:c>
    </x:row>
    <x:row r="313">
      <x:c r="A313" s="30" t="str">
        <x:v>IMXUSDT</x:v>
      </x:c>
      <x:c r="B313" s="30" t="str">
        <x:v>IMX</x:v>
      </x:c>
      <x:c r="C313" s="30" t="str">
        <x:v>USDT</x:v>
      </x:c>
      <x:c r="D313" s="30" t="str">
        <x:v>TRADING</x:v>
      </x:c>
      <x:c r="E313" s="31" t="b">
        <x:v>1</x:v>
      </x:c>
      <x:c r="F313" s="32" t="n">
        <x:v>44571</x:v>
      </x:c>
      <x:c r="G313" s="32" t="n">
        <x:v>44571.999999988424</x:v>
      </x:c>
      <x:c r="H313" s="33" t="n">
        <x:f>IF(F313="","",('Summary'!$B$5-F313)/365.25)</x:f>
        <x:v>4.561293610730855</x:v>
      </x:c>
      <x:c r="I313" s="34" t="n">
        <x:v>0.111</x:v>
      </x:c>
      <x:c r="J313" s="35" t="n">
        <x:v>0.01463</x:v>
      </x:c>
      <x:c r="K313" s="36" t="n">
        <x:v>3274286.59</x:v>
      </x:c>
      <x:c r="L313" s="36" t="n">
        <x:v>363325.339736</x:v>
      </x:c>
      <x:c r="M313" s="37" t="n">
        <x:v>3684</x:v>
      </x:c>
      <x:c r="N313" s="34" t="n">
        <x:v>0.1109</x:v>
      </x:c>
      <x:c r="O313" s="34" t="n">
        <x:v>0.1111</x:v>
      </x:c>
      <x:c r="P313" s="38" t="n">
        <x:f>IF(OR(N313="",O313="",N313=0,O313=0),"",(O313-N313)/((O313+N313)/2))</x:f>
        <x:v>0.0018018018018018534</x:v>
      </x:c>
      <x:c r="Q313" s="34" t="n">
        <x:v>0.11096321</x:v>
      </x:c>
      <x:c r="R313" s="34" t="n">
        <x:v>0.1129</x:v>
      </x:c>
      <x:c r="S313" s="34" t="n">
        <x:v>0.1085</x:v>
      </x:c>
      <x:c r="T313" s="32" t="n">
        <x:v>46236.01232064815</x:v>
      </x:c>
      <x:c r="U313" s="32" t="n">
        <x:v>46237.01232064815</x:v>
      </x:c>
      <x:c r="V313" s="34" t="n">
        <x:v>5</x:v>
      </x:c>
      <x:c r="W313" s="34" t="n">
        <x:v>0.01</x:v>
      </x:c>
      <x:c r="X313" s="34" t="n">
        <x:v>0.01</x:v>
      </x:c>
      <x:c r="Y313" s="34" t="n">
        <x:v>0.0001</x:v>
      </x:c>
      <x:c r="Z313" s="30" t="str">
        <x:f>IF(AND(D313="TRADING",I313&lt;&gt;"",L313&lt;&gt;"",M313&lt;&gt;"",N313&lt;&gt;"",O313&lt;&gt;""),"Yes","No")</x:f>
        <x:v>Yes</x:v>
      </x:c>
      <x:c r="AA313" s="39" t="str">
        <x:v>https://developers.binance.com/en/docs/catalog/core-trading-spot-trading/api/rest-api</x:v>
      </x:c>
    </x:row>
    <x:row r="314">
      <x:c r="A314" s="30" t="str">
        <x:v>INITUSDT</x:v>
      </x:c>
      <x:c r="B314" s="30" t="str">
        <x:v>INIT</x:v>
      </x:c>
      <x:c r="C314" s="30" t="str">
        <x:v>USDT</x:v>
      </x:c>
      <x:c r="D314" s="30" t="str">
        <x:v>TRADING</x:v>
      </x:c>
      <x:c r="E314" s="31" t="b">
        <x:v>1</x:v>
      </x:c>
      <x:c r="F314" s="32" t="n">
        <x:v>45771</x:v>
      </x:c>
      <x:c r="G314" s="32" t="n">
        <x:v>45771.999999988424</x:v>
      </x:c>
      <x:c r="H314" s="33" t="n">
        <x:f>IF(F314="","",('Summary'!$B$5-F314)/365.25)</x:f>
        <x:v>1.2758726661723339</x:v>
      </x:c>
      <x:c r="I314" s="34" t="n">
        <x:v>0.0505</x:v>
      </x:c>
      <x:c r="J314" s="35" t="n">
        <x:v>-0.02697</x:v>
      </x:c>
      <x:c r="K314" s="36" t="n">
        <x:v>2135399.2</x:v>
      </x:c>
      <x:c r="L314" s="36" t="n">
        <x:v>107540.09717</x:v>
      </x:c>
      <x:c r="M314" s="37" t="n">
        <x:v>1753</x:v>
      </x:c>
      <x:c r="N314" s="34" t="n">
        <x:v>0.0505</x:v>
      </x:c>
      <x:c r="O314" s="34" t="n">
        <x:v>0.0506</x:v>
      </x:c>
      <x:c r="P314" s="38" t="n">
        <x:f>IF(OR(N314="",O314="",N314=0,O314=0),"",(O314-N314)/((O314+N314)/2))</x:f>
        <x:v>0.0019782393669633223</x:v>
      </x:c>
      <x:c r="Q314" s="34" t="n">
        <x:v>0.05036065</x:v>
      </x:c>
      <x:c r="R314" s="34" t="n">
        <x:v>0.0521</x:v>
      </x:c>
      <x:c r="S314" s="34" t="n">
        <x:v>0.0495</x:v>
      </x:c>
      <x:c r="T314" s="32" t="n">
        <x:v>46236.01223648148</x:v>
      </x:c>
      <x:c r="U314" s="32" t="n">
        <x:v>46237.01223648148</x:v>
      </x:c>
      <x:c r="V314" s="34" t="n">
        <x:v>5</x:v>
      </x:c>
      <x:c r="W314" s="34" t="n">
        <x:v>0.1</x:v>
      </x:c>
      <x:c r="X314" s="34" t="n">
        <x:v>0.1</x:v>
      </x:c>
      <x:c r="Y314" s="34" t="n">
        <x:v>0.0001</x:v>
      </x:c>
      <x:c r="Z314" s="30" t="str">
        <x:f>IF(AND(D314="TRADING",I314&lt;&gt;"",L314&lt;&gt;"",M314&lt;&gt;"",N314&lt;&gt;"",O314&lt;&gt;""),"Yes","No")</x:f>
        <x:v>Yes</x:v>
      </x:c>
      <x:c r="AA314" s="39" t="str">
        <x:v>https://developers.binance.com/en/docs/catalog/core-trading-spot-trading/api/rest-api</x:v>
      </x:c>
    </x:row>
    <x:row r="315">
      <x:c r="A315" s="30" t="str">
        <x:v>INJUSDT</x:v>
      </x:c>
      <x:c r="B315" s="30" t="str">
        <x:v>INJ</x:v>
      </x:c>
      <x:c r="C315" s="30" t="str">
        <x:v>USDT</x:v>
      </x:c>
      <x:c r="D315" s="30" t="str">
        <x:v>TRADING</x:v>
      </x:c>
      <x:c r="E315" s="31" t="b">
        <x:v>1</x:v>
      </x:c>
      <x:c r="F315" s="32" t="n">
        <x:v>44125</x:v>
      </x:c>
      <x:c r="G315" s="32" t="n">
        <x:v>44125.999999988424</x:v>
      </x:c>
      <x:c r="H315" s="33" t="n">
        <x:f>IF(F315="","",('Summary'!$B$5-F315)/365.25)</x:f>
        <x:v>5.782375061791773</x:v>
      </x:c>
      <x:c r="I315" s="34" t="n">
        <x:v>5.069</x:v>
      </x:c>
      <x:c r="J315" s="35" t="n">
        <x:v>0.039580000000000004</x:v>
      </x:c>
      <x:c r="K315" s="36" t="n">
        <x:v>520258.44</x:v>
      </x:c>
      <x:c r="L315" s="36" t="n">
        <x:v>2605469.74693</x:v>
      </x:c>
      <x:c r="M315" s="37" t="n">
        <x:v>42378</x:v>
      </x:c>
      <x:c r="N315" s="34" t="n">
        <x:v>5.069</x:v>
      </x:c>
      <x:c r="O315" s="34" t="n">
        <x:v>5.07</x:v>
      </x:c>
      <x:c r="P315" s="38" t="n">
        <x:f>IF(OR(N315="",O315="",N315=0,O315=0),"",(O315-N315)/((O315+N315)/2))</x:f>
        <x:v>0.00019725811223993175</x:v>
      </x:c>
      <x:c r="Q315" s="34" t="n">
        <x:v>5.00802975</x:v>
      </x:c>
      <x:c r="R315" s="34" t="n">
        <x:v>5.159</x:v>
      </x:c>
      <x:c r="S315" s="34" t="n">
        <x:v>4.857</x:v>
      </x:c>
      <x:c r="T315" s="32" t="n">
        <x:v>46236.01248914352</x:v>
      </x:c>
      <x:c r="U315" s="32" t="n">
        <x:v>46237.01248914352</x:v>
      </x:c>
      <x:c r="V315" s="34" t="n">
        <x:v>5</x:v>
      </x:c>
      <x:c r="W315" s="34" t="n">
        <x:v>0.01</x:v>
      </x:c>
      <x:c r="X315" s="34" t="n">
        <x:v>0.01</x:v>
      </x:c>
      <x:c r="Y315" s="34" t="n">
        <x:v>0.001</x:v>
      </x:c>
      <x:c r="Z315" s="30" t="str">
        <x:f>IF(AND(D315="TRADING",I315&lt;&gt;"",L315&lt;&gt;"",M315&lt;&gt;"",N315&lt;&gt;"",O315&lt;&gt;""),"Yes","No")</x:f>
        <x:v>Yes</x:v>
      </x:c>
      <x:c r="AA315" s="39" t="str">
        <x:v>https://developers.binance.com/en/docs/catalog/core-trading-spot-trading/api/rest-api</x:v>
      </x:c>
    </x:row>
    <x:row r="316">
      <x:c r="A316" s="30" t="str">
        <x:v>INTCBUSDT</x:v>
      </x:c>
      <x:c r="B316" s="30" t="str">
        <x:v>INTCB</x:v>
      </x:c>
      <x:c r="C316" s="30" t="str">
        <x:v>USDT</x:v>
      </x:c>
      <x:c r="D316" s="30" t="str">
        <x:v>TRADING</x:v>
      </x:c>
      <x:c r="E316" s="31" t="b">
        <x:v>1</x:v>
      </x:c>
      <x:c r="F316" s="32" t="n">
        <x:v>46196</x:v>
      </x:c>
      <x:c r="G316" s="32" t="n">
        <x:v>46196.999999988424</x:v>
      </x:c>
      <x:c r="H316" s="33" t="n">
        <x:f>IF(F316="","",('Summary'!$B$5-F316)/365.25)</x:f>
        <x:v>0.11228608164119086</x:v>
      </x:c>
      <x:c r="I316" s="34" t="n">
        <x:v>92.3</x:v>
      </x:c>
      <x:c r="J316" s="35" t="n">
        <x:v>0.020339999999999997</x:v>
      </x:c>
      <x:c r="K316" s="36" t="n">
        <x:v>7899.61</x:v>
      </x:c>
      <x:c r="L316" s="36" t="n">
        <x:v>729669.41489</x:v>
      </x:c>
      <x:c r="M316" s="37" t="n">
        <x:v>11225</x:v>
      </x:c>
      <x:c r="N316" s="34" t="n">
        <x:v>92.29</x:v>
      </x:c>
      <x:c r="O316" s="34" t="n">
        <x:v>92.3</x:v>
      </x:c>
      <x:c r="P316" s="38" t="n">
        <x:f>IF(OR(N316="",O316="",N316=0,O316=0),"",(O316-N316)/((O316+N316)/2))</x:f>
        <x:v>0.00010834823121502687</x:v>
      </x:c>
      <x:c r="Q316" s="34" t="n">
        <x:v>92.367777</x:v>
      </x:c>
      <x:c r="R316" s="34" t="n">
        <x:v>94.28</x:v>
      </x:c>
      <x:c r="S316" s="34" t="n">
        <x:v>90.13</x:v>
      </x:c>
      <x:c r="T316" s="32" t="n">
        <x:v>46236.01248084491</x:v>
      </x:c>
      <x:c r="U316" s="32" t="n">
        <x:v>46237.01248084491</x:v>
      </x:c>
      <x:c r="V316" s="34" t="n">
        <x:v>5</x:v>
      </x:c>
      <x:c r="W316" s="34" t="n">
        <x:v>0.001</x:v>
      </x:c>
      <x:c r="X316" s="34" t="n">
        <x:v>0.001</x:v>
      </x:c>
      <x:c r="Y316" s="34" t="n">
        <x:v>0.01</x:v>
      </x:c>
      <x:c r="Z316" s="30" t="str">
        <x:f>IF(AND(D316="TRADING",I316&lt;&gt;"",L316&lt;&gt;"",M316&lt;&gt;"",N316&lt;&gt;"",O316&lt;&gt;""),"Yes","No")</x:f>
        <x:v>Yes</x:v>
      </x:c>
      <x:c r="AA316" s="39" t="str">
        <x:v>https://developers.binance.com/en/docs/catalog/core-trading-spot-trading/api/rest-api</x:v>
      </x:c>
    </x:row>
    <x:row r="317">
      <x:c r="A317" s="30" t="str">
        <x:v>INTWBUSDT</x:v>
      </x:c>
      <x:c r="B317" s="30" t="str">
        <x:v>INTWB</x:v>
      </x:c>
      <x:c r="C317" s="30" t="str">
        <x:v>USDT</x:v>
      </x:c>
      <x:c r="D317" s="30" t="str">
        <x:v>TRADING</x:v>
      </x:c>
      <x:c r="E317" s="31" t="b">
        <x:v>1</x:v>
      </x:c>
      <x:c r="F317" s="32" t="n">
        <x:v>46225</x:v>
      </x:c>
      <x:c r="G317" s="32" t="n">
        <x:v>46225.999999988424</x:v>
      </x:c>
      <x:c r="H317" s="33" t="n">
        <x:f>IF(F317="","",('Summary'!$B$5-F317)/365.25)</x:f>
        <x:v>0.03288840881435992</x:v>
      </x:c>
      <x:c r="I317" s="34" t="n">
        <x:v>20.28</x:v>
      </x:c>
      <x:c r="J317" s="35" t="n">
        <x:v>0.045899999999999996</x:v>
      </x:c>
      <x:c r="K317" s="36" t="n">
        <x:v>3668.22</x:v>
      </x:c>
      <x:c r="L317" s="36" t="n">
        <x:v>74287.0423</x:v>
      </x:c>
      <x:c r="M317" s="37" t="n">
        <x:v>2773</x:v>
      </x:c>
      <x:c r="N317" s="34" t="n">
        <x:v>20.25</x:v>
      </x:c>
      <x:c r="O317" s="34" t="n">
        <x:v>20.3</x:v>
      </x:c>
      <x:c r="P317" s="38" t="n">
        <x:f>IF(OR(N317="",O317="",N317=0,O317=0),"",(O317-N317)/((O317+N317)/2))</x:f>
        <x:v>0.002466091245376114</x:v>
      </x:c>
      <x:c r="Q317" s="34" t="n">
        <x:v>20.25152316</x:v>
      </x:c>
      <x:c r="R317" s="34" t="n">
        <x:v>20.96</x:v>
      </x:c>
      <x:c r="S317" s="34" t="n">
        <x:v>19.35</x:v>
      </x:c>
      <x:c r="T317" s="32" t="n">
        <x:v>46236.01248471065</x:v>
      </x:c>
      <x:c r="U317" s="32" t="n">
        <x:v>46237.01248471065</x:v>
      </x:c>
      <x:c r="V317" s="34" t="n">
        <x:v>5</x:v>
      </x:c>
      <x:c r="W317" s="34" t="n">
        <x:v>0.01</x:v>
      </x:c>
      <x:c r="X317" s="34" t="n">
        <x:v>0.01</x:v>
      </x:c>
      <x:c r="Y317" s="34" t="n">
        <x:v>0.01</x:v>
      </x:c>
      <x:c r="Z317" s="30" t="str">
        <x:f>IF(AND(D317="TRADING",I317&lt;&gt;"",L317&lt;&gt;"",M317&lt;&gt;"",N317&lt;&gt;"",O317&lt;&gt;""),"Yes","No")</x:f>
        <x:v>Yes</x:v>
      </x:c>
      <x:c r="AA317" s="39" t="str">
        <x:v>https://developers.binance.com/en/docs/catalog/core-trading-spot-trading/api/rest-api</x:v>
      </x:c>
    </x:row>
    <x:row r="318">
      <x:c r="A318" s="30" t="str">
        <x:v>IOSTUSDT</x:v>
      </x:c>
      <x:c r="B318" s="30" t="str">
        <x:v>IOST</x:v>
      </x:c>
      <x:c r="C318" s="30" t="str">
        <x:v>USDT</x:v>
      </x:c>
      <x:c r="D318" s="30" t="str">
        <x:v>TRADING</x:v>
      </x:c>
      <x:c r="E318" s="31" t="b">
        <x:v>1</x:v>
      </x:c>
      <x:c r="F318" s="32" t="n">
        <x:v>43546</x:v>
      </x:c>
      <x:c r="G318" s="32" t="n">
        <x:v>43546.999999988424</x:v>
      </x:c>
      <x:c r="H318" s="33" t="n">
        <x:f>IF(F318="","",('Summary'!$B$5-F318)/365.25)</x:f>
        <x:v>7.3675906675412595</x:v>
      </x:c>
      <x:c r="I318" s="34" t="n">
        <x:v>0.000606</x:v>
      </x:c>
      <x:c r="J318" s="35" t="n">
        <x:v>0.00498</x:v>
      </x:c>
      <x:c r="K318" s="36" t="n">
        <x:v>65253277</x:v>
      </x:c>
      <x:c r="L318" s="36" t="n">
        <x:v>39624.644488</x:v>
      </x:c>
      <x:c r="M318" s="37" t="n">
        <x:v>1144</x:v>
      </x:c>
      <x:c r="N318" s="34" t="n">
        <x:v>0.000606</x:v>
      </x:c>
      <x:c r="O318" s="34" t="n">
        <x:v>0.000607</x:v>
      </x:c>
      <x:c r="P318" s="38" t="n">
        <x:f>IF(OR(N318="",O318="",N318=0,O318=0),"",(O318-N318)/((O318+N318)/2))</x:f>
        <x:v>0.0016488046166529666</x:v>
      </x:c>
      <x:c r="Q318" s="34" t="n">
        <x:v>0.00060724</x:v>
      </x:c>
      <x:c r="R318" s="34" t="n">
        <x:v>0.000615</x:v>
      </x:c>
      <x:c r="S318" s="34" t="n">
        <x:v>0.000603</x:v>
      </x:c>
      <x:c r="T318" s="32" t="n">
        <x:v>46236.01247381944</x:v>
      </x:c>
      <x:c r="U318" s="32" t="n">
        <x:v>46237.01247381944</x:v>
      </x:c>
      <x:c r="V318" s="34" t="n">
        <x:v>5</x:v>
      </x:c>
      <x:c r="W318" s="34" t="n">
        <x:v>1</x:v>
      </x:c>
      <x:c r="X318" s="34" t="n">
        <x:v>1</x:v>
      </x:c>
      <x:c r="Y318" s="34" t="n">
        <x:v>0.000001</x:v>
      </x:c>
      <x:c r="Z318" s="30" t="str">
        <x:f>IF(AND(D318="TRADING",I318&lt;&gt;"",L318&lt;&gt;"",M318&lt;&gt;"",N318&lt;&gt;"",O318&lt;&gt;""),"Yes","No")</x:f>
        <x:v>Yes</x:v>
      </x:c>
      <x:c r="AA318" s="39" t="str">
        <x:v>https://developers.binance.com/en/docs/catalog/core-trading-spot-trading/api/rest-api</x:v>
      </x:c>
    </x:row>
    <x:row r="319">
      <x:c r="A319" s="30" t="str">
        <x:v>IOTAUSDT</x:v>
      </x:c>
      <x:c r="B319" s="30" t="str">
        <x:v>IOTA</x:v>
      </x:c>
      <x:c r="C319" s="30" t="str">
        <x:v>USDT</x:v>
      </x:c>
      <x:c r="D319" s="30" t="str">
        <x:v>TRADING</x:v>
      </x:c>
      <x:c r="E319" s="31" t="b">
        <x:v>1</x:v>
      </x:c>
      <x:c r="F319" s="32" t="n">
        <x:v>43251</x:v>
      </x:c>
      <x:c r="G319" s="32" t="n">
        <x:v>43251.999999988424</x:v>
      </x:c>
      <x:c r="H319" s="33" t="n">
        <x:f>IF(F319="","",('Summary'!$B$5-F319)/365.25)</x:f>
        <x:v>8.17525664974523</x:v>
      </x:c>
      <x:c r="I319" s="34" t="n">
        <x:v>0.0339</x:v>
      </x:c>
      <x:c r="J319" s="35" t="n">
        <x:v>0.04308</x:v>
      </x:c>
      <x:c r="K319" s="36" t="n">
        <x:v>5655464</x:v>
      </x:c>
      <x:c r="L319" s="36" t="n">
        <x:v>187059.4868</x:v>
      </x:c>
      <x:c r="M319" s="37" t="n">
        <x:v>2642</x:v>
      </x:c>
      <x:c r="N319" s="34" t="n">
        <x:v>0.0338</x:v>
      </x:c>
      <x:c r="O319" s="34" t="n">
        <x:v>0.0339</x:v>
      </x:c>
      <x:c r="P319" s="38" t="n">
        <x:f>IF(OR(N319="",O319="",N319=0,O319=0),"",(O319-N319)/((O319+N319)/2))</x:f>
        <x:v>0.002954209748892256</x:v>
      </x:c>
      <x:c r="Q319" s="34" t="n">
        <x:v>0.03307589</x:v>
      </x:c>
      <x:c r="R319" s="34" t="n">
        <x:v>0.0341</x:v>
      </x:c>
      <x:c r="S319" s="34" t="n">
        <x:v>0.0324</x:v>
      </x:c>
      <x:c r="T319" s="32" t="n">
        <x:v>46236.012433125</x:v>
      </x:c>
      <x:c r="U319" s="32" t="n">
        <x:v>46237.012433125</x:v>
      </x:c>
      <x:c r="V319" s="34" t="n">
        <x:v>5</x:v>
      </x:c>
      <x:c r="W319" s="34" t="n">
        <x:v>1</x:v>
      </x:c>
      <x:c r="X319" s="34" t="n">
        <x:v>1</x:v>
      </x:c>
      <x:c r="Y319" s="34" t="n">
        <x:v>0.0001</x:v>
      </x:c>
      <x:c r="Z319" s="30" t="str">
        <x:f>IF(AND(D319="TRADING",I319&lt;&gt;"",L319&lt;&gt;"",M319&lt;&gt;"",N319&lt;&gt;"",O319&lt;&gt;""),"Yes","No")</x:f>
        <x:v>Yes</x:v>
      </x:c>
      <x:c r="AA319" s="39" t="str">
        <x:v>https://developers.binance.com/en/docs/catalog/core-trading-spot-trading/api/rest-api</x:v>
      </x:c>
    </x:row>
    <x:row r="320">
      <x:c r="A320" s="30" t="str">
        <x:v>IOTXUSDT</x:v>
      </x:c>
      <x:c r="B320" s="30" t="str">
        <x:v>IOTX</x:v>
      </x:c>
      <x:c r="C320" s="30" t="str">
        <x:v>USDT</x:v>
      </x:c>
      <x:c r="D320" s="30" t="str">
        <x:v>TRADING</x:v>
      </x:c>
      <x:c r="E320" s="31" t="b">
        <x:v>1</x:v>
      </x:c>
      <x:c r="F320" s="32" t="n">
        <x:v>43783</x:v>
      </x:c>
      <x:c r="G320" s="32" t="n">
        <x:v>43783.999999988424</x:v>
      </x:c>
      <x:c r="H320" s="33" t="n">
        <x:f>IF(F320="","",('Summary'!$B$5-F320)/365.25)</x:f>
        <x:v>6.718720030990951</x:v>
      </x:c>
      <x:c r="I320" s="34" t="n">
        <x:v>0.00223</x:v>
      </x:c>
      <x:c r="J320" s="35" t="n">
        <x:v>0.03241</x:v>
      </x:c>
      <x:c r="K320" s="36" t="n">
        <x:v>156796979</x:v>
      </x:c>
      <x:c r="L320" s="36" t="n">
        <x:v>356483.10057</x:v>
      </x:c>
      <x:c r="M320" s="37" t="n">
        <x:v>2659</x:v>
      </x:c>
      <x:c r="N320" s="34" t="n">
        <x:v>0.00223</x:v>
      </x:c>
      <x:c r="O320" s="34" t="n">
        <x:v>0.00224</x:v>
      </x:c>
      <x:c r="P320" s="38" t="n">
        <x:f>IF(OR(N320="",O320="",N320=0,O320=0),"",(O320-N320)/((O320+N320)/2))</x:f>
        <x:v>0.004474272930648587</x:v>
      </x:c>
      <x:c r="Q320" s="34" t="n">
        <x:v>0.00227353</x:v>
      </x:c>
      <x:c r="R320" s="34" t="n">
        <x:v>0.00239</x:v>
      </x:c>
      <x:c r="S320" s="34" t="n">
        <x:v>0.00213</x:v>
      </x:c>
      <x:c r="T320" s="32" t="n">
        <x:v>46236.012481666665</x:v>
      </x:c>
      <x:c r="U320" s="32" t="n">
        <x:v>46237.012481666665</x:v>
      </x:c>
      <x:c r="V320" s="34" t="n">
        <x:v>5</x:v>
      </x:c>
      <x:c r="W320" s="34" t="n">
        <x:v>1</x:v>
      </x:c>
      <x:c r="X320" s="34" t="n">
        <x:v>1</x:v>
      </x:c>
      <x:c r="Y320" s="34" t="n">
        <x:v>0.00001</x:v>
      </x:c>
      <x:c r="Z320" s="30" t="str">
        <x:f>IF(AND(D320="TRADING",I320&lt;&gt;"",L320&lt;&gt;"",M320&lt;&gt;"",N320&lt;&gt;"",O320&lt;&gt;""),"Yes","No")</x:f>
        <x:v>Yes</x:v>
      </x:c>
      <x:c r="AA320" s="39" t="str">
        <x:v>https://developers.binance.com/en/docs/catalog/core-trading-spot-trading/api/rest-api</x:v>
      </x:c>
    </x:row>
    <x:row r="321">
      <x:c r="A321" s="30" t="str">
        <x:v>IOUSDT</x:v>
      </x:c>
      <x:c r="B321" s="30" t="str">
        <x:v>IO</x:v>
      </x:c>
      <x:c r="C321" s="30" t="str">
        <x:v>USDT</x:v>
      </x:c>
      <x:c r="D321" s="30" t="str">
        <x:v>TRADING</x:v>
      </x:c>
      <x:c r="E321" s="31" t="b">
        <x:v>1</x:v>
      </x:c>
      <x:c r="F321" s="32" t="n">
        <x:v>45454</x:v>
      </x:c>
      <x:c r="G321" s="32" t="n">
        <x:v>45454.999999988424</x:v>
      </x:c>
      <x:c r="H321" s="33" t="n">
        <x:f>IF(F321="","",('Summary'!$B$5-F321)/365.25)</x:f>
        <x:v>2.14377136569321</x:v>
      </x:c>
      <x:c r="I321" s="34" t="n">
        <x:v>0.1313</x:v>
      </x:c>
      <x:c r="J321" s="35" t="n">
        <x:v>-0.006059999999999999</x:v>
      </x:c>
      <x:c r="K321" s="36" t="n">
        <x:v>1718583.84</x:v>
      </x:c>
      <x:c r="L321" s="36" t="n">
        <x:v>228006.059366</x:v>
      </x:c>
      <x:c r="M321" s="37" t="n">
        <x:v>2710</x:v>
      </x:c>
      <x:c r="N321" s="34" t="n">
        <x:v>0.1312</x:v>
      </x:c>
      <x:c r="O321" s="34" t="n">
        <x:v>0.1313</x:v>
      </x:c>
      <x:c r="P321" s="38" t="n">
        <x:f>IF(OR(N321="",O321="",N321=0,O321=0),"",(O321-N321)/((O321+N321)/2))</x:f>
        <x:v>0.000761904761904678</x:v>
      </x:c>
      <x:c r="Q321" s="34" t="n">
        <x:v>0.1326709</x:v>
      </x:c>
      <x:c r="R321" s="34" t="n">
        <x:v>0.1353</x:v>
      </x:c>
      <x:c r="S321" s="34" t="n">
        <x:v>0.1313</x:v>
      </x:c>
      <x:c r="T321" s="32" t="n">
        <x:v>46236.01217611111</x:v>
      </x:c>
      <x:c r="U321" s="32" t="n">
        <x:v>46237.01217611111</x:v>
      </x:c>
      <x:c r="V321" s="34" t="n">
        <x:v>5</x:v>
      </x:c>
      <x:c r="W321" s="34" t="n">
        <x:v>0.01</x:v>
      </x:c>
      <x:c r="X321" s="34" t="n">
        <x:v>0.01</x:v>
      </x:c>
      <x:c r="Y321" s="34" t="n">
        <x:v>0.0001</x:v>
      </x:c>
      <x:c r="Z321" s="30" t="str">
        <x:f>IF(AND(D321="TRADING",I321&lt;&gt;"",L321&lt;&gt;"",M321&lt;&gt;"",N321&lt;&gt;"",O321&lt;&gt;""),"Yes","No")</x:f>
        <x:v>Yes</x:v>
      </x:c>
      <x:c r="AA321" s="39" t="str">
        <x:v>https://developers.binance.com/en/docs/catalog/core-trading-spot-trading/api/rest-api</x:v>
      </x:c>
    </x:row>
    <x:row r="322">
      <x:c r="A322" s="30" t="str">
        <x:v>IQUSDT</x:v>
      </x:c>
      <x:c r="B322" s="30" t="str">
        <x:v>IQ</x:v>
      </x:c>
      <x:c r="C322" s="30" t="str">
        <x:v>USDT</x:v>
      </x:c>
      <x:c r="D322" s="30" t="str">
        <x:v>TRADING</x:v>
      </x:c>
      <x:c r="E322" s="31" t="b">
        <x:v>1</x:v>
      </x:c>
      <x:c r="F322" s="32" t="n">
        <x:v>45191</x:v>
      </x:c>
      <x:c r="G322" s="32" t="n">
        <x:v>45191.999999988424</x:v>
      </x:c>
      <x:c r="H322" s="33" t="n">
        <x:f>IF(F322="","",('Summary'!$B$5-F322)/365.25)</x:f>
        <x:v>2.8638261227089528</x:v>
      </x:c>
      <x:c r="I322" s="34" t="n">
        <x:v>0.000654</x:v>
      </x:c>
      <x:c r="J322" s="35" t="n">
        <x:v>-0.00759</x:v>
      </x:c>
      <x:c r="K322" s="36" t="n">
        <x:v>15325186</x:v>
      </x:c>
      <x:c r="L322" s="36" t="n">
        <x:v>10099.207615</x:v>
      </x:c>
      <x:c r="M322" s="37" t="n">
        <x:v>412</x:v>
      </x:c>
      <x:c r="N322" s="34" t="n">
        <x:v>0.000652</x:v>
      </x:c>
      <x:c r="O322" s="34" t="n">
        <x:v>0.000656</x:v>
      </x:c>
      <x:c r="P322" s="38" t="n">
        <x:f>IF(OR(N322="",O322="",N322=0,O322=0),"",(O322-N322)/((O322+N322)/2))</x:f>
        <x:v>0.006116207951070318</x:v>
      </x:c>
      <x:c r="Q322" s="34" t="n">
        <x:v>0.00065899</x:v>
      </x:c>
      <x:c r="R322" s="34" t="n">
        <x:v>0.000667</x:v>
      </x:c>
      <x:c r="S322" s="34" t="n">
        <x:v>0.000652</x:v>
      </x:c>
      <x:c r="T322" s="32" t="n">
        <x:v>46236.01208474537</x:v>
      </x:c>
      <x:c r="U322" s="32" t="n">
        <x:v>46237.01208474537</x:v>
      </x:c>
      <x:c r="V322" s="34" t="n">
        <x:v>5</x:v>
      </x:c>
      <x:c r="W322" s="34" t="n">
        <x:v>1</x:v>
      </x:c>
      <x:c r="X322" s="34" t="n">
        <x:v>1</x:v>
      </x:c>
      <x:c r="Y322" s="34" t="n">
        <x:v>0.000001</x:v>
      </x:c>
      <x:c r="Z322" s="30" t="str">
        <x:f>IF(AND(D322="TRADING",I322&lt;&gt;"",L322&lt;&gt;"",M322&lt;&gt;"",N322&lt;&gt;"",O322&lt;&gt;""),"Yes","No")</x:f>
        <x:v>Yes</x:v>
      </x:c>
      <x:c r="AA322" s="39" t="str">
        <x:v>https://developers.binance.com/en/docs/catalog/core-trading-spot-trading/api/rest-api</x:v>
      </x:c>
    </x:row>
    <x:row r="323">
      <x:c r="A323" s="30" t="str">
        <x:v>IRISUSDT</x:v>
      </x:c>
      <x:c r="B323" s="30" t="str">
        <x:v>IRIS</x:v>
      </x:c>
      <x:c r="C323" s="30" t="str">
        <x:v>USDT</x:v>
      </x:c>
      <x:c r="D323" s="30" t="str">
        <x:v>BREAK</x:v>
      </x:c>
      <x:c r="E323" s="31" t="b">
        <x:v>1</x:v>
      </x:c>
      <x:c r="F323" s="32" t="n">
        <x:v>44054</x:v>
      </x:c>
      <x:c r="G323" s="32" t="n">
        <x:v>44054.999999988424</x:v>
      </x:c>
      <x:c r="H323" s="33" t="n">
        <x:f>IF(F323="","",('Summary'!$B$5-F323)/365.25)</x:f>
        <x:v>5.976762467678152</x:v>
      </x:c>
      <x:c r="I323" s="34" t="n">
        <x:v>0.00521</x:v>
      </x:c>
      <x:c r="J323" s="35" t="n">
        <x:v>-0.06463</x:v>
      </x:c>
      <x:c r="K323" s="36" t="n">
        <x:v>67787369.1</x:v>
      </x:c>
      <x:c r="L323" s="36" t="n">
        <x:v>379455.50186</x:v>
      </x:c>
      <x:c r="M323" s="37" t="n">
        <x:v>4001</x:v>
      </x:c>
      <x:c r="N323" s="34" t="n">
        <x:v>0</x:v>
      </x:c>
      <x:c r="O323" s="34" t="n">
        <x:v>0</x:v>
      </x:c>
      <x:c r="P323" s="38" t="str">
        <x:f>IF(OR(N323="",O323="",N323=0,O323=0),"",(O323-N323)/((O323+N323)/2))</x:f>
      </x:c>
      <x:c r="Q323" s="34" t="n">
        <x:v>0.00559773</x:v>
      </x:c>
      <x:c r="R323" s="34" t="n">
        <x:v>0.00625</x:v>
      </x:c>
      <x:c r="S323" s="34" t="n">
        <x:v>0.005</x:v>
      </x:c>
      <x:c r="T323" s="32" t="n">
        <x:v>46209.26112309028</x:v>
      </x:c>
      <x:c r="U323" s="32" t="n">
        <x:v>46210.26112309028</x:v>
      </x:c>
      <x:c r="V323" s="34" t="n">
        <x:v>5</x:v>
      </x:c>
      <x:c r="W323" s="34" t="n">
        <x:v>0.1</x:v>
      </x:c>
      <x:c r="X323" s="34" t="n">
        <x:v>0.1</x:v>
      </x:c>
      <x:c r="Y323" s="34" t="n">
        <x:v>0.00001</x:v>
      </x:c>
      <x:c r="Z323" s="30" t="str">
        <x:f>IF(AND(D323="TRADING",I323&lt;&gt;"",L323&lt;&gt;"",M323&lt;&gt;"",N323&lt;&gt;"",O323&lt;&gt;""),"Yes","No")</x:f>
        <x:v>No</x:v>
      </x:c>
      <x:c r="AA323" s="39" t="str">
        <x:v>https://developers.binance.com/en/docs/catalog/core-trading-spot-trading/api/rest-api</x:v>
      </x:c>
    </x:row>
    <x:row r="324">
      <x:c r="A324" s="30" t="str">
        <x:v>JASMYUSDT</x:v>
      </x:c>
      <x:c r="B324" s="30" t="str">
        <x:v>JASMY</x:v>
      </x:c>
      <x:c r="C324" s="30" t="str">
        <x:v>USDT</x:v>
      </x:c>
      <x:c r="D324" s="30" t="str">
        <x:v>TRADING</x:v>
      </x:c>
      <x:c r="E324" s="31" t="b">
        <x:v>1</x:v>
      </x:c>
      <x:c r="F324" s="32" t="n">
        <x:v>44522</x:v>
      </x:c>
      <x:c r="G324" s="32" t="n">
        <x:v>44522.999999988424</x:v>
      </x:c>
      <x:c r="H324" s="33" t="n">
        <x:f>IF(F324="","",('Summary'!$B$5-F324)/365.25)</x:f>
        <x:v>4.695448299300328</x:v>
      </x:c>
      <x:c r="I324" s="34" t="n">
        <x:v>0.00431</x:v>
      </x:c>
      <x:c r="J324" s="35" t="n">
        <x:v>-0.0069099999999999995</x:v>
      </x:c>
      <x:c r="K324" s="36" t="n">
        <x:v>45213243</x:v>
      </x:c>
      <x:c r="L324" s="36" t="n">
        <x:v>195020.52926</x:v>
      </x:c>
      <x:c r="M324" s="37" t="n">
        <x:v>4260</x:v>
      </x:c>
      <x:c r="N324" s="34" t="n">
        <x:v>0.00431</x:v>
      </x:c>
      <x:c r="O324" s="34" t="n">
        <x:v>0.00432</x:v>
      </x:c>
      <x:c r="P324" s="38" t="n">
        <x:f>IF(OR(N324="",O324="",N324=0,O324=0),"",(O324-N324)/((O324+N324)/2))</x:f>
        <x:v>0.002317497103128728</x:v>
      </x:c>
      <x:c r="Q324" s="34" t="n">
        <x:v>0.00431335</x:v>
      </x:c>
      <x:c r="R324" s="34" t="n">
        <x:v>0.00438</x:v>
      </x:c>
      <x:c r="S324" s="34" t="n">
        <x:v>0.00427</x:v>
      </x:c>
      <x:c r="T324" s="32" t="n">
        <x:v>46236.01239458333</x:v>
      </x:c>
      <x:c r="U324" s="32" t="n">
        <x:v>46237.01239458333</x:v>
      </x:c>
      <x:c r="V324" s="34" t="n">
        <x:v>5</x:v>
      </x:c>
      <x:c r="W324" s="34" t="n">
        <x:v>0.1</x:v>
      </x:c>
      <x:c r="X324" s="34" t="n">
        <x:v>0.1</x:v>
      </x:c>
      <x:c r="Y324" s="34" t="n">
        <x:v>0.00001</x:v>
      </x:c>
      <x:c r="Z324" s="30" t="str">
        <x:f>IF(AND(D324="TRADING",I324&lt;&gt;"",L324&lt;&gt;"",M324&lt;&gt;"",N324&lt;&gt;"",O324&lt;&gt;""),"Yes","No")</x:f>
        <x:v>Yes</x:v>
      </x:c>
      <x:c r="AA324" s="39" t="str">
        <x:v>https://developers.binance.com/en/docs/catalog/core-trading-spot-trading/api/rest-api</x:v>
      </x:c>
    </x:row>
    <x:row r="325">
      <x:c r="A325" s="30" t="str">
        <x:v>JOEUSDT</x:v>
      </x:c>
      <x:c r="B325" s="30" t="str">
        <x:v>JOE</x:v>
      </x:c>
      <x:c r="C325" s="30" t="str">
        <x:v>USDT</x:v>
      </x:c>
      <x:c r="D325" s="30" t="str">
        <x:v>TRADING</x:v>
      </x:c>
      <x:c r="E325" s="31" t="b">
        <x:v>1</x:v>
      </x:c>
      <x:c r="F325" s="32" t="n">
        <x:v>44558</x:v>
      </x:c>
      <x:c r="G325" s="32" t="n">
        <x:v>44558.999999988424</x:v>
      </x:c>
      <x:c r="H325" s="33" t="n">
        <x:f>IF(F325="","",('Summary'!$B$5-F325)/365.25)</x:f>
        <x:v>4.596885670963573</x:v>
      </x:c>
      <x:c r="I325" s="34" t="n">
        <x:v>0.0243</x:v>
      </x:c>
      <x:c r="J325" s="35" t="n">
        <x:v>0.0125</x:v>
      </x:c>
      <x:c r="K325" s="36" t="n">
        <x:v>4023317.64</x:v>
      </x:c>
      <x:c r="L325" s="36" t="n">
        <x:v>97302.669481</x:v>
      </x:c>
      <x:c r="M325" s="37" t="n">
        <x:v>1443</x:v>
      </x:c>
      <x:c r="N325" s="34" t="n">
        <x:v>0.0242</x:v>
      </x:c>
      <x:c r="O325" s="34" t="n">
        <x:v>0.0243</x:v>
      </x:c>
      <x:c r="P325" s="38" t="n">
        <x:f>IF(OR(N325="",O325="",N325=0,O325=0),"",(O325-N325)/((O325+N325)/2))</x:f>
        <x:v>0.0041237113402061605</x:v>
      </x:c>
      <x:c r="Q325" s="34" t="n">
        <x:v>0.02418468</x:v>
      </x:c>
      <x:c r="R325" s="34" t="n">
        <x:v>0.0246</x:v>
      </x:c>
      <x:c r="S325" s="34" t="n">
        <x:v>0.0238</x:v>
      </x:c>
      <x:c r="T325" s="32" t="n">
        <x:v>46236.012401099535</x:v>
      </x:c>
      <x:c r="U325" s="32" t="n">
        <x:v>46237.012401099535</x:v>
      </x:c>
      <x:c r="V325" s="34" t="n">
        <x:v>5</x:v>
      </x:c>
      <x:c r="W325" s="34" t="n">
        <x:v>0.01</x:v>
      </x:c>
      <x:c r="X325" s="34" t="n">
        <x:v>0.01</x:v>
      </x:c>
      <x:c r="Y325" s="34" t="n">
        <x:v>0.0001</x:v>
      </x:c>
      <x:c r="Z325" s="30" t="str">
        <x:f>IF(AND(D325="TRADING",I325&lt;&gt;"",L325&lt;&gt;"",M325&lt;&gt;"",N325&lt;&gt;"",O325&lt;&gt;""),"Yes","No")</x:f>
        <x:v>Yes</x:v>
      </x:c>
      <x:c r="AA325" s="39" t="str">
        <x:v>https://developers.binance.com/en/docs/catalog/core-trading-spot-trading/api/rest-api</x:v>
      </x:c>
    </x:row>
    <x:row r="326">
      <x:c r="A326" s="30" t="str">
        <x:v>JSTUSDT</x:v>
      </x:c>
      <x:c r="B326" s="30" t="str">
        <x:v>JST</x:v>
      </x:c>
      <x:c r="C326" s="30" t="str">
        <x:v>USDT</x:v>
      </x:c>
      <x:c r="D326" s="30" t="str">
        <x:v>TRADING</x:v>
      </x:c>
      <x:c r="E326" s="31" t="b">
        <x:v>1</x:v>
      </x:c>
      <x:c r="F326" s="32" t="n">
        <x:v>44054</x:v>
      </x:c>
      <x:c r="G326" s="32" t="n">
        <x:v>44054.999999988424</x:v>
      </x:c>
      <x:c r="H326" s="33" t="n">
        <x:f>IF(F326="","",('Summary'!$B$5-F326)/365.25)</x:f>
        <x:v>5.976762467678152</x:v>
      </x:c>
      <x:c r="I326" s="34" t="n">
        <x:v>0.10618</x:v>
      </x:c>
      <x:c r="J326" s="35" t="n">
        <x:v>0.01472</x:v>
      </x:c>
      <x:c r="K326" s="36" t="n">
        <x:v>15008058</x:v>
      </x:c>
      <x:c r="L326" s="36" t="n">
        <x:v>1586593.776209</x:v>
      </x:c>
      <x:c r="M326" s="37" t="n">
        <x:v>33297</x:v>
      </x:c>
      <x:c r="N326" s="34" t="n">
        <x:v>0.10615</x:v>
      </x:c>
      <x:c r="O326" s="34" t="n">
        <x:v>0.10618</x:v>
      </x:c>
      <x:c r="P326" s="38" t="n">
        <x:f>IF(OR(N326="",O326="",N326=0,O326=0),"",(O326-N326)/((O326+N326)/2))</x:f>
        <x:v>0.00028257900437999575</x:v>
      </x:c>
      <x:c r="Q326" s="34" t="n">
        <x:v>0.10571613</x:v>
      </x:c>
      <x:c r="R326" s="34" t="n">
        <x:v>0.10685</x:v>
      </x:c>
      <x:c r="S326" s="34" t="n">
        <x:v>0.10457</x:v>
      </x:c>
      <x:c r="T326" s="32" t="n">
        <x:v>46236.01246648148</x:v>
      </x:c>
      <x:c r="U326" s="32" t="n">
        <x:v>46237.01246648148</x:v>
      </x:c>
      <x:c r="V326" s="34" t="n">
        <x:v>5</x:v>
      </x:c>
      <x:c r="W326" s="34" t="n">
        <x:v>0.1</x:v>
      </x:c>
      <x:c r="X326" s="34" t="n">
        <x:v>0.1</x:v>
      </x:c>
      <x:c r="Y326" s="34" t="n">
        <x:v>0.00001</x:v>
      </x:c>
      <x:c r="Z326" s="30" t="str">
        <x:f>IF(AND(D326="TRADING",I326&lt;&gt;"",L326&lt;&gt;"",M326&lt;&gt;"",N326&lt;&gt;"",O326&lt;&gt;""),"Yes","No")</x:f>
        <x:v>Yes</x:v>
      </x:c>
      <x:c r="AA326" s="39" t="str">
        <x:v>https://developers.binance.com/en/docs/catalog/core-trading-spot-trading/api/rest-api</x:v>
      </x:c>
    </x:row>
    <x:row r="327">
      <x:c r="A327" s="30" t="str">
        <x:v>JTOUSDT</x:v>
      </x:c>
      <x:c r="B327" s="30" t="str">
        <x:v>JTO</x:v>
      </x:c>
      <x:c r="C327" s="30" t="str">
        <x:v>USDT</x:v>
      </x:c>
      <x:c r="D327" s="30" t="str">
        <x:v>TRADING</x:v>
      </x:c>
      <x:c r="E327" s="31" t="b">
        <x:v>1</x:v>
      </x:c>
      <x:c r="F327" s="32" t="n">
        <x:v>45267</x:v>
      </x:c>
      <x:c r="G327" s="32" t="n">
        <x:v>45267.999999988424</x:v>
      </x:c>
      <x:c r="H327" s="33" t="n">
        <x:f>IF(F327="","",('Summary'!$B$5-F327)/365.25)</x:f>
        <x:v>2.655749462886913</x:v>
      </x:c>
      <x:c r="I327" s="34" t="n">
        <x:v>0.4948</x:v>
      </x:c>
      <x:c r="J327" s="35" t="n">
        <x:v>-0.01139</x:v>
      </x:c>
      <x:c r="K327" s="36" t="n">
        <x:v>1750697.5</x:v>
      </x:c>
      <x:c r="L327" s="36" t="n">
        <x:v>862727.334</x:v>
      </x:c>
      <x:c r="M327" s="37" t="n">
        <x:v>25243</x:v>
      </x:c>
      <x:c r="N327" s="34" t="n">
        <x:v>0.4947</x:v>
      </x:c>
      <x:c r="O327" s="34" t="n">
        <x:v>0.4948</x:v>
      </x:c>
      <x:c r="P327" s="38" t="n">
        <x:f>IF(OR(N327="",O327="",N327=0,O327=0),"",(O327-N327)/((O327+N327)/2))</x:f>
        <x:v>0.00020212228398189892</x:v>
      </x:c>
      <x:c r="Q327" s="34" t="n">
        <x:v>0.49279064</x:v>
      </x:c>
      <x:c r="R327" s="34" t="n">
        <x:v>0.5052</x:v>
      </x:c>
      <x:c r="S327" s="34" t="n">
        <x:v>0.4804</x:v>
      </x:c>
      <x:c r="T327" s="32" t="n">
        <x:v>46236.01245744213</x:v>
      </x:c>
      <x:c r="U327" s="32" t="n">
        <x:v>46237.01245744213</x:v>
      </x:c>
      <x:c r="V327" s="34" t="n">
        <x:v>5</x:v>
      </x:c>
      <x:c r="W327" s="34" t="n">
        <x:v>0.1</x:v>
      </x:c>
      <x:c r="X327" s="34" t="n">
        <x:v>0.1</x:v>
      </x:c>
      <x:c r="Y327" s="34" t="n">
        <x:v>0.0001</x:v>
      </x:c>
      <x:c r="Z327" s="30" t="str">
        <x:f>IF(AND(D327="TRADING",I327&lt;&gt;"",L327&lt;&gt;"",M327&lt;&gt;"",N327&lt;&gt;"",O327&lt;&gt;""),"Yes","No")</x:f>
        <x:v>Yes</x:v>
      </x:c>
      <x:c r="AA327" s="39" t="str">
        <x:v>https://developers.binance.com/en/docs/catalog/core-trading-spot-trading/api/rest-api</x:v>
      </x:c>
    </x:row>
    <x:row r="328">
      <x:c r="A328" s="30" t="str">
        <x:v>JUPUSDT</x:v>
      </x:c>
      <x:c r="B328" s="30" t="str">
        <x:v>JUP</x:v>
      </x:c>
      <x:c r="C328" s="30" t="str">
        <x:v>USDT</x:v>
      </x:c>
      <x:c r="D328" s="30" t="str">
        <x:v>TRADING</x:v>
      </x:c>
      <x:c r="E328" s="31" t="b">
        <x:v>1</x:v>
      </x:c>
      <x:c r="F328" s="32" t="n">
        <x:v>45322</x:v>
      </x:c>
      <x:c r="G328" s="32" t="n">
        <x:v>45322.999999988424</x:v>
      </x:c>
      <x:c r="H328" s="33" t="n">
        <x:f>IF(F328="","",('Summary'!$B$5-F328)/365.25)</x:f>
        <x:v>2.5051676695946474</x:v>
      </x:c>
      <x:c r="I328" s="34" t="n">
        <x:v>0.1943</x:v>
      </x:c>
      <x:c r="J328" s="35" t="n">
        <x:v>0.0031</x:v>
      </x:c>
      <x:c r="K328" s="36" t="n">
        <x:v>8417379.8</x:v>
      </x:c>
      <x:c r="L328" s="36" t="n">
        <x:v>1650167.40074</x:v>
      </x:c>
      <x:c r="M328" s="37" t="n">
        <x:v>12352</x:v>
      </x:c>
      <x:c r="N328" s="34" t="n">
        <x:v>0.1943</x:v>
      </x:c>
      <x:c r="O328" s="34" t="n">
        <x:v>0.1944</x:v>
      </x:c>
      <x:c r="P328" s="38" t="n">
        <x:f>IF(OR(N328="",O328="",N328=0,O328=0),"",(O328-N328)/((O328+N328)/2))</x:f>
        <x:v>0.0005145356315924311</x:v>
      </x:c>
      <x:c r="Q328" s="34" t="n">
        <x:v>0.19604288</x:v>
      </x:c>
      <x:c r="R328" s="34" t="n">
        <x:v>0.1989</x:v>
      </x:c>
      <x:c r="S328" s="34" t="n">
        <x:v>0.1936</x:v>
      </x:c>
      <x:c r="T328" s="32" t="n">
        <x:v>46236.012476157404</x:v>
      </x:c>
      <x:c r="U328" s="32" t="n">
        <x:v>46237.012476157404</x:v>
      </x:c>
      <x:c r="V328" s="34" t="n">
        <x:v>5</x:v>
      </x:c>
      <x:c r="W328" s="34" t="n">
        <x:v>0.1</x:v>
      </x:c>
      <x:c r="X328" s="34" t="n">
        <x:v>0.1</x:v>
      </x:c>
      <x:c r="Y328" s="34" t="n">
        <x:v>0.0001</x:v>
      </x:c>
      <x:c r="Z328" s="30" t="str">
        <x:f>IF(AND(D328="TRADING",I328&lt;&gt;"",L328&lt;&gt;"",M328&lt;&gt;"",N328&lt;&gt;"",O328&lt;&gt;""),"Yes","No")</x:f>
        <x:v>Yes</x:v>
      </x:c>
      <x:c r="AA328" s="39" t="str">
        <x:v>https://developers.binance.com/en/docs/catalog/core-trading-spot-trading/api/rest-api</x:v>
      </x:c>
    </x:row>
    <x:row r="329">
      <x:c r="A329" s="30" t="str">
        <x:v>JUVUSDT</x:v>
      </x:c>
      <x:c r="B329" s="30" t="str">
        <x:v>JUV</x:v>
      </x:c>
      <x:c r="C329" s="30" t="str">
        <x:v>USDT</x:v>
      </x:c>
      <x:c r="D329" s="30" t="str">
        <x:v>TRADING</x:v>
      </x:c>
      <x:c r="E329" s="31" t="b">
        <x:v>1</x:v>
      </x:c>
      <x:c r="F329" s="32" t="n">
        <x:v>44186</x:v>
      </x:c>
      <x:c r="G329" s="32" t="n">
        <x:v>44186.999999988424</x:v>
      </x:c>
      <x:c r="H329" s="33" t="n">
        <x:f>IF(F329="","",('Summary'!$B$5-F329)/365.25)</x:f>
        <x:v>5.615366163776715</x:v>
      </x:c>
      <x:c r="I329" s="34" t="n">
        <x:v>0.315</x:v>
      </x:c>
      <x:c r="J329" s="35" t="n">
        <x:v>0.01942</x:v>
      </x:c>
      <x:c r="K329" s="36" t="n">
        <x:v>340134.19</x:v>
      </x:c>
      <x:c r="L329" s="36" t="n">
        <x:v>106284.54906</x:v>
      </x:c>
      <x:c r="M329" s="37" t="n">
        <x:v>1910</x:v>
      </x:c>
      <x:c r="N329" s="34" t="n">
        <x:v>0.314</x:v>
      </x:c>
      <x:c r="O329" s="34" t="n">
        <x:v>0.315</x:v>
      </x:c>
      <x:c r="P329" s="38" t="n">
        <x:f>IF(OR(N329="",O329="",N329=0,O329=0),"",(O329-N329)/((O329+N329)/2))</x:f>
        <x:v>0.0031796502384737707</x:v>
      </x:c>
      <x:c r="Q329" s="34" t="n">
        <x:v>0.31247829</x:v>
      </x:c>
      <x:c r="R329" s="34" t="n">
        <x:v>0.316</x:v>
      </x:c>
      <x:c r="S329" s="34" t="n">
        <x:v>0.309</x:v>
      </x:c>
      <x:c r="T329" s="32" t="n">
        <x:v>46236.01181431713</x:v>
      </x:c>
      <x:c r="U329" s="32" t="n">
        <x:v>46237.01181431713</x:v>
      </x:c>
      <x:c r="V329" s="34" t="n">
        <x:v>5</x:v>
      </x:c>
      <x:c r="W329" s="34" t="n">
        <x:v>0.01</x:v>
      </x:c>
      <x:c r="X329" s="34" t="n">
        <x:v>0.01</x:v>
      </x:c>
      <x:c r="Y329" s="34" t="n">
        <x:v>0.001</x:v>
      </x:c>
      <x:c r="Z329" s="30" t="str">
        <x:f>IF(AND(D329="TRADING",I329&lt;&gt;"",L329&lt;&gt;"",M329&lt;&gt;"",N329&lt;&gt;"",O329&lt;&gt;""),"Yes","No")</x:f>
        <x:v>Yes</x:v>
      </x:c>
      <x:c r="AA329" s="39" t="str">
        <x:v>https://developers.binance.com/en/docs/catalog/core-trading-spot-trading/api/rest-api</x:v>
      </x:c>
    </x:row>
    <x:row r="330">
      <x:c r="A330" s="30" t="str">
        <x:v>KAIAUSDT</x:v>
      </x:c>
      <x:c r="B330" s="30" t="str">
        <x:v>KAIA</x:v>
      </x:c>
      <x:c r="C330" s="30" t="str">
        <x:v>USDT</x:v>
      </x:c>
      <x:c r="D330" s="30" t="str">
        <x:v>TRADING</x:v>
      </x:c>
      <x:c r="E330" s="31" t="b">
        <x:v>1</x:v>
      </x:c>
      <x:c r="F330" s="32" t="n">
        <x:v>45596</x:v>
      </x:c>
      <x:c r="G330" s="32" t="n">
        <x:v>45596.999999988424</x:v>
      </x:c>
      <x:c r="H330" s="33" t="n">
        <x:f>IF(F330="","",('Summary'!$B$5-F330)/365.25)</x:f>
        <x:v>1.7549965539204517</x:v>
      </x:c>
      <x:c r="I330" s="34" t="n">
        <x:v>0.0262</x:v>
      </x:c>
      <x:c r="J330" s="35" t="n">
        <x:v>-0.01873</x:v>
      </x:c>
      <x:c r="K330" s="36" t="n">
        <x:v>11286688.8</x:v>
      </x:c>
      <x:c r="L330" s="36" t="n">
        <x:v>298932.66073</x:v>
      </x:c>
      <x:c r="M330" s="37" t="n">
        <x:v>3004</x:v>
      </x:c>
      <x:c r="N330" s="34" t="n">
        <x:v>0.0262</x:v>
      </x:c>
      <x:c r="O330" s="34" t="n">
        <x:v>0.0263</x:v>
      </x:c>
      <x:c r="P330" s="38" t="n">
        <x:f>IF(OR(N330="",O330="",N330=0,O330=0),"",(O330-N330)/((O330+N330)/2))</x:f>
        <x:v>0.003809523809523786</x:v>
      </x:c>
      <x:c r="Q330" s="34" t="n">
        <x:v>0.02648542</x:v>
      </x:c>
      <x:c r="R330" s="34" t="n">
        <x:v>0.0269</x:v>
      </x:c>
      <x:c r="S330" s="34" t="n">
        <x:v>0.0262</x:v>
      </x:c>
      <x:c r="T330" s="32" t="n">
        <x:v>46236.01232050926</x:v>
      </x:c>
      <x:c r="U330" s="32" t="n">
        <x:v>46237.01232050926</x:v>
      </x:c>
      <x:c r="V330" s="34" t="n">
        <x:v>5</x:v>
      </x:c>
      <x:c r="W330" s="34" t="n">
        <x:v>0.1</x:v>
      </x:c>
      <x:c r="X330" s="34" t="n">
        <x:v>0.1</x:v>
      </x:c>
      <x:c r="Y330" s="34" t="n">
        <x:v>0.0001</x:v>
      </x:c>
      <x:c r="Z330" s="30" t="str">
        <x:f>IF(AND(D330="TRADING",I330&lt;&gt;"",L330&lt;&gt;"",M330&lt;&gt;"",N330&lt;&gt;"",O330&lt;&gt;""),"Yes","No")</x:f>
        <x:v>Yes</x:v>
      </x:c>
      <x:c r="AA330" s="39" t="str">
        <x:v>https://developers.binance.com/en/docs/catalog/core-trading-spot-trading/api/rest-api</x:v>
      </x:c>
    </x:row>
    <x:row r="331">
      <x:c r="A331" s="30" t="str">
        <x:v>KAITOUSDT</x:v>
      </x:c>
      <x:c r="B331" s="30" t="str">
        <x:v>KAITO</x:v>
      </x:c>
      <x:c r="C331" s="30" t="str">
        <x:v>USDT</x:v>
      </x:c>
      <x:c r="D331" s="30" t="str">
        <x:v>TRADING</x:v>
      </x:c>
      <x:c r="E331" s="31" t="b">
        <x:v>1</x:v>
      </x:c>
      <x:c r="F331" s="32" t="n">
        <x:v>45708</x:v>
      </x:c>
      <x:c r="G331" s="32" t="n">
        <x:v>45708.999999988424</x:v>
      </x:c>
      <x:c r="H331" s="33" t="n">
        <x:f>IF(F331="","",('Summary'!$B$5-F331)/365.25)</x:f>
        <x:v>1.4483572657616564</x:v>
      </x:c>
      <x:c r="I331" s="34" t="n">
        <x:v>0.9802</x:v>
      </x:c>
      <x:c r="J331" s="35" t="n">
        <x:v>-0.19111999999999998</x:v>
      </x:c>
      <x:c r="K331" s="36" t="n">
        <x:v>10300512.6</x:v>
      </x:c>
      <x:c r="L331" s="36" t="n">
        <x:v>11293605.5759</x:v>
      </x:c>
      <x:c r="M331" s="37" t="n">
        <x:v>393674</x:v>
      </x:c>
      <x:c r="N331" s="34" t="n">
        <x:v>0.9801</x:v>
      </x:c>
      <x:c r="O331" s="34" t="n">
        <x:v>0.9802</x:v>
      </x:c>
      <x:c r="P331" s="38" t="n">
        <x:f>IF(OR(N331="",O331="",N331=0,O331=0),"",(O331-N331)/((O331+N331)/2))</x:f>
        <x:v>0.0001020252002244442</x:v>
      </x:c>
      <x:c r="Q331" s="34" t="n">
        <x:v>1.096412</x:v>
      </x:c>
      <x:c r="R331" s="34" t="n">
        <x:v>1.2234</x:v>
      </x:c>
      <x:c r="S331" s="34" t="n">
        <x:v>0.9794</x:v>
      </x:c>
      <x:c r="T331" s="32" t="n">
        <x:v>46236.012476041666</x:v>
      </x:c>
      <x:c r="U331" s="32" t="n">
        <x:v>46237.012476041666</x:v>
      </x:c>
      <x:c r="V331" s="34" t="n">
        <x:v>5</x:v>
      </x:c>
      <x:c r="W331" s="34" t="n">
        <x:v>0.1</x:v>
      </x:c>
      <x:c r="X331" s="34" t="n">
        <x:v>0.1</x:v>
      </x:c>
      <x:c r="Y331" s="34" t="n">
        <x:v>0.0001</x:v>
      </x:c>
      <x:c r="Z331" s="30" t="str">
        <x:f>IF(AND(D331="TRADING",I331&lt;&gt;"",L331&lt;&gt;"",M331&lt;&gt;"",N331&lt;&gt;"",O331&lt;&gt;""),"Yes","No")</x:f>
        <x:v>Yes</x:v>
      </x:c>
      <x:c r="AA331" s="39" t="str">
        <x:v>https://developers.binance.com/en/docs/catalog/core-trading-spot-trading/api/rest-api</x:v>
      </x:c>
    </x:row>
    <x:row r="332">
      <x:c r="A332" s="30" t="str">
        <x:v>KATUSDT</x:v>
      </x:c>
      <x:c r="B332" s="30" t="str">
        <x:v>KAT</x:v>
      </x:c>
      <x:c r="C332" s="30" t="str">
        <x:v>USDT</x:v>
      </x:c>
      <x:c r="D332" s="30" t="str">
        <x:v>TRADING</x:v>
      </x:c>
      <x:c r="E332" s="31" t="b">
        <x:v>1</x:v>
      </x:c>
      <x:c r="F332" s="32" t="n">
        <x:v>46099</x:v>
      </x:c>
      <x:c r="G332" s="32" t="n">
        <x:v>46099.999999988424</x:v>
      </x:c>
      <x:c r="H332" s="33" t="n">
        <x:f>IF(F332="","",('Summary'!$B$5-F332)/365.25)</x:f>
        <x:v>0.37785760799300466</x:v>
      </x:c>
      <x:c r="I332" s="34" t="n">
        <x:v>0.00432</x:v>
      </x:c>
      <x:c r="J332" s="35" t="n">
        <x:v>0</x:v>
      </x:c>
      <x:c r="K332" s="36" t="n">
        <x:v>31630687</x:v>
      </x:c>
      <x:c r="L332" s="36" t="n">
        <x:v>136854.82576</x:v>
      </x:c>
      <x:c r="M332" s="37" t="n">
        <x:v>1349</x:v>
      </x:c>
      <x:c r="N332" s="34" t="n">
        <x:v>0.00431</x:v>
      </x:c>
      <x:c r="O332" s="34" t="n">
        <x:v>0.00432</x:v>
      </x:c>
      <x:c r="P332" s="38" t="n">
        <x:f>IF(OR(N332="",O332="",N332=0,O332=0),"",(O332-N332)/((O332+N332)/2))</x:f>
        <x:v>0.002317497103128728</x:v>
      </x:c>
      <x:c r="Q332" s="34" t="n">
        <x:v>0.00432665</x:v>
      </x:c>
      <x:c r="R332" s="34" t="n">
        <x:v>0.00436</x:v>
      </x:c>
      <x:c r="S332" s="34" t="n">
        <x:v>0.00429</x:v>
      </x:c>
      <x:c r="T332" s="32" t="n">
        <x:v>46236.012017291665</x:v>
      </x:c>
      <x:c r="U332" s="32" t="n">
        <x:v>46237.012017291665</x:v>
      </x:c>
      <x:c r="V332" s="34" t="n">
        <x:v>5</x:v>
      </x:c>
      <x:c r="W332" s="34" t="n">
        <x:v>1</x:v>
      </x:c>
      <x:c r="X332" s="34" t="n">
        <x:v>1</x:v>
      </x:c>
      <x:c r="Y332" s="34" t="n">
        <x:v>0.00001</x:v>
      </x:c>
      <x:c r="Z332" s="30" t="str">
        <x:f>IF(AND(D332="TRADING",I332&lt;&gt;"",L332&lt;&gt;"",M332&lt;&gt;"",N332&lt;&gt;"",O332&lt;&gt;""),"Yes","No")</x:f>
        <x:v>Yes</x:v>
      </x:c>
      <x:c r="AA332" s="39" t="str">
        <x:v>https://developers.binance.com/en/docs/catalog/core-trading-spot-trading/api/rest-api</x:v>
      </x:c>
    </x:row>
    <x:row r="333">
      <x:c r="A333" s="30" t="str">
        <x:v>KAVAUSDT</x:v>
      </x:c>
      <x:c r="B333" s="30" t="str">
        <x:v>KAVA</x:v>
      </x:c>
      <x:c r="C333" s="30" t="str">
        <x:v>USDT</x:v>
      </x:c>
      <x:c r="D333" s="30" t="str">
        <x:v>TRADING</x:v>
      </x:c>
      <x:c r="E333" s="31" t="b">
        <x:v>1</x:v>
      </x:c>
      <x:c r="F333" s="32" t="n">
        <x:v>43763</x:v>
      </x:c>
      <x:c r="G333" s="32" t="n">
        <x:v>43763.999999988424</x:v>
      </x:c>
      <x:c r="H333" s="33" t="n">
        <x:f>IF(F333="","",('Summary'!$B$5-F333)/365.25)</x:f>
        <x:v>6.773477046733594</x:v>
      </x:c>
      <x:c r="I333" s="34" t="n">
        <x:v>0.04087</x:v>
      </x:c>
      <x:c r="J333" s="35" t="n">
        <x:v>-0.00293</x:v>
      </x:c>
      <x:c r="K333" s="36" t="n">
        <x:v>3829998.8</x:v>
      </x:c>
      <x:c r="L333" s="36" t="n">
        <x:v>156652.498265</x:v>
      </x:c>
      <x:c r="M333" s="37" t="n">
        <x:v>2967</x:v>
      </x:c>
      <x:c r="N333" s="34" t="n">
        <x:v>0.04084</x:v>
      </x:c>
      <x:c r="O333" s="34" t="n">
        <x:v>0.04086</x:v>
      </x:c>
      <x:c r="P333" s="38" t="n">
        <x:f>IF(OR(N333="",O333="",N333=0,O333=0),"",(O333-N333)/((O333+N333)/2))</x:f>
        <x:v>0.0004895960832313142</x:v>
      </x:c>
      <x:c r="Q333" s="34" t="n">
        <x:v>0.04090145</x:v>
      </x:c>
      <x:c r="R333" s="34" t="n">
        <x:v>0.04127</x:v>
      </x:c>
      <x:c r="S333" s="34" t="n">
        <x:v>0.04067</x:v>
      </x:c>
      <x:c r="T333" s="32" t="n">
        <x:v>46236.01247878472</x:v>
      </x:c>
      <x:c r="U333" s="32" t="n">
        <x:v>46237.01247878472</x:v>
      </x:c>
      <x:c r="V333" s="34" t="n">
        <x:v>5</x:v>
      </x:c>
      <x:c r="W333" s="34" t="n">
        <x:v>0.1</x:v>
      </x:c>
      <x:c r="X333" s="34" t="n">
        <x:v>0.1</x:v>
      </x:c>
      <x:c r="Y333" s="34" t="n">
        <x:v>0.00001</x:v>
      </x:c>
      <x:c r="Z333" s="30" t="str">
        <x:f>IF(AND(D333="TRADING",I333&lt;&gt;"",L333&lt;&gt;"",M333&lt;&gt;"",N333&lt;&gt;"",O333&lt;&gt;""),"Yes","No")</x:f>
        <x:v>Yes</x:v>
      </x:c>
      <x:c r="AA333" s="39" t="str">
        <x:v>https://developers.binance.com/en/docs/catalog/core-trading-spot-trading/api/rest-api</x:v>
      </x:c>
    </x:row>
    <x:row r="334">
      <x:c r="A334" s="30" t="str">
        <x:v>KDAUSDT</x:v>
      </x:c>
      <x:c r="B334" s="30" t="str">
        <x:v>KDA</x:v>
      </x:c>
      <x:c r="C334" s="30" t="str">
        <x:v>USDT</x:v>
      </x:c>
      <x:c r="D334" s="30" t="str">
        <x:v>BREAK</x:v>
      </x:c>
      <x:c r="E334" s="31" t="b">
        <x:v>1</x:v>
      </x:c>
      <x:c r="F334" s="32" t="n">
        <x:v>44631</x:v>
      </x:c>
      <x:c r="G334" s="32" t="n">
        <x:v>44631.999999988424</x:v>
      </x:c>
      <x:c r="H334" s="33" t="n">
        <x:f>IF(F334="","",('Summary'!$B$5-F334)/365.25)</x:f>
        <x:v>4.397022563502929</x:v>
      </x:c>
      <x:c r="I334" s="34" t="n">
        <x:v>0.006</x:v>
      </x:c>
      <x:c r="J334" s="35" t="n">
        <x:v>0.17647</x:v>
      </x:c>
      <x:c r="K334" s="36" t="n">
        <x:v>60759603.02</x:v>
      </x:c>
      <x:c r="L334" s="36" t="n">
        <x:v>343775.052416</x:v>
      </x:c>
      <x:c r="M334" s="37" t="n">
        <x:v>4001</x:v>
      </x:c>
      <x:c r="N334" s="34" t="n">
        <x:v>0</x:v>
      </x:c>
      <x:c r="O334" s="34" t="n">
        <x:v>0</x:v>
      </x:c>
      <x:c r="P334" s="38" t="str">
        <x:f>IF(OR(N334="",O334="",N334=0,O334=0),"",(O334-N334)/((O334+N334)/2))</x:f>
      </x:c>
      <x:c r="Q334" s="34" t="n">
        <x:v>0.00565795</x:v>
      </x:c>
      <x:c r="R334" s="34" t="n">
        <x:v>0.0072</x:v>
      </x:c>
      <x:c r="S334" s="34" t="n">
        <x:v>0.0048</x:v>
      </x:c>
      <x:c r="T334" s="32" t="n">
        <x:v>46209.26112309028</x:v>
      </x:c>
      <x:c r="U334" s="32" t="n">
        <x:v>46210.26112309028</x:v>
      </x:c>
      <x:c r="V334" s="34" t="n">
        <x:v>5</x:v>
      </x:c>
      <x:c r="W334" s="34" t="n">
        <x:v>0.01</x:v>
      </x:c>
      <x:c r="X334" s="34" t="n">
        <x:v>0.01</x:v>
      </x:c>
      <x:c r="Y334" s="34" t="n">
        <x:v>0.0001</x:v>
      </x:c>
      <x:c r="Z334" s="30" t="str">
        <x:f>IF(AND(D334="TRADING",I334&lt;&gt;"",L334&lt;&gt;"",M334&lt;&gt;"",N334&lt;&gt;"",O334&lt;&gt;""),"Yes","No")</x:f>
        <x:v>No</x:v>
      </x:c>
      <x:c r="AA334" s="39" t="str">
        <x:v>https://developers.binance.com/en/docs/catalog/core-trading-spot-trading/api/rest-api</x:v>
      </x:c>
    </x:row>
    <x:row r="335">
      <x:c r="A335" s="30" t="str">
        <x:v>KEEPUSDT</x:v>
      </x:c>
      <x:c r="B335" s="30" t="str">
        <x:v>KEEP</x:v>
      </x:c>
      <x:c r="C335" s="30" t="str">
        <x:v>USDT</x:v>
      </x:c>
      <x:c r="D335" s="30" t="str">
        <x:v>BREAK</x:v>
      </x:c>
      <x:c r="E335" s="31" t="b">
        <x:v>1</x:v>
      </x:c>
      <x:c r="F335" s="32" t="n">
        <x:v>44364</x:v>
      </x:c>
      <x:c r="G335" s="32" t="n">
        <x:v>44364.999999988424</x:v>
      </x:c>
      <x:c r="H335" s="33" t="n">
        <x:f>IF(F335="","",('Summary'!$B$5-F335)/365.25)</x:f>
        <x:v>5.1280287236672</x:v>
      </x:c>
      <x:c r="I335" s="34" t="n">
        <x:v>0</x:v>
      </x:c>
      <x:c r="J335" s="35" t="n">
        <x:v>0</x:v>
      </x:c>
      <x:c r="K335" s="36" t="n">
        <x:v>0</x:v>
      </x:c>
      <x:c r="L335" s="36" t="n">
        <x:v>0</x:v>
      </x:c>
      <x:c r="M335" s="37" t="n">
        <x:v>0</x:v>
      </x:c>
      <x:c r="N335" s="34" t="n">
        <x:v>0</x:v>
      </x:c>
      <x:c r="O335" s="34" t="n">
        <x:v>0</x:v>
      </x:c>
      <x:c r="P335" s="38" t="str">
        <x:f>IF(OR(N335="",O335="",N335=0,O335=0),"",(O335-N335)/((O335+N335)/2))</x:f>
      </x:c>
      <x:c r="Q335" s="34" t="n">
        <x:v>0</x:v>
      </x:c>
      <x:c r="R335" s="34" t="n">
        <x:v>0</x:v>
      </x:c>
      <x:c r="S335" s="34" t="n">
        <x:v>0</x:v>
      </x:c>
      <x:c r="T335" s="32" t="n">
        <x:v>46209.26112309028</x:v>
      </x:c>
      <x:c r="U335" s="32" t="n">
        <x:v>46210.26112309028</x:v>
      </x:c>
      <x:c r="V335" s="34" t="n">
        <x:v>10</x:v>
      </x:c>
      <x:c r="W335" s="34" t="n">
        <x:v>1</x:v>
      </x:c>
      <x:c r="X335" s="34" t="n">
        <x:v>1</x:v>
      </x:c>
      <x:c r="Y335" s="34" t="n">
        <x:v>0.0001</x:v>
      </x:c>
      <x:c r="Z335" s="30" t="str">
        <x:f>IF(AND(D335="TRADING",I335&lt;&gt;"",L335&lt;&gt;"",M335&lt;&gt;"",N335&lt;&gt;"",O335&lt;&gt;""),"Yes","No")</x:f>
        <x:v>No</x:v>
      </x:c>
      <x:c r="AA335" s="39" t="str">
        <x:v>https://developers.binance.com/en/docs/catalog/core-trading-spot-trading/api/rest-api</x:v>
      </x:c>
    </x:row>
    <x:row r="336">
      <x:c r="A336" s="30" t="str">
        <x:v>KERNELUSDT</x:v>
      </x:c>
      <x:c r="B336" s="30" t="str">
        <x:v>KERNEL</x:v>
      </x:c>
      <x:c r="C336" s="30" t="str">
        <x:v>USDT</x:v>
      </x:c>
      <x:c r="D336" s="30" t="str">
        <x:v>TRADING</x:v>
      </x:c>
      <x:c r="E336" s="31" t="b">
        <x:v>1</x:v>
      </x:c>
      <x:c r="F336" s="32" t="n">
        <x:v>45761</x:v>
      </x:c>
      <x:c r="G336" s="32" t="n">
        <x:v>45761.999999988424</x:v>
      </x:c>
      <x:c r="H336" s="33" t="n">
        <x:f>IF(F336="","",('Summary'!$B$5-F336)/365.25)</x:f>
        <x:v>1.303251174043655</x:v>
      </x:c>
      <x:c r="I336" s="34" t="n">
        <x:v>0.0316</x:v>
      </x:c>
      <x:c r="J336" s="35" t="n">
        <x:v>-0.051050000000000005</x:v>
      </x:c>
      <x:c r="K336" s="36" t="n">
        <x:v>11728871.5</x:v>
      </x:c>
      <x:c r="L336" s="36" t="n">
        <x:v>383500.93808</x:v>
      </x:c>
      <x:c r="M336" s="37" t="n">
        <x:v>5398</x:v>
      </x:c>
      <x:c r="N336" s="34" t="n">
        <x:v>0.0316</x:v>
      </x:c>
      <x:c r="O336" s="34" t="n">
        <x:v>0.0317</x:v>
      </x:c>
      <x:c r="P336" s="38" t="n">
        <x:f>IF(OR(N336="",O336="",N336=0,O336=0),"",(O336-N336)/((O336+N336)/2))</x:f>
        <x:v>0.0031595576619272018</x:v>
      </x:c>
      <x:c r="Q336" s="34" t="n">
        <x:v>0.03269717</x:v>
      </x:c>
      <x:c r="R336" s="34" t="n">
        <x:v>0.0338</x:v>
      </x:c>
      <x:c r="S336" s="34" t="n">
        <x:v>0.0315</x:v>
      </x:c>
      <x:c r="T336" s="32" t="n">
        <x:v>46236.01246050926</x:v>
      </x:c>
      <x:c r="U336" s="32" t="n">
        <x:v>46237.01246050926</x:v>
      </x:c>
      <x:c r="V336" s="34" t="n">
        <x:v>5</x:v>
      </x:c>
      <x:c r="W336" s="34" t="n">
        <x:v>0.1</x:v>
      </x:c>
      <x:c r="X336" s="34" t="n">
        <x:v>0.1</x:v>
      </x:c>
      <x:c r="Y336" s="34" t="n">
        <x:v>0.0001</x:v>
      </x:c>
      <x:c r="Z336" s="30" t="str">
        <x:f>IF(AND(D336="TRADING",I336&lt;&gt;"",L336&lt;&gt;"",M336&lt;&gt;"",N336&lt;&gt;"",O336&lt;&gt;""),"Yes","No")</x:f>
        <x:v>Yes</x:v>
      </x:c>
      <x:c r="AA336" s="39" t="str">
        <x:v>https://developers.binance.com/en/docs/catalog/core-trading-spot-trading/api/rest-api</x:v>
      </x:c>
    </x:row>
    <x:row r="337">
      <x:c r="A337" s="30" t="str">
        <x:v>KEYUSDT</x:v>
      </x:c>
      <x:c r="B337" s="30" t="str">
        <x:v>KEY</x:v>
      </x:c>
      <x:c r="C337" s="30" t="str">
        <x:v>USDT</x:v>
      </x:c>
      <x:c r="D337" s="30" t="str">
        <x:v>BREAK</x:v>
      </x:c>
      <x:c r="E337" s="31" t="b">
        <x:v>1</x:v>
      </x:c>
      <x:c r="F337" s="32" t="n">
        <x:v>43704</x:v>
      </x:c>
      <x:c r="G337" s="32" t="n">
        <x:v>43704.999999988424</x:v>
      </x:c>
      <x:c r="H337" s="33" t="n">
        <x:f>IF(F337="","",('Summary'!$B$5-F337)/365.25)</x:f>
        <x:v>6.935010243174387</x:v>
      </x:c>
      <x:c r="I337" s="34" t="n">
        <x:v>0.001253</x:v>
      </x:c>
      <x:c r="J337" s="35" t="n">
        <x:v>-0.03019</x:v>
      </x:c>
      <x:c r="K337" s="36" t="n">
        <x:v>97136470</x:v>
      </x:c>
      <x:c r="L337" s="36" t="n">
        <x:v>119194.804217</x:v>
      </x:c>
      <x:c r="M337" s="37" t="n">
        <x:v>4001</x:v>
      </x:c>
      <x:c r="N337" s="34" t="n">
        <x:v>0</x:v>
      </x:c>
      <x:c r="O337" s="34" t="n">
        <x:v>0</x:v>
      </x:c>
      <x:c r="P337" s="38" t="str">
        <x:f>IF(OR(N337="",O337="",N337=0,O337=0),"",(O337-N337)/((O337+N337)/2))</x:f>
      </x:c>
      <x:c r="Q337" s="34" t="n">
        <x:v>0.00122709</x:v>
      </x:c>
      <x:c r="R337" s="34" t="n">
        <x:v>0.001389</x:v>
      </x:c>
      <x:c r="S337" s="34" t="n">
        <x:v>0.001053</x:v>
      </x:c>
      <x:c r="T337" s="32" t="n">
        <x:v>46209.26112309028</x:v>
      </x:c>
      <x:c r="U337" s="32" t="n">
        <x:v>46210.26112309028</x:v>
      </x:c>
      <x:c r="V337" s="34" t="n">
        <x:v>5</x:v>
      </x:c>
      <x:c r="W337" s="34" t="n">
        <x:v>1</x:v>
      </x:c>
      <x:c r="X337" s="34" t="n">
        <x:v>1</x:v>
      </x:c>
      <x:c r="Y337" s="34" t="n">
        <x:v>0.000001</x:v>
      </x:c>
      <x:c r="Z337" s="30" t="str">
        <x:f>IF(AND(D337="TRADING",I337&lt;&gt;"",L337&lt;&gt;"",M337&lt;&gt;"",N337&lt;&gt;"",O337&lt;&gt;""),"Yes","No")</x:f>
        <x:v>No</x:v>
      </x:c>
      <x:c r="AA337" s="39" t="str">
        <x:v>https://developers.binance.com/en/docs/catalog/core-trading-spot-trading/api/rest-api</x:v>
      </x:c>
    </x:row>
    <x:row r="338">
      <x:c r="A338" s="30" t="str">
        <x:v>KGSTUSDT</x:v>
      </x:c>
      <x:c r="B338" s="30" t="str">
        <x:v>KGST</x:v>
      </x:c>
      <x:c r="C338" s="30" t="str">
        <x:v>USDT</x:v>
      </x:c>
      <x:c r="D338" s="30" t="str">
        <x:v>TRADING</x:v>
      </x:c>
      <x:c r="E338" s="31" t="b">
        <x:v>1</x:v>
      </x:c>
      <x:c r="F338" s="32" t="n">
        <x:v>46015</x:v>
      </x:c>
      <x:c r="G338" s="32" t="n">
        <x:v>46015.999999988424</x:v>
      </x:c>
      <x:c r="H338" s="33" t="n">
        <x:f>IF(F338="","",('Summary'!$B$5-F338)/365.25)</x:f>
        <x:v>0.6078370741121012</x:v>
      </x:c>
      <x:c r="I338" s="34" t="n">
        <x:v>0.011444</x:v>
      </x:c>
      <x:c r="J338" s="35" t="n">
        <x:v>-0.00008999999999999999</x:v>
      </x:c>
      <x:c r="K338" s="36" t="n">
        <x:v>10275403</x:v>
      </x:c>
      <x:c r="L338" s="36" t="n">
        <x:v>117597.343725</x:v>
      </x:c>
      <x:c r="M338" s="37" t="n">
        <x:v>2939</x:v>
      </x:c>
      <x:c r="N338" s="34" t="n">
        <x:v>0.011444</x:v>
      </x:c>
      <x:c r="O338" s="34" t="n">
        <x:v>0.011446</x:v>
      </x:c>
      <x:c r="P338" s="38" t="n">
        <x:f>IF(OR(N338="",O338="",N338=0,O338=0),"",(O338-N338)/((O338+N338)/2))</x:f>
        <x:v>0.0001747487986020328</x:v>
      </x:c>
      <x:c r="Q338" s="34" t="n">
        <x:v>0.01144455</x:v>
      </x:c>
      <x:c r="R338" s="34" t="n">
        <x:v>0.011446</x:v>
      </x:c>
      <x:c r="S338" s="34" t="n">
        <x:v>0.011443</x:v>
      </x:c>
      <x:c r="T338" s="32" t="n">
        <x:v>46236.00466128472</x:v>
      </x:c>
      <x:c r="U338" s="32" t="n">
        <x:v>46237.00466128472</x:v>
      </x:c>
      <x:c r="V338" s="34" t="n">
        <x:v>5</x:v>
      </x:c>
      <x:c r="W338" s="34" t="n">
        <x:v>1</x:v>
      </x:c>
      <x:c r="X338" s="34" t="n">
        <x:v>1</x:v>
      </x:c>
      <x:c r="Y338" s="34" t="n">
        <x:v>0.000001</x:v>
      </x:c>
      <x:c r="Z338" s="30" t="str">
        <x:f>IF(AND(D338="TRADING",I338&lt;&gt;"",L338&lt;&gt;"",M338&lt;&gt;"",N338&lt;&gt;"",O338&lt;&gt;""),"Yes","No")</x:f>
        <x:v>Yes</x:v>
      </x:c>
      <x:c r="AA338" s="39" t="str">
        <x:v>https://developers.binance.com/en/docs/catalog/core-trading-spot-trading/api/rest-api</x:v>
      </x:c>
    </x:row>
    <x:row r="339">
      <x:c r="A339" s="30" t="str">
        <x:v>KITEUSDT</x:v>
      </x:c>
      <x:c r="B339" s="30" t="str">
        <x:v>KITE</x:v>
      </x:c>
      <x:c r="C339" s="30" t="str">
        <x:v>USDT</x:v>
      </x:c>
      <x:c r="D339" s="30" t="str">
        <x:v>TRADING</x:v>
      </x:c>
      <x:c r="E339" s="31" t="b">
        <x:v>1</x:v>
      </x:c>
      <x:c r="F339" s="32" t="n">
        <x:v>45964</x:v>
      </x:c>
      <x:c r="G339" s="32" t="n">
        <x:v>45964.999999988424</x:v>
      </x:c>
      <x:c r="H339" s="33" t="n">
        <x:f>IF(F339="","",('Summary'!$B$5-F339)/365.25)</x:f>
        <x:v>0.7474674642558383</x:v>
      </x:c>
      <x:c r="I339" s="34" t="n">
        <x:v>0.0933</x:v>
      </x:c>
      <x:c r="J339" s="35" t="n">
        <x:v>-0.01478</x:v>
      </x:c>
      <x:c r="K339" s="36" t="n">
        <x:v>16179310.1</x:v>
      </x:c>
      <x:c r="L339" s="36" t="n">
        <x:v>1526839.37135</x:v>
      </x:c>
      <x:c r="M339" s="37" t="n">
        <x:v>30852</x:v>
      </x:c>
      <x:c r="N339" s="34" t="n">
        <x:v>0.0933</x:v>
      </x:c>
      <x:c r="O339" s="34" t="n">
        <x:v>0.0934</x:v>
      </x:c>
      <x:c r="P339" s="38" t="n">
        <x:f>IF(OR(N339="",O339="",N339=0,O339=0),"",(O339-N339)/((O339+N339)/2))</x:f>
        <x:v>0.001071237279057342</x:v>
      </x:c>
      <x:c r="Q339" s="34" t="n">
        <x:v>0.09436987</x:v>
      </x:c>
      <x:c r="R339" s="34" t="n">
        <x:v>0.0963</x:v>
      </x:c>
      <x:c r="S339" s="34" t="n">
        <x:v>0.0928</x:v>
      </x:c>
      <x:c r="T339" s="32" t="n">
        <x:v>46236.012421631945</x:v>
      </x:c>
      <x:c r="U339" s="32" t="n">
        <x:v>46237.012421631945</x:v>
      </x:c>
      <x:c r="V339" s="34" t="n">
        <x:v>5</x:v>
      </x:c>
      <x:c r="W339" s="34" t="n">
        <x:v>0.1</x:v>
      </x:c>
      <x:c r="X339" s="34" t="n">
        <x:v>0.1</x:v>
      </x:c>
      <x:c r="Y339" s="34" t="n">
        <x:v>0.0001</x:v>
      </x:c>
      <x:c r="Z339" s="30" t="str">
        <x:f>IF(AND(D339="TRADING",I339&lt;&gt;"",L339&lt;&gt;"",M339&lt;&gt;"",N339&lt;&gt;"",O339&lt;&gt;""),"Yes","No")</x:f>
        <x:v>Yes</x:v>
      </x:c>
      <x:c r="AA339" s="39" t="str">
        <x:v>https://developers.binance.com/en/docs/catalog/core-trading-spot-trading/api/rest-api</x:v>
      </x:c>
    </x:row>
    <x:row r="340">
      <x:c r="A340" s="30" t="str">
        <x:v>KLAYUSDT</x:v>
      </x:c>
      <x:c r="B340" s="30" t="str">
        <x:v>KLAY</x:v>
      </x:c>
      <x:c r="C340" s="30" t="str">
        <x:v>USDT</x:v>
      </x:c>
      <x:c r="D340" s="30" t="str">
        <x:v>BREAK</x:v>
      </x:c>
      <x:c r="E340" s="31" t="b">
        <x:v>1</x:v>
      </x:c>
      <x:c r="F340" s="32" t="n">
        <x:v>44371</x:v>
      </x:c>
      <x:c r="G340" s="32" t="n">
        <x:v>44371.999999988424</x:v>
      </x:c>
      <x:c r="H340" s="33" t="n">
        <x:f>IF(F340="","",('Summary'!$B$5-F340)/365.25)</x:f>
        <x:v>5.108863768157276</x:v>
      </x:c>
      <x:c r="I340" s="34" t="n">
        <x:v>0.1255</x:v>
      </x:c>
      <x:c r="J340" s="35" t="n">
        <x:v>0.009649999999999999</x:v>
      </x:c>
      <x:c r="K340" s="36" t="n">
        <x:v>6918382.8</x:v>
      </x:c>
      <x:c r="L340" s="36" t="n">
        <x:v>865849.95174</x:v>
      </x:c>
      <x:c r="M340" s="37" t="n">
        <x:v>4001</x:v>
      </x:c>
      <x:c r="N340" s="34" t="n">
        <x:v>0</x:v>
      </x:c>
      <x:c r="O340" s="34" t="n">
        <x:v>0</x:v>
      </x:c>
      <x:c r="P340" s="38" t="str">
        <x:f>IF(OR(N340="",O340="",N340=0,O340=0),"",(O340-N340)/((O340+N340)/2))</x:f>
      </x:c>
      <x:c r="Q340" s="34" t="n">
        <x:v>0.12515207</x:v>
      </x:c>
      <x:c r="R340" s="34" t="n">
        <x:v>0.126</x:v>
      </x:c>
      <x:c r="S340" s="34" t="n">
        <x:v>0.1242</x:v>
      </x:c>
      <x:c r="T340" s="32" t="n">
        <x:v>46209.26112309028</x:v>
      </x:c>
      <x:c r="U340" s="32" t="n">
        <x:v>46210.26112309028</x:v>
      </x:c>
      <x:c r="V340" s="34" t="n">
        <x:v>5</x:v>
      </x:c>
      <x:c r="W340" s="34" t="n">
        <x:v>0.1</x:v>
      </x:c>
      <x:c r="X340" s="34" t="n">
        <x:v>0.1</x:v>
      </x:c>
      <x:c r="Y340" s="34" t="n">
        <x:v>0.0001</x:v>
      </x:c>
      <x:c r="Z340" s="30" t="str">
        <x:f>IF(AND(D340="TRADING",I340&lt;&gt;"",L340&lt;&gt;"",M340&lt;&gt;"",N340&lt;&gt;"",O340&lt;&gt;""),"Yes","No")</x:f>
        <x:v>No</x:v>
      </x:c>
      <x:c r="AA340" s="39" t="str">
        <x:v>https://developers.binance.com/en/docs/catalog/core-trading-spot-trading/api/rest-api</x:v>
      </x:c>
    </x:row>
    <x:row r="341">
      <x:c r="A341" s="30" t="str">
        <x:v>KMDUSDT</x:v>
      </x:c>
      <x:c r="B341" s="30" t="str">
        <x:v>KMD</x:v>
      </x:c>
      <x:c r="C341" s="30" t="str">
        <x:v>USDT</x:v>
      </x:c>
      <x:c r="D341" s="30" t="str">
        <x:v>BREAK</x:v>
      </x:c>
      <x:c r="E341" s="31" t="b">
        <x:v>1</x:v>
      </x:c>
      <x:c r="F341" s="32" t="n">
        <x:v>44054</x:v>
      </x:c>
      <x:c r="G341" s="32" t="n">
        <x:v>44054.999999988424</x:v>
      </x:c>
      <x:c r="H341" s="33" t="n">
        <x:f>IF(F341="","",('Summary'!$B$5-F341)/365.25)</x:f>
        <x:v>5.976762467678152</x:v>
      </x:c>
      <x:c r="I341" s="34" t="n">
        <x:v>0.0163</x:v>
      </x:c>
      <x:c r="J341" s="35" t="n">
        <x:v>0.01875</x:v>
      </x:c>
      <x:c r="K341" s="36" t="n">
        <x:v>12791695</x:v>
      </x:c>
      <x:c r="L341" s="36" t="n">
        <x:v>215280.2414</x:v>
      </x:c>
      <x:c r="M341" s="37" t="n">
        <x:v>4001</x:v>
      </x:c>
      <x:c r="N341" s="34" t="n">
        <x:v>0</x:v>
      </x:c>
      <x:c r="O341" s="34" t="n">
        <x:v>0</x:v>
      </x:c>
      <x:c r="P341" s="38" t="str">
        <x:f>IF(OR(N341="",O341="",N341=0,O341=0),"",(O341-N341)/((O341+N341)/2))</x:f>
      </x:c>
      <x:c r="Q341" s="34" t="n">
        <x:v>0.01682969</x:v>
      </x:c>
      <x:c r="R341" s="34" t="n">
        <x:v>0.0205</x:v>
      </x:c>
      <x:c r="S341" s="34" t="n">
        <x:v>0.015</x:v>
      </x:c>
      <x:c r="T341" s="32" t="n">
        <x:v>46209.26112309028</x:v>
      </x:c>
      <x:c r="U341" s="32" t="n">
        <x:v>46210.26112309028</x:v>
      </x:c>
      <x:c r="V341" s="34" t="n">
        <x:v>5</x:v>
      </x:c>
      <x:c r="W341" s="34" t="n">
        <x:v>1</x:v>
      </x:c>
      <x:c r="X341" s="34" t="n">
        <x:v>1</x:v>
      </x:c>
      <x:c r="Y341" s="34" t="n">
        <x:v>0.0001</x:v>
      </x:c>
      <x:c r="Z341" s="30" t="str">
        <x:f>IF(AND(D341="TRADING",I341&lt;&gt;"",L341&lt;&gt;"",M341&lt;&gt;"",N341&lt;&gt;"",O341&lt;&gt;""),"Yes","No")</x:f>
        <x:v>No</x:v>
      </x:c>
      <x:c r="AA341" s="39" t="str">
        <x:v>https://developers.binance.com/en/docs/catalog/core-trading-spot-trading/api/rest-api</x:v>
      </x:c>
    </x:row>
    <x:row r="342">
      <x:c r="A342" s="30" t="str">
        <x:v>KMNOUSDT</x:v>
      </x:c>
      <x:c r="B342" s="30" t="str">
        <x:v>KMNO</x:v>
      </x:c>
      <x:c r="C342" s="30" t="str">
        <x:v>USDT</x:v>
      </x:c>
      <x:c r="D342" s="30" t="str">
        <x:v>TRADING</x:v>
      </x:c>
      <x:c r="E342" s="31" t="b">
        <x:v>1</x:v>
      </x:c>
      <x:c r="F342" s="32" t="n">
        <x:v>45783</x:v>
      </x:c>
      <x:c r="G342" s="32" t="n">
        <x:v>45783.999999988424</x:v>
      </x:c>
      <x:c r="H342" s="33" t="n">
        <x:f>IF(F342="","",('Summary'!$B$5-F342)/365.25)</x:f>
        <x:v>1.2430184567267486</x:v>
      </x:c>
      <x:c r="I342" s="34" t="n">
        <x:v>0.01805</x:v>
      </x:c>
      <x:c r="J342" s="35" t="n">
        <x:v>-0.01312</x:v>
      </x:c>
      <x:c r="K342" s="36" t="n">
        <x:v>6925565</x:v>
      </x:c>
      <x:c r="L342" s="36" t="n">
        <x:v>125403.2411</x:v>
      </x:c>
      <x:c r="M342" s="37" t="n">
        <x:v>2712</x:v>
      </x:c>
      <x:c r="N342" s="34" t="n">
        <x:v>0.01804</x:v>
      </x:c>
      <x:c r="O342" s="34" t="n">
        <x:v>0.01805</x:v>
      </x:c>
      <x:c r="P342" s="38" t="n">
        <x:f>IF(OR(N342="",O342="",N342=0,O342=0),"",(O342-N342)/((O342+N342)/2))</x:f>
        <x:v>0.0005541701302299581</x:v>
      </x:c>
      <x:c r="Q342" s="34" t="n">
        <x:v>0.01810729</x:v>
      </x:c>
      <x:c r="R342" s="34" t="n">
        <x:v>0.0184</x:v>
      </x:c>
      <x:c r="S342" s="34" t="n">
        <x:v>0.0179</x:v>
      </x:c>
      <x:c r="T342" s="32" t="n">
        <x:v>46236.012482060185</x:v>
      </x:c>
      <x:c r="U342" s="32" t="n">
        <x:v>46237.012482060185</x:v>
      </x:c>
      <x:c r="V342" s="34" t="n">
        <x:v>5</x:v>
      </x:c>
      <x:c r="W342" s="34" t="n">
        <x:v>1</x:v>
      </x:c>
      <x:c r="X342" s="34" t="n">
        <x:v>1</x:v>
      </x:c>
      <x:c r="Y342" s="34" t="n">
        <x:v>0.00001</x:v>
      </x:c>
      <x:c r="Z342" s="30" t="str">
        <x:f>IF(AND(D342="TRADING",I342&lt;&gt;"",L342&lt;&gt;"",M342&lt;&gt;"",N342&lt;&gt;"",O342&lt;&gt;""),"Yes","No")</x:f>
        <x:v>Yes</x:v>
      </x:c>
      <x:c r="AA342" s="39" t="str">
        <x:v>https://developers.binance.com/en/docs/catalog/core-trading-spot-trading/api/rest-api</x:v>
      </x:c>
    </x:row>
    <x:row r="343">
      <x:c r="A343" s="30" t="str">
        <x:v>KNCUSDT</x:v>
      </x:c>
      <x:c r="B343" s="30" t="str">
        <x:v>KNC</x:v>
      </x:c>
      <x:c r="C343" s="30" t="str">
        <x:v>USDT</x:v>
      </x:c>
      <x:c r="D343" s="30" t="str">
        <x:v>TRADING</x:v>
      </x:c>
      <x:c r="E343" s="31" t="b">
        <x:v>1</x:v>
      </x:c>
      <x:c r="F343" s="32" t="n">
        <x:v>43994</x:v>
      </x:c>
      <x:c r="G343" s="32" t="n">
        <x:v>43994.999999988424</x:v>
      </x:c>
      <x:c r="H343" s="33" t="n">
        <x:f>IF(F343="","",('Summary'!$B$5-F343)/365.25)</x:f>
        <x:v>6.141033514906078</x:v>
      </x:c>
      <x:c r="I343" s="34" t="n">
        <x:v>0.1031</x:v>
      </x:c>
      <x:c r="J343" s="35" t="n">
        <x:v>0</x:v>
      </x:c>
      <x:c r="K343" s="36" t="n">
        <x:v>263747.1</x:v>
      </x:c>
      <x:c r="L343" s="36" t="n">
        <x:v>27286.07224</x:v>
      </x:c>
      <x:c r="M343" s="37" t="n">
        <x:v>298</x:v>
      </x:c>
      <x:c r="N343" s="34" t="n">
        <x:v>0.1027</x:v>
      </x:c>
      <x:c r="O343" s="34" t="n">
        <x:v>0.1029</x:v>
      </x:c>
      <x:c r="P343" s="38" t="n">
        <x:f>IF(OR(N343="",O343="",N343=0,O343=0),"",(O343-N343)/((O343+N343)/2))</x:f>
        <x:v>0.0019455252918288495</x:v>
      </x:c>
      <x:c r="Q343" s="34" t="n">
        <x:v>0.10345544</x:v>
      </x:c>
      <x:c r="R343" s="34" t="n">
        <x:v>0.1044</x:v>
      </x:c>
      <x:c r="S343" s="34" t="n">
        <x:v>0.1023</x:v>
      </x:c>
      <x:c r="T343" s="32" t="n">
        <x:v>46236.01201814815</x:v>
      </x:c>
      <x:c r="U343" s="32" t="n">
        <x:v>46237.01201814815</x:v>
      </x:c>
      <x:c r="V343" s="34" t="n">
        <x:v>5</x:v>
      </x:c>
      <x:c r="W343" s="34" t="n">
        <x:v>0.1</x:v>
      </x:c>
      <x:c r="X343" s="34" t="n">
        <x:v>0.1</x:v>
      </x:c>
      <x:c r="Y343" s="34" t="n">
        <x:v>0.0001</x:v>
      </x:c>
      <x:c r="Z343" s="30" t="str">
        <x:f>IF(AND(D343="TRADING",I343&lt;&gt;"",L343&lt;&gt;"",M343&lt;&gt;"",N343&lt;&gt;"",O343&lt;&gt;""),"Yes","No")</x:f>
        <x:v>Yes</x:v>
      </x:c>
      <x:c r="AA343" s="39" t="str">
        <x:v>https://developers.binance.com/en/docs/catalog/core-trading-spot-trading/api/rest-api</x:v>
      </x:c>
    </x:row>
    <x:row r="344">
      <x:c r="A344" s="30" t="str">
        <x:v>KORUBUSDT</x:v>
      </x:c>
      <x:c r="B344" s="30" t="str">
        <x:v>KORUB</x:v>
      </x:c>
      <x:c r="C344" s="30" t="str">
        <x:v>USDT</x:v>
      </x:c>
      <x:c r="D344" s="30" t="str">
        <x:v>TRADING</x:v>
      </x:c>
      <x:c r="E344" s="31" t="b">
        <x:v>1</x:v>
      </x:c>
      <x:c r="F344" s="32" t="n">
        <x:v>46225</x:v>
      </x:c>
      <x:c r="G344" s="32" t="n">
        <x:v>46225.999999988424</x:v>
      </x:c>
      <x:c r="H344" s="33" t="n">
        <x:f>IF(F344="","",('Summary'!$B$5-F344)/365.25)</x:f>
        <x:v>0.03288840881435992</x:v>
      </x:c>
      <x:c r="I344" s="34" t="n">
        <x:v>16.13</x:v>
      </x:c>
      <x:c r="J344" s="35" t="n">
        <x:v>0.06258</x:v>
      </x:c>
      <x:c r="K344" s="36" t="n">
        <x:v>232717.4</x:v>
      </x:c>
      <x:c r="L344" s="36" t="n">
        <x:v>3714556.0981</x:v>
      </x:c>
      <x:c r="M344" s="37" t="n">
        <x:v>42386</x:v>
      </x:c>
      <x:c r="N344" s="34" t="n">
        <x:v>16.14</x:v>
      </x:c>
      <x:c r="O344" s="34" t="n">
        <x:v>16.16</x:v>
      </x:c>
      <x:c r="P344" s="38" t="n">
        <x:f>IF(OR(N344="",O344="",N344=0,O344=0),"",(O344-N344)/((O344+N344)/2))</x:f>
        <x:v>0.0012383900928792306</x:v>
      </x:c>
      <x:c r="Q344" s="34" t="n">
        <x:v>15.96166036</x:v>
      </x:c>
      <x:c r="R344" s="34" t="n">
        <x:v>16.68</x:v>
      </x:c>
      <x:c r="S344" s="34" t="n">
        <x:v>15.1</x:v>
      </x:c>
      <x:c r="T344" s="32" t="n">
        <x:v>46236.012484189814</x:v>
      </x:c>
      <x:c r="U344" s="32" t="n">
        <x:v>46237.012484189814</x:v>
      </x:c>
      <x:c r="V344" s="34" t="n">
        <x:v>5</x:v>
      </x:c>
      <x:c r="W344" s="34" t="n">
        <x:v>0.01</x:v>
      </x:c>
      <x:c r="X344" s="34" t="n">
        <x:v>0.01</x:v>
      </x:c>
      <x:c r="Y344" s="34" t="n">
        <x:v>0.01</x:v>
      </x:c>
      <x:c r="Z344" s="30" t="str">
        <x:f>IF(AND(D344="TRADING",I344&lt;&gt;"",L344&lt;&gt;"",M344&lt;&gt;"",N344&lt;&gt;"",O344&lt;&gt;""),"Yes","No")</x:f>
        <x:v>Yes</x:v>
      </x:c>
      <x:c r="AA344" s="39" t="str">
        <x:v>https://developers.binance.com/en/docs/catalog/core-trading-spot-trading/api/rest-api</x:v>
      </x:c>
    </x:row>
    <x:row r="345">
      <x:c r="A345" s="30" t="str">
        <x:v>KP3RUSDT</x:v>
      </x:c>
      <x:c r="B345" s="30" t="str">
        <x:v>KP3R</x:v>
      </x:c>
      <x:c r="C345" s="30" t="str">
        <x:v>USDT</x:v>
      </x:c>
      <x:c r="D345" s="30" t="str">
        <x:v>BREAK</x:v>
      </x:c>
      <x:c r="E345" s="31" t="b">
        <x:v>1</x:v>
      </x:c>
      <x:c r="F345" s="32" t="n">
        <x:v>44512</x:v>
      </x:c>
      <x:c r="G345" s="32" t="n">
        <x:v>44512.999999988424</x:v>
      </x:c>
      <x:c r="H345" s="33" t="n">
        <x:f>IF(F345="","",('Summary'!$B$5-F345)/365.25)</x:f>
        <x:v>4.722826807171649</x:v>
      </x:c>
      <x:c r="I345" s="34" t="n">
        <x:v>16.48</x:v>
      </x:c>
      <x:c r="J345" s="35" t="n">
        <x:v>-0.03907</x:v>
      </x:c>
      <x:c r="K345" s="36" t="n">
        <x:v>22226.5</x:v>
      </x:c>
      <x:c r="L345" s="36" t="n">
        <x:v>367918.2188</x:v>
      </x:c>
      <x:c r="M345" s="37" t="n">
        <x:v>4001</x:v>
      </x:c>
      <x:c r="N345" s="34" t="n">
        <x:v>0</x:v>
      </x:c>
      <x:c r="O345" s="34" t="n">
        <x:v>0</x:v>
      </x:c>
      <x:c r="P345" s="38" t="str">
        <x:f>IF(OR(N345="",O345="",N345=0,O345=0),"",(O345-N345)/((O345+N345)/2))</x:f>
      </x:c>
      <x:c r="Q345" s="34" t="n">
        <x:v>16.55313337</x:v>
      </x:c>
      <x:c r="R345" s="34" t="n">
        <x:v>17.26</x:v>
      </x:c>
      <x:c r="S345" s="34" t="n">
        <x:v>15.88</x:v>
      </x:c>
      <x:c r="T345" s="32" t="n">
        <x:v>46209.26112309028</x:v>
      </x:c>
      <x:c r="U345" s="32" t="n">
        <x:v>46210.26112309028</x:v>
      </x:c>
      <x:c r="V345" s="34" t="n">
        <x:v>5</x:v>
      </x:c>
      <x:c r="W345" s="34" t="n">
        <x:v>0.01</x:v>
      </x:c>
      <x:c r="X345" s="34" t="n">
        <x:v>0.01</x:v>
      </x:c>
      <x:c r="Y345" s="34" t="n">
        <x:v>0.01</x:v>
      </x:c>
      <x:c r="Z345" s="30" t="str">
        <x:f>IF(AND(D345="TRADING",I345&lt;&gt;"",L345&lt;&gt;"",M345&lt;&gt;"",N345&lt;&gt;"",O345&lt;&gt;""),"Yes","No")</x:f>
        <x:v>No</x:v>
      </x:c>
      <x:c r="AA345" s="39" t="str">
        <x:v>https://developers.binance.com/en/docs/catalog/core-trading-spot-trading/api/rest-api</x:v>
      </x:c>
    </x:row>
    <x:row r="346">
      <x:c r="A346" s="30" t="str">
        <x:v>KSMUSDT</x:v>
      </x:c>
      <x:c r="B346" s="30" t="str">
        <x:v>KSM</x:v>
      </x:c>
      <x:c r="C346" s="30" t="str">
        <x:v>USDT</x:v>
      </x:c>
      <x:c r="D346" s="30" t="str">
        <x:v>TRADING</x:v>
      </x:c>
      <x:c r="E346" s="31" t="b">
        <x:v>1</x:v>
      </x:c>
      <x:c r="F346" s="32" t="n">
        <x:v>44078</x:v>
      </x:c>
      <x:c r="G346" s="32" t="n">
        <x:v>44078.999999988424</x:v>
      </x:c>
      <x:c r="H346" s="33" t="n">
        <x:f>IF(F346="","",('Summary'!$B$5-F346)/365.25)</x:f>
        <x:v>5.911054048786982</x:v>
      </x:c>
      <x:c r="I346" s="34" t="n">
        <x:v>3.04</x:v>
      </x:c>
      <x:c r="J346" s="35" t="n">
        <x:v>-0.02875</x:v>
      </x:c>
      <x:c r="K346" s="36" t="n">
        <x:v>160165.778</x:v>
      </x:c>
      <x:c r="L346" s="36" t="n">
        <x:v>490590.07176</x:v>
      </x:c>
      <x:c r="M346" s="37" t="n">
        <x:v>4586</x:v>
      </x:c>
      <x:c r="N346" s="34" t="n">
        <x:v>3.04</x:v>
      </x:c>
      <x:c r="O346" s="34" t="n">
        <x:v>3.05</x:v>
      </x:c>
      <x:c r="P346" s="38" t="n">
        <x:f>IF(OR(N346="",O346="",N346=0,O346=0),"",(O346-N346)/((O346+N346)/2))</x:f>
        <x:v>0.003284072249589421</x:v>
      </x:c>
      <x:c r="Q346" s="34" t="n">
        <x:v>3.06301432</x:v>
      </x:c>
      <x:c r="R346" s="34" t="n">
        <x:v>3.19</x:v>
      </x:c>
      <x:c r="S346" s="34" t="n">
        <x:v>3</x:v>
      </x:c>
      <x:c r="T346" s="32" t="n">
        <x:v>46236.01212721065</x:v>
      </x:c>
      <x:c r="U346" s="32" t="n">
        <x:v>46237.01212721065</x:v>
      </x:c>
      <x:c r="V346" s="34" t="n">
        <x:v>5</x:v>
      </x:c>
      <x:c r="W346" s="34" t="n">
        <x:v>0.001</x:v>
      </x:c>
      <x:c r="X346" s="34" t="n">
        <x:v>0.001</x:v>
      </x:c>
      <x:c r="Y346" s="34" t="n">
        <x:v>0.01</x:v>
      </x:c>
      <x:c r="Z346" s="30" t="str">
        <x:f>IF(AND(D346="TRADING",I346&lt;&gt;"",L346&lt;&gt;"",M346&lt;&gt;"",N346&lt;&gt;"",O346&lt;&gt;""),"Yes","No")</x:f>
        <x:v>Yes</x:v>
      </x:c>
      <x:c r="AA346" s="39" t="str">
        <x:v>https://developers.binance.com/en/docs/catalog/core-trading-spot-trading/api/rest-api</x:v>
      </x:c>
    </x:row>
    <x:row r="347">
      <x:c r="A347" s="30" t="str">
        <x:v>LAUSDT</x:v>
      </x:c>
      <x:c r="B347" s="30" t="str">
        <x:v>LA</x:v>
      </x:c>
      <x:c r="C347" s="30" t="str">
        <x:v>USDT</x:v>
      </x:c>
      <x:c r="D347" s="30" t="str">
        <x:v>TRADING</x:v>
      </x:c>
      <x:c r="E347" s="31" t="b">
        <x:v>1</x:v>
      </x:c>
      <x:c r="F347" s="32" t="n">
        <x:v>45847</x:v>
      </x:c>
      <x:c r="G347" s="32" t="n">
        <x:v>45847.999999988424</x:v>
      </x:c>
      <x:c r="H347" s="33" t="n">
        <x:f>IF(F347="","",('Summary'!$B$5-F347)/365.25)</x:f>
        <x:v>1.0677960063502943</x:v>
      </x:c>
      <x:c r="I347" s="34" t="n">
        <x:v>0.0471</x:v>
      </x:c>
      <x:c r="J347" s="35" t="n">
        <x:v>-0.06733</x:v>
      </x:c>
      <x:c r="K347" s="36" t="n">
        <x:v>23576123.8</x:v>
      </x:c>
      <x:c r="L347" s="36" t="n">
        <x:v>1163588.62267</x:v>
      </x:c>
      <x:c r="M347" s="37" t="n">
        <x:v>9669</x:v>
      </x:c>
      <x:c r="N347" s="34" t="n">
        <x:v>0.0471</x:v>
      </x:c>
      <x:c r="O347" s="34" t="n">
        <x:v>0.0472</x:v>
      </x:c>
      <x:c r="P347" s="38" t="n">
        <x:f>IF(OR(N347="",O347="",N347=0,O347=0),"",(O347-N347)/((O347+N347)/2))</x:f>
        <x:v>0.0021208907741250465</x:v>
      </x:c>
      <x:c r="Q347" s="34" t="n">
        <x:v>0.04935453</x:v>
      </x:c>
      <x:c r="R347" s="34" t="n">
        <x:v>0.0526</x:v>
      </x:c>
      <x:c r="S347" s="34" t="n">
        <x:v>0.0471</x:v>
      </x:c>
      <x:c r="T347" s="32" t="n">
        <x:v>46236.01235630787</x:v>
      </x:c>
      <x:c r="U347" s="32" t="n">
        <x:v>46237.01235630787</x:v>
      </x:c>
      <x:c r="V347" s="34" t="n">
        <x:v>5</x:v>
      </x:c>
      <x:c r="W347" s="34" t="n">
        <x:v>0.1</x:v>
      </x:c>
      <x:c r="X347" s="34" t="n">
        <x:v>0.1</x:v>
      </x:c>
      <x:c r="Y347" s="34" t="n">
        <x:v>0.0001</x:v>
      </x:c>
      <x:c r="Z347" s="30" t="str">
        <x:f>IF(AND(D347="TRADING",I347&lt;&gt;"",L347&lt;&gt;"",M347&lt;&gt;"",N347&lt;&gt;"",O347&lt;&gt;""),"Yes","No")</x:f>
        <x:v>Yes</x:v>
      </x:c>
      <x:c r="AA347" s="39" t="str">
        <x:v>https://developers.binance.com/en/docs/catalog/core-trading-spot-trading/api/rest-api</x:v>
      </x:c>
    </x:row>
    <x:row r="348">
      <x:c r="A348" s="30" t="str">
        <x:v>LAYERUSDT</x:v>
      </x:c>
      <x:c r="B348" s="30" t="str">
        <x:v>LAYER</x:v>
      </x:c>
      <x:c r="C348" s="30" t="str">
        <x:v>USDT</x:v>
      </x:c>
      <x:c r="D348" s="30" t="str">
        <x:v>TRADING</x:v>
      </x:c>
      <x:c r="E348" s="31" t="b">
        <x:v>1</x:v>
      </x:c>
      <x:c r="F348" s="32" t="n">
        <x:v>45699</x:v>
      </x:c>
      <x:c r="G348" s="32" t="n">
        <x:v>45699.999999988424</x:v>
      </x:c>
      <x:c r="H348" s="33" t="n">
        <x:f>IF(F348="","",('Summary'!$B$5-F348)/365.25)</x:f>
        <x:v>1.4729979228458452</x:v>
      </x:c>
      <x:c r="I348" s="34" t="n">
        <x:v>0.0608</x:v>
      </x:c>
      <x:c r="J348" s="35" t="n">
        <x:v>-0.01459</x:v>
      </x:c>
      <x:c r="K348" s="36" t="n">
        <x:v>1349049.42</x:v>
      </x:c>
      <x:c r="L348" s="36" t="n">
        <x:v>82690.799039</x:v>
      </x:c>
      <x:c r="M348" s="37" t="n">
        <x:v>1706</x:v>
      </x:c>
      <x:c r="N348" s="34" t="n">
        <x:v>0.0607</x:v>
      </x:c>
      <x:c r="O348" s="34" t="n">
        <x:v>0.0608</x:v>
      </x:c>
      <x:c r="P348" s="38" t="n">
        <x:f>IF(OR(N348="",O348="",N348=0,O348=0),"",(O348-N348)/((O348+N348)/2))</x:f>
        <x:v>0.001646090534979471</x:v>
      </x:c>
      <x:c r="Q348" s="34" t="n">
        <x:v>0.0612956</x:v>
      </x:c>
      <x:c r="R348" s="34" t="n">
        <x:v>0.0622</x:v>
      </x:c>
      <x:c r="S348" s="34" t="n">
        <x:v>0.0607</x:v>
      </x:c>
      <x:c r="T348" s="32" t="n">
        <x:v>46236.01246893519</x:v>
      </x:c>
      <x:c r="U348" s="32" t="n">
        <x:v>46237.01246893519</x:v>
      </x:c>
      <x:c r="V348" s="34" t="n">
        <x:v>5</x:v>
      </x:c>
      <x:c r="W348" s="34" t="n">
        <x:v>0.01</x:v>
      </x:c>
      <x:c r="X348" s="34" t="n">
        <x:v>0.01</x:v>
      </x:c>
      <x:c r="Y348" s="34" t="n">
        <x:v>0.0001</x:v>
      </x:c>
      <x:c r="Z348" s="30" t="str">
        <x:f>IF(AND(D348="TRADING",I348&lt;&gt;"",L348&lt;&gt;"",M348&lt;&gt;"",N348&lt;&gt;"",O348&lt;&gt;""),"Yes","No")</x:f>
        <x:v>Yes</x:v>
      </x:c>
      <x:c r="AA348" s="39" t="str">
        <x:v>https://developers.binance.com/en/docs/catalog/core-trading-spot-trading/api/rest-api</x:v>
      </x:c>
    </x:row>
    <x:row r="349">
      <x:c r="A349" s="30" t="str">
        <x:v>LAZIOUSDT</x:v>
      </x:c>
      <x:c r="B349" s="30" t="str">
        <x:v>LAZIO</x:v>
      </x:c>
      <x:c r="C349" s="30" t="str">
        <x:v>USDT</x:v>
      </x:c>
      <x:c r="D349" s="30" t="str">
        <x:v>TRADING</x:v>
      </x:c>
      <x:c r="E349" s="31" t="b">
        <x:v>1</x:v>
      </x:c>
      <x:c r="F349" s="32" t="n">
        <x:v>44490</x:v>
      </x:c>
      <x:c r="G349" s="32" t="n">
        <x:v>44490.999999988424</x:v>
      </x:c>
      <x:c r="H349" s="33" t="n">
        <x:f>IF(F349="","",('Summary'!$B$5-F349)/365.25)</x:f>
        <x:v>4.783059524488555</x:v>
      </x:c>
      <x:c r="I349" s="34" t="n">
        <x:v>0.343</x:v>
      </x:c>
      <x:c r="J349" s="35" t="n">
        <x:v>0.005869999999999999</x:v>
      </x:c>
      <x:c r="K349" s="36" t="n">
        <x:v>1157941.09</x:v>
      </x:c>
      <x:c r="L349" s="36" t="n">
        <x:v>394757.67251</x:v>
      </x:c>
      <x:c r="M349" s="37" t="n">
        <x:v>7344</x:v>
      </x:c>
      <x:c r="N349" s="34" t="n">
        <x:v>0.342</x:v>
      </x:c>
      <x:c r="O349" s="34" t="n">
        <x:v>0.343</x:v>
      </x:c>
      <x:c r="P349" s="38" t="n">
        <x:f>IF(OR(N349="",O349="",N349=0,O349=0),"",(O349-N349)/((O349+N349)/2))</x:f>
        <x:v>0.0029197080291970827</x:v>
      </x:c>
      <x:c r="Q349" s="34" t="n">
        <x:v>0.34091343</x:v>
      </x:c>
      <x:c r="R349" s="34" t="n">
        <x:v>0.352</x:v>
      </x:c>
      <x:c r="S349" s="34" t="n">
        <x:v>0.333</x:v>
      </x:c>
      <x:c r="T349" s="32" t="n">
        <x:v>46236.01225649306</x:v>
      </x:c>
      <x:c r="U349" s="32" t="n">
        <x:v>46237.01225649306</x:v>
      </x:c>
      <x:c r="V349" s="34" t="n">
        <x:v>5</x:v>
      </x:c>
      <x:c r="W349" s="34" t="n">
        <x:v>0.01</x:v>
      </x:c>
      <x:c r="X349" s="34" t="n">
        <x:v>0.01</x:v>
      </x:c>
      <x:c r="Y349" s="34" t="n">
        <x:v>0.001</x:v>
      </x:c>
      <x:c r="Z349" s="30" t="str">
        <x:f>IF(AND(D349="TRADING",I349&lt;&gt;"",L349&lt;&gt;"",M349&lt;&gt;"",N349&lt;&gt;"",O349&lt;&gt;""),"Yes","No")</x:f>
        <x:v>Yes</x:v>
      </x:c>
      <x:c r="AA349" s="39" t="str">
        <x:v>https://developers.binance.com/en/docs/catalog/core-trading-spot-trading/api/rest-api</x:v>
      </x:c>
    </x:row>
    <x:row r="350">
      <x:c r="A350" s="30" t="str">
        <x:v>LDOUSDT</x:v>
      </x:c>
      <x:c r="B350" s="30" t="str">
        <x:v>LDO</x:v>
      </x:c>
      <x:c r="C350" s="30" t="str">
        <x:v>USDT</x:v>
      </x:c>
      <x:c r="D350" s="30" t="str">
        <x:v>TRADING</x:v>
      </x:c>
      <x:c r="E350" s="31" t="b">
        <x:v>1</x:v>
      </x:c>
      <x:c r="F350" s="32" t="n">
        <x:v>44690</x:v>
      </x:c>
      <x:c r="G350" s="32" t="n">
        <x:v>44690.999999988424</x:v>
      </x:c>
      <x:c r="H350" s="33" t="n">
        <x:f>IF(F350="","",('Summary'!$B$5-F350)/365.25)</x:f>
        <x:v>4.235489367062136</x:v>
      </x:c>
      <x:c r="I350" s="34" t="n">
        <x:v>0.3246</x:v>
      </x:c>
      <x:c r="J350" s="35" t="n">
        <x:v>-0.01427</x:v>
      </x:c>
      <x:c r="K350" s="36" t="n">
        <x:v>5237250.88</x:v>
      </x:c>
      <x:c r="L350" s="36" t="n">
        <x:v>1713363.36679</x:v>
      </x:c>
      <x:c r="M350" s="37" t="n">
        <x:v>24588</x:v>
      </x:c>
      <x:c r="N350" s="34" t="n">
        <x:v>0.3245</x:v>
      </x:c>
      <x:c r="O350" s="34" t="n">
        <x:v>0.3246</x:v>
      </x:c>
      <x:c r="P350" s="38" t="n">
        <x:f>IF(OR(N350="",O350="",N350=0,O350=0),"",(O350-N350)/((O350+N350)/2))</x:f>
        <x:v>0.0003081189339084547</x:v>
      </x:c>
      <x:c r="Q350" s="34" t="n">
        <x:v>0.32714938</x:v>
      </x:c>
      <x:c r="R350" s="34" t="n">
        <x:v>0.3336</x:v>
      </x:c>
      <x:c r="S350" s="34" t="n">
        <x:v>0.3197</x:v>
      </x:c>
      <x:c r="T350" s="32" t="n">
        <x:v>46236.01248302084</x:v>
      </x:c>
      <x:c r="U350" s="32" t="n">
        <x:v>46237.01248302084</x:v>
      </x:c>
      <x:c r="V350" s="34" t="n">
        <x:v>5</x:v>
      </x:c>
      <x:c r="W350" s="34" t="n">
        <x:v>0.01</x:v>
      </x:c>
      <x:c r="X350" s="34" t="n">
        <x:v>0.01</x:v>
      </x:c>
      <x:c r="Y350" s="34" t="n">
        <x:v>0.0001</x:v>
      </x:c>
      <x:c r="Z350" s="30" t="str">
        <x:f>IF(AND(D350="TRADING",I350&lt;&gt;"",L350&lt;&gt;"",M350&lt;&gt;"",N350&lt;&gt;"",O350&lt;&gt;""),"Yes","No")</x:f>
        <x:v>Yes</x:v>
      </x:c>
      <x:c r="AA350" s="39" t="str">
        <x:v>https://developers.binance.com/en/docs/catalog/core-trading-spot-trading/api/rest-api</x:v>
      </x:c>
    </x:row>
    <x:row r="351">
      <x:c r="A351" s="30" t="str">
        <x:v>LENDUSDT</x:v>
      </x:c>
      <x:c r="B351" s="30" t="str">
        <x:v>LEND</x:v>
      </x:c>
      <x:c r="C351" s="30" t="str">
        <x:v>USDT</x:v>
      </x:c>
      <x:c r="D351" s="30" t="str">
        <x:v>BREAK</x:v>
      </x:c>
      <x:c r="E351" s="31" t="b">
        <x:v>1</x:v>
      </x:c>
      <x:c r="F351" s="32" t="n">
        <x:v>43966</x:v>
      </x:c>
      <x:c r="G351" s="32" t="n">
        <x:v>43966.999999988424</x:v>
      </x:c>
      <x:c r="H351" s="33" t="n">
        <x:f>IF(F351="","",('Summary'!$B$5-F351)/365.25)</x:f>
        <x:v>6.217693336945777</x:v>
      </x:c>
      <x:c r="I351" s="34" t="n">
        <x:v>0</x:v>
      </x:c>
      <x:c r="J351" s="35" t="n">
        <x:v>0</x:v>
      </x:c>
      <x:c r="K351" s="36" t="n">
        <x:v>0</x:v>
      </x:c>
      <x:c r="L351" s="36" t="n">
        <x:v>0</x:v>
      </x:c>
      <x:c r="M351" s="37" t="n">
        <x:v>0</x:v>
      </x:c>
      <x:c r="N351" s="34" t="n">
        <x:v>0</x:v>
      </x:c>
      <x:c r="O351" s="34" t="n">
        <x:v>0</x:v>
      </x:c>
      <x:c r="P351" s="38" t="str">
        <x:f>IF(OR(N351="",O351="",N351=0,O351=0),"",(O351-N351)/((O351+N351)/2))</x:f>
      </x:c>
      <x:c r="Q351" s="34" t="n">
        <x:v>0</x:v>
      </x:c>
      <x:c r="R351" s="34" t="n">
        <x:v>0</x:v>
      </x:c>
      <x:c r="S351" s="34" t="n">
        <x:v>0</x:v>
      </x:c>
      <x:c r="T351" s="32" t="n">
        <x:v>46209.26112309028</x:v>
      </x:c>
      <x:c r="U351" s="32" t="n">
        <x:v>46210.26112309028</x:v>
      </x:c>
      <x:c r="V351" s="34" t="n">
        <x:v>10</x:v>
      </x:c>
      <x:c r="W351" s="34" t="n">
        <x:v>0.1</x:v>
      </x:c>
      <x:c r="X351" s="34" t="n">
        <x:v>0.1</x:v>
      </x:c>
      <x:c r="Y351" s="34" t="n">
        <x:v>0.00001</x:v>
      </x:c>
      <x:c r="Z351" s="30" t="str">
        <x:f>IF(AND(D351="TRADING",I351&lt;&gt;"",L351&lt;&gt;"",M351&lt;&gt;"",N351&lt;&gt;"",O351&lt;&gt;""),"Yes","No")</x:f>
        <x:v>No</x:v>
      </x:c>
      <x:c r="AA351" s="39" t="str">
        <x:v>https://developers.binance.com/en/docs/catalog/core-trading-spot-trading/api/rest-api</x:v>
      </x:c>
    </x:row>
    <x:row r="352">
      <x:c r="A352" s="30" t="str">
        <x:v>LEVERUSDT</x:v>
      </x:c>
      <x:c r="B352" s="30" t="str">
        <x:v>LEVER</x:v>
      </x:c>
      <x:c r="C352" s="30" t="str">
        <x:v>USDT</x:v>
      </x:c>
      <x:c r="D352" s="30" t="str">
        <x:v>BREAK</x:v>
      </x:c>
      <x:c r="E352" s="31" t="b">
        <x:v>1</x:v>
      </x:c>
      <x:c r="F352" s="32" t="n">
        <x:v>44755</x:v>
      </x:c>
      <x:c r="G352" s="32" t="n">
        <x:v>44755.999999988424</x:v>
      </x:c>
      <x:c r="H352" s="33" t="n">
        <x:f>IF(F352="","",('Summary'!$B$5-F352)/365.25)</x:f>
        <x:v>4.057529065898549</x:v>
      </x:c>
      <x:c r="I352" s="34" t="n">
        <x:v>0.000175</x:v>
      </x:c>
      <x:c r="J352" s="35" t="n">
        <x:v>-0.17062000000000002</x:v>
      </x:c>
      <x:c r="K352" s="36" t="n">
        <x:v>2049068736</x:v>
      </x:c>
      <x:c r="L352" s="36" t="n">
        <x:v>388103.817578</x:v>
      </x:c>
      <x:c r="M352" s="37" t="n">
        <x:v>4001</x:v>
      </x:c>
      <x:c r="N352" s="34" t="n">
        <x:v>0</x:v>
      </x:c>
      <x:c r="O352" s="34" t="n">
        <x:v>0</x:v>
      </x:c>
      <x:c r="P352" s="38" t="str">
        <x:f>IF(OR(N352="",O352="",N352=0,O352=0),"",(O352-N352)/((O352+N352)/2))</x:f>
      </x:c>
      <x:c r="Q352" s="34" t="n">
        <x:v>0.0001894</x:v>
      </x:c>
      <x:c r="R352" s="34" t="n">
        <x:v>0.000217</x:v>
      </x:c>
      <x:c r="S352" s="34" t="n">
        <x:v>0.000162</x:v>
      </x:c>
      <x:c r="T352" s="32" t="n">
        <x:v>46209.26112309028</x:v>
      </x:c>
      <x:c r="U352" s="32" t="n">
        <x:v>46210.26112309028</x:v>
      </x:c>
      <x:c r="V352" s="34" t="n">
        <x:v>5</x:v>
      </x:c>
      <x:c r="W352" s="34" t="n">
        <x:v>1</x:v>
      </x:c>
      <x:c r="X352" s="34" t="n">
        <x:v>1</x:v>
      </x:c>
      <x:c r="Y352" s="34" t="n">
        <x:v>0.000001</x:v>
      </x:c>
      <x:c r="Z352" s="30" t="str">
        <x:f>IF(AND(D352="TRADING",I352&lt;&gt;"",L352&lt;&gt;"",M352&lt;&gt;"",N352&lt;&gt;"",O352&lt;&gt;""),"Yes","No")</x:f>
        <x:v>No</x:v>
      </x:c>
      <x:c r="AA352" s="39" t="str">
        <x:v>https://developers.binance.com/en/docs/catalog/core-trading-spot-trading/api/rest-api</x:v>
      </x:c>
    </x:row>
    <x:row r="353">
      <x:c r="A353" s="30" t="str">
        <x:v>LINAUSDT</x:v>
      </x:c>
      <x:c r="B353" s="30" t="str">
        <x:v>LINA</x:v>
      </x:c>
      <x:c r="C353" s="30" t="str">
        <x:v>USDT</x:v>
      </x:c>
      <x:c r="D353" s="30" t="str">
        <x:v>BREAK</x:v>
      </x:c>
      <x:c r="E353" s="31" t="b">
        <x:v>1</x:v>
      </x:c>
      <x:c r="F353" s="32" t="n">
        <x:v>44273</x:v>
      </x:c>
      <x:c r="G353" s="32" t="n">
        <x:v>44273.999999988424</x:v>
      </x:c>
      <x:c r="H353" s="33" t="n">
        <x:f>IF(F353="","",('Summary'!$B$5-F353)/365.25)</x:f>
        <x:v>5.377173145296221</x:v>
      </x:c>
      <x:c r="I353" s="34" t="n">
        <x:v>0.000337</x:v>
      </x:c>
      <x:c r="J353" s="35" t="n">
        <x:v>0.04334</x:v>
      </x:c>
      <x:c r="K353" s="36" t="n">
        <x:v>533020119</x:v>
      </x:c>
      <x:c r="L353" s="36" t="n">
        <x:v>176157.586951</x:v>
      </x:c>
      <x:c r="M353" s="37" t="n">
        <x:v>4001</x:v>
      </x:c>
      <x:c r="N353" s="34" t="n">
        <x:v>0</x:v>
      </x:c>
      <x:c r="O353" s="34" t="n">
        <x:v>0</x:v>
      </x:c>
      <x:c r="P353" s="38" t="str">
        <x:f>IF(OR(N353="",O353="",N353=0,O353=0),"",(O353-N353)/((O353+N353)/2))</x:f>
      </x:c>
      <x:c r="Q353" s="34" t="n">
        <x:v>0.00033049</x:v>
      </x:c>
      <x:c r="R353" s="34" t="n">
        <x:v>0.000347</x:v>
      </x:c>
      <x:c r="S353" s="34" t="n">
        <x:v>0.000316</x:v>
      </x:c>
      <x:c r="T353" s="32" t="n">
        <x:v>46209.26112309028</x:v>
      </x:c>
      <x:c r="U353" s="32" t="n">
        <x:v>46210.26112309028</x:v>
      </x:c>
      <x:c r="V353" s="34" t="n">
        <x:v>5</x:v>
      </x:c>
      <x:c r="W353" s="34" t="n">
        <x:v>1</x:v>
      </x:c>
      <x:c r="X353" s="34" t="n">
        <x:v>1</x:v>
      </x:c>
      <x:c r="Y353" s="34" t="n">
        <x:v>0.000001</x:v>
      </x:c>
      <x:c r="Z353" s="30" t="str">
        <x:f>IF(AND(D353="TRADING",I353&lt;&gt;"",L353&lt;&gt;"",M353&lt;&gt;"",N353&lt;&gt;"",O353&lt;&gt;""),"Yes","No")</x:f>
        <x:v>No</x:v>
      </x:c>
      <x:c r="AA353" s="39" t="str">
        <x:v>https://developers.binance.com/en/docs/catalog/core-trading-spot-trading/api/rest-api</x:v>
      </x:c>
    </x:row>
    <x:row r="354">
      <x:c r="A354" s="30" t="str">
        <x:v>LINEAUSDT</x:v>
      </x:c>
      <x:c r="B354" s="30" t="str">
        <x:v>LINEA</x:v>
      </x:c>
      <x:c r="C354" s="30" t="str">
        <x:v>USDT</x:v>
      </x:c>
      <x:c r="D354" s="30" t="str">
        <x:v>TRADING</x:v>
      </x:c>
      <x:c r="E354" s="31" t="b">
        <x:v>1</x:v>
      </x:c>
      <x:c r="F354" s="32" t="n">
        <x:v>45910</x:v>
      </x:c>
      <x:c r="G354" s="32" t="n">
        <x:v>45910.999999988424</x:v>
      </x:c>
      <x:c r="H354" s="33" t="n">
        <x:f>IF(F354="","",('Summary'!$B$5-F354)/365.25)</x:f>
        <x:v>0.8953114067609719</x:v>
      </x:c>
      <x:c r="I354" s="34" t="n">
        <x:v>0.002237</x:v>
      </x:c>
      <x:c r="J354" s="35" t="n">
        <x:v>0.01268</x:v>
      </x:c>
      <x:c r="K354" s="36" t="n">
        <x:v>85963433</x:v>
      </x:c>
      <x:c r="L354" s="36" t="n">
        <x:v>192137.742459</x:v>
      </x:c>
      <x:c r="M354" s="37" t="n">
        <x:v>4164</x:v>
      </x:c>
      <x:c r="N354" s="34" t="n">
        <x:v>0.002237</x:v>
      </x:c>
      <x:c r="O354" s="34" t="n">
        <x:v>0.002238</x:v>
      </x:c>
      <x:c r="P354" s="38" t="n">
        <x:f>IF(OR(N354="",O354="",N354=0,O354=0),"",(O354-N354)/((O354+N354)/2))</x:f>
        <x:v>0.0004469273743017353</x:v>
      </x:c>
      <x:c r="Q354" s="34" t="n">
        <x:v>0.00223511</x:v>
      </x:c>
      <x:c r="R354" s="34" t="n">
        <x:v>0.002263</x:v>
      </x:c>
      <x:c r="S354" s="34" t="n">
        <x:v>0.002208</x:v>
      </x:c>
      <x:c r="T354" s="32" t="n">
        <x:v>46236.01213106482</x:v>
      </x:c>
      <x:c r="U354" s="32" t="n">
        <x:v>46237.01213106482</x:v>
      </x:c>
      <x:c r="V354" s="34" t="n">
        <x:v>5</x:v>
      </x:c>
      <x:c r="W354" s="34" t="n">
        <x:v>1</x:v>
      </x:c>
      <x:c r="X354" s="34" t="n">
        <x:v>1</x:v>
      </x:c>
      <x:c r="Y354" s="34" t="n">
        <x:v>0.000001</x:v>
      </x:c>
      <x:c r="Z354" s="30" t="str">
        <x:f>IF(AND(D354="TRADING",I354&lt;&gt;"",L354&lt;&gt;"",M354&lt;&gt;"",N354&lt;&gt;"",O354&lt;&gt;""),"Yes","No")</x:f>
        <x:v>Yes</x:v>
      </x:c>
      <x:c r="AA354" s="39" t="str">
        <x:v>https://developers.binance.com/en/docs/catalog/core-trading-spot-trading/api/rest-api</x:v>
      </x:c>
    </x:row>
    <x:row r="355">
      <x:c r="A355" s="30" t="str">
        <x:v>LINKUSDT</x:v>
      </x:c>
      <x:c r="B355" s="30" t="str">
        <x:v>LINK</x:v>
      </x:c>
      <x:c r="C355" s="30" t="str">
        <x:v>USDT</x:v>
      </x:c>
      <x:c r="D355" s="30" t="str">
        <x:v>TRADING</x:v>
      </x:c>
      <x:c r="E355" s="31" t="b">
        <x:v>1</x:v>
      </x:c>
      <x:c r="F355" s="32" t="n">
        <x:v>43481</x:v>
      </x:c>
      <x:c r="G355" s="32" t="n">
        <x:v>43481.999999988424</x:v>
      </x:c>
      <x:c r="H355" s="33" t="n">
        <x:f>IF(F355="","",('Summary'!$B$5-F355)/365.25)</x:f>
        <x:v>7.545550968704846</x:v>
      </x:c>
      <x:c r="I355" s="34" t="n">
        <x:v>8.37</x:v>
      </x:c>
      <x:c r="J355" s="35" t="n">
        <x:v>0.0373</x:v>
      </x:c>
      <x:c r="K355" s="36" t="n">
        <x:v>1352465.83</x:v>
      </x:c>
      <x:c r="L355" s="36" t="n">
        <x:v>11259669.20106</x:v>
      </x:c>
      <x:c r="M355" s="37" t="n">
        <x:v>88474</x:v>
      </x:c>
      <x:c r="N355" s="34" t="n">
        <x:v>8.37</x:v>
      </x:c>
      <x:c r="O355" s="34" t="n">
        <x:v>8.371</x:v>
      </x:c>
      <x:c r="P355" s="38" t="n">
        <x:f>IF(OR(N355="",O355="",N355=0,O355=0),"",(O355-N355)/((O355+N355)/2))</x:f>
        <x:v>0.00011946717639343195</x:v>
      </x:c>
      <x:c r="Q355" s="34" t="n">
        <x:v>8.32528922</x:v>
      </x:c>
      <x:c r="R355" s="34" t="n">
        <x:v>8.455</x:v>
      </x:c>
      <x:c r="S355" s="34" t="n">
        <x:v>8.057</x:v>
      </x:c>
      <x:c r="T355" s="32" t="n">
        <x:v>46236.01247934028</x:v>
      </x:c>
      <x:c r="U355" s="32" t="n">
        <x:v>46237.01247934028</x:v>
      </x:c>
      <x:c r="V355" s="34" t="n">
        <x:v>5</x:v>
      </x:c>
      <x:c r="W355" s="34" t="n">
        <x:v>0.01</x:v>
      </x:c>
      <x:c r="X355" s="34" t="n">
        <x:v>0.01</x:v>
      </x:c>
      <x:c r="Y355" s="34" t="n">
        <x:v>0.001</x:v>
      </x:c>
      <x:c r="Z355" s="30" t="str">
        <x:f>IF(AND(D355="TRADING",I355&lt;&gt;"",L355&lt;&gt;"",M355&lt;&gt;"",N355&lt;&gt;"",O355&lt;&gt;""),"Yes","No")</x:f>
        <x:v>Yes</x:v>
      </x:c>
      <x:c r="AA355" s="39" t="str">
        <x:v>https://developers.binance.com/en/docs/catalog/core-trading-spot-trading/api/rest-api</x:v>
      </x:c>
    </x:row>
    <x:row r="356">
      <x:c r="A356" s="30" t="str">
        <x:v>LISTAUSDT</x:v>
      </x:c>
      <x:c r="B356" s="30" t="str">
        <x:v>LISTA</x:v>
      </x:c>
      <x:c r="C356" s="30" t="str">
        <x:v>USDT</x:v>
      </x:c>
      <x:c r="D356" s="30" t="str">
        <x:v>TRADING</x:v>
      </x:c>
      <x:c r="E356" s="31" t="b">
        <x:v>1</x:v>
      </x:c>
      <x:c r="F356" s="32" t="n">
        <x:v>45463</x:v>
      </x:c>
      <x:c r="G356" s="32" t="n">
        <x:v>45463.999999988424</x:v>
      </x:c>
      <x:c r="H356" s="33" t="n">
        <x:f>IF(F356="","",('Summary'!$B$5-F356)/365.25)</x:f>
        <x:v>2.119130708609021</x:v>
      </x:c>
      <x:c r="I356" s="34" t="n">
        <x:v>0.0515</x:v>
      </x:c>
      <x:c r="J356" s="35" t="n">
        <x:v>-0.04275</x:v>
      </x:c>
      <x:c r="K356" s="36" t="n">
        <x:v>6805142.5</x:v>
      </x:c>
      <x:c r="L356" s="36" t="n">
        <x:v>350987.77491</x:v>
      </x:c>
      <x:c r="M356" s="37" t="n">
        <x:v>4599</x:v>
      </x:c>
      <x:c r="N356" s="34" t="n">
        <x:v>0.0515</x:v>
      </x:c>
      <x:c r="O356" s="34" t="n">
        <x:v>0.0516</x:v>
      </x:c>
      <x:c r="P356" s="38" t="n">
        <x:f>IF(OR(N356="",O356="",N356=0,O356=0),"",(O356-N356)/((O356+N356)/2))</x:f>
        <x:v>0.0019398642095053902</x:v>
      </x:c>
      <x:c r="Q356" s="34" t="n">
        <x:v>0.05157684</x:v>
      </x:c>
      <x:c r="R356" s="34" t="n">
        <x:v>0.0545</x:v>
      </x:c>
      <x:c r="S356" s="34" t="n">
        <x:v>0.0495</x:v>
      </x:c>
      <x:c r="T356" s="32" t="n">
        <x:v>46236.012408125</x:v>
      </x:c>
      <x:c r="U356" s="32" t="n">
        <x:v>46237.012408125</x:v>
      </x:c>
      <x:c r="V356" s="34" t="n">
        <x:v>5</x:v>
      </x:c>
      <x:c r="W356" s="34" t="n">
        <x:v>0.1</x:v>
      </x:c>
      <x:c r="X356" s="34" t="n">
        <x:v>0.1</x:v>
      </x:c>
      <x:c r="Y356" s="34" t="n">
        <x:v>0.0001</x:v>
      </x:c>
      <x:c r="Z356" s="30" t="str">
        <x:f>IF(AND(D356="TRADING",I356&lt;&gt;"",L356&lt;&gt;"",M356&lt;&gt;"",N356&lt;&gt;"",O356&lt;&gt;""),"Yes","No")</x:f>
        <x:v>Yes</x:v>
      </x:c>
      <x:c r="AA356" s="39" t="str">
        <x:v>https://developers.binance.com/en/docs/catalog/core-trading-spot-trading/api/rest-api</x:v>
      </x:c>
    </x:row>
    <x:row r="357">
      <x:c r="A357" s="30" t="str">
        <x:v>LITEBUSDT</x:v>
      </x:c>
      <x:c r="B357" s="30" t="str">
        <x:v>LITEB</x:v>
      </x:c>
      <x:c r="C357" s="30" t="str">
        <x:v>USDT</x:v>
      </x:c>
      <x:c r="D357" s="30" t="str">
        <x:v>TRADING</x:v>
      </x:c>
      <x:c r="E357" s="31" t="b">
        <x:v>1</x:v>
      </x:c>
      <x:c r="F357" s="32" t="n">
        <x:v>46203</x:v>
      </x:c>
      <x:c r="G357" s="32" t="n">
        <x:v>46203.999999988424</x:v>
      </x:c>
      <x:c r="H357" s="33" t="n">
        <x:f>IF(F357="","",('Summary'!$B$5-F357)/365.25)</x:f>
        <x:v>0.09312112613126615</x:v>
      </x:c>
      <x:c r="I357" s="34" t="n">
        <x:v>735.98</x:v>
      </x:c>
      <x:c r="J357" s="35" t="n">
        <x:v>0.02878</x:v>
      </x:c>
      <x:c r="K357" s="36" t="n">
        <x:v>271.401</x:v>
      </x:c>
      <x:c r="L357" s="36" t="n">
        <x:v>197636.25206</x:v>
      </x:c>
      <x:c r="M357" s="37" t="n">
        <x:v>8168</x:v>
      </x:c>
      <x:c r="N357" s="34" t="n">
        <x:v>734.45</x:v>
      </x:c>
      <x:c r="O357" s="34" t="n">
        <x:v>735.88</x:v>
      </x:c>
      <x:c r="P357" s="38" t="n">
        <x:f>IF(OR(N357="",O357="",N357=0,O357=0),"",(O357-N357)/((O357+N357)/2))</x:f>
        <x:v>0.0019451415668590725</x:v>
      </x:c>
      <x:c r="Q357" s="34" t="n">
        <x:v>728.20753078</x:v>
      </x:c>
      <x:c r="R357" s="34" t="n">
        <x:v>740.73</x:v>
      </x:c>
      <x:c r="S357" s="34" t="n">
        <x:v>713.11</x:v>
      </x:c>
      <x:c r="T357" s="32" t="n">
        <x:v>46236.012484259256</x:v>
      </x:c>
      <x:c r="U357" s="32" t="n">
        <x:v>46237.012484259256</x:v>
      </x:c>
      <x:c r="V357" s="34" t="n">
        <x:v>5</x:v>
      </x:c>
      <x:c r="W357" s="34" t="n">
        <x:v>0.001</x:v>
      </x:c>
      <x:c r="X357" s="34" t="n">
        <x:v>0.001</x:v>
      </x:c>
      <x:c r="Y357" s="34" t="n">
        <x:v>0.01</x:v>
      </x:c>
      <x:c r="Z357" s="30" t="str">
        <x:f>IF(AND(D357="TRADING",I357&lt;&gt;"",L357&lt;&gt;"",M357&lt;&gt;"",N357&lt;&gt;"",O357&lt;&gt;""),"Yes","No")</x:f>
        <x:v>Yes</x:v>
      </x:c>
      <x:c r="AA357" s="39" t="str">
        <x:v>https://developers.binance.com/en/docs/catalog/core-trading-spot-trading/api/rest-api</x:v>
      </x:c>
    </x:row>
    <x:row r="358">
      <x:c r="A358" s="30" t="str">
        <x:v>LITUSDT</x:v>
      </x:c>
      <x:c r="B358" s="30" t="str">
        <x:v>LIT</x:v>
      </x:c>
      <x:c r="C358" s="30" t="str">
        <x:v>USDT</x:v>
      </x:c>
      <x:c r="D358" s="30" t="str">
        <x:v>BREAK</x:v>
      </x:c>
      <x:c r="E358" s="31" t="b">
        <x:v>1</x:v>
      </x:c>
      <x:c r="F358" s="32" t="n">
        <x:v>44231</x:v>
      </x:c>
      <x:c r="G358" s="32" t="n">
        <x:v>44231.999999988424</x:v>
      </x:c>
      <x:c r="H358" s="33" t="n">
        <x:f>IF(F358="","",('Summary'!$B$5-F358)/365.25)</x:f>
        <x:v>5.49216287835577</x:v>
      </x:c>
      <x:c r="I358" s="34" t="n">
        <x:v>0.743</x:v>
      </x:c>
      <x:c r="J358" s="35" t="n">
        <x:v>0.05241</x:v>
      </x:c>
      <x:c r="K358" s="36" t="n">
        <x:v>1150064.5</x:v>
      </x:c>
      <x:c r="L358" s="36" t="n">
        <x:v>799655.0663</x:v>
      </x:c>
      <x:c r="M358" s="37" t="n">
        <x:v>4001</x:v>
      </x:c>
      <x:c r="N358" s="34" t="n">
        <x:v>0</x:v>
      </x:c>
      <x:c r="O358" s="34" t="n">
        <x:v>0</x:v>
      </x:c>
      <x:c r="P358" s="38" t="str">
        <x:f>IF(OR(N358="",O358="",N358=0,O358=0),"",(O358-N358)/((O358+N358)/2))</x:f>
      </x:c>
      <x:c r="Q358" s="34" t="n">
        <x:v>0.69531323</x:v>
      </x:c>
      <x:c r="R358" s="34" t="n">
        <x:v>0.755</x:v>
      </x:c>
      <x:c r="S358" s="34" t="n">
        <x:v>0.656</x:v>
      </x:c>
      <x:c r="T358" s="32" t="n">
        <x:v>46209.26112309028</x:v>
      </x:c>
      <x:c r="U358" s="32" t="n">
        <x:v>46210.26112309028</x:v>
      </x:c>
      <x:c r="V358" s="34" t="n">
        <x:v>5</x:v>
      </x:c>
      <x:c r="W358" s="34" t="n">
        <x:v>0.1</x:v>
      </x:c>
      <x:c r="X358" s="34" t="n">
        <x:v>0.1</x:v>
      </x:c>
      <x:c r="Y358" s="34" t="n">
        <x:v>0.001</x:v>
      </x:c>
      <x:c r="Z358" s="30" t="str">
        <x:f>IF(AND(D358="TRADING",I358&lt;&gt;"",L358&lt;&gt;"",M358&lt;&gt;"",N358&lt;&gt;"",O358&lt;&gt;""),"Yes","No")</x:f>
        <x:v>No</x:v>
      </x:c>
      <x:c r="AA358" s="39" t="str">
        <x:v>https://developers.binance.com/en/docs/catalog/core-trading-spot-trading/api/rest-api</x:v>
      </x:c>
    </x:row>
    <x:row r="359">
      <x:c r="A359" s="30" t="str">
        <x:v>LOKAUSDT</x:v>
      </x:c>
      <x:c r="B359" s="30" t="str">
        <x:v>LOKA</x:v>
      </x:c>
      <x:c r="C359" s="30" t="str">
        <x:v>USDT</x:v>
      </x:c>
      <x:c r="D359" s="30" t="str">
        <x:v>BREAK</x:v>
      </x:c>
      <x:c r="E359" s="31" t="b">
        <x:v>1</x:v>
      </x:c>
      <x:c r="F359" s="32" t="n">
        <x:v>44581</x:v>
      </x:c>
      <x:c r="G359" s="32" t="n">
        <x:v>44581.999999988424</x:v>
      </x:c>
      <x:c r="H359" s="33" t="n">
        <x:f>IF(F359="","",('Summary'!$B$5-F359)/365.25)</x:f>
        <x:v>4.533915102859535</x:v>
      </x:c>
      <x:c r="I359" s="34" t="n">
        <x:v>0.1237</x:v>
      </x:c>
      <x:c r="J359" s="35" t="n">
        <x:v>0.03862</x:v>
      </x:c>
      <x:c r="K359" s="36" t="n">
        <x:v>7317699.5</x:v>
      </x:c>
      <x:c r="L359" s="36" t="n">
        <x:v>898447.18098</x:v>
      </x:c>
      <x:c r="M359" s="37" t="n">
        <x:v>4001</x:v>
      </x:c>
      <x:c r="N359" s="34" t="n">
        <x:v>0</x:v>
      </x:c>
      <x:c r="O359" s="34" t="n">
        <x:v>0</x:v>
      </x:c>
      <x:c r="P359" s="38" t="str">
        <x:f>IF(OR(N359="",O359="",N359=0,O359=0),"",(O359-N359)/((O359+N359)/2))</x:f>
      </x:c>
      <x:c r="Q359" s="34" t="n">
        <x:v>0.12277727</x:v>
      </x:c>
      <x:c r="R359" s="34" t="n">
        <x:v>0.13</x:v>
      </x:c>
      <x:c r="S359" s="34" t="n">
        <x:v>0.1159</x:v>
      </x:c>
      <x:c r="T359" s="32" t="n">
        <x:v>46209.26112309028</x:v>
      </x:c>
      <x:c r="U359" s="32" t="n">
        <x:v>46210.26112309028</x:v>
      </x:c>
      <x:c r="V359" s="34" t="n">
        <x:v>5</x:v>
      </x:c>
      <x:c r="W359" s="34" t="n">
        <x:v>0.1</x:v>
      </x:c>
      <x:c r="X359" s="34" t="n">
        <x:v>0.1</x:v>
      </x:c>
      <x:c r="Y359" s="34" t="n">
        <x:v>0.0001</x:v>
      </x:c>
      <x:c r="Z359" s="30" t="str">
        <x:f>IF(AND(D359="TRADING",I359&lt;&gt;"",L359&lt;&gt;"",M359&lt;&gt;"",N359&lt;&gt;"",O359&lt;&gt;""),"Yes","No")</x:f>
        <x:v>No</x:v>
      </x:c>
      <x:c r="AA359" s="39" t="str">
        <x:v>https://developers.binance.com/en/docs/catalog/core-trading-spot-trading/api/rest-api</x:v>
      </x:c>
    </x:row>
    <x:row r="360">
      <x:c r="A360" s="30" t="str">
        <x:v>LOOMUSDT</x:v>
      </x:c>
      <x:c r="B360" s="30" t="str">
        <x:v>LOOM</x:v>
      </x:c>
      <x:c r="C360" s="30" t="str">
        <x:v>USDT</x:v>
      </x:c>
      <x:c r="D360" s="30" t="str">
        <x:v>BREAK</x:v>
      </x:c>
      <x:c r="E360" s="31" t="b">
        <x:v>1</x:v>
      </x:c>
      <x:c r="F360" s="32" t="n">
        <x:v>45009</x:v>
      </x:c>
      <x:c r="G360" s="32" t="n">
        <x:v>45009.999999988424</x:v>
      </x:c>
      <x:c r="H360" s="33" t="n">
        <x:f>IF(F360="","",('Summary'!$B$5-F360)/365.25)</x:f>
        <x:v>3.362114965966995</x:v>
      </x:c>
      <x:c r="I360" s="34" t="n">
        <x:v>0.04831</x:v>
      </x:c>
      <x:c r="J360" s="35" t="n">
        <x:v>-0.02028</x:v>
      </x:c>
      <x:c r="K360" s="36" t="n">
        <x:v>12058322</x:v>
      </x:c>
      <x:c r="L360" s="36" t="n">
        <x:v>588914.38603</x:v>
      </x:c>
      <x:c r="M360" s="37" t="n">
        <x:v>4001</x:v>
      </x:c>
      <x:c r="N360" s="34" t="n">
        <x:v>0</x:v>
      </x:c>
      <x:c r="O360" s="34" t="n">
        <x:v>0</x:v>
      </x:c>
      <x:c r="P360" s="38" t="str">
        <x:f>IF(OR(N360="",O360="",N360=0,O360=0),"",(O360-N360)/((O360+N360)/2))</x:f>
      </x:c>
      <x:c r="Q360" s="34" t="n">
        <x:v>0.04883883</x:v>
      </x:c>
      <x:c r="R360" s="34" t="n">
        <x:v>0.05</x:v>
      </x:c>
      <x:c r="S360" s="34" t="n">
        <x:v>0.04795</x:v>
      </x:c>
      <x:c r="T360" s="32" t="n">
        <x:v>46209.26112309028</x:v>
      </x:c>
      <x:c r="U360" s="32" t="n">
        <x:v>46210.26112309028</x:v>
      </x:c>
      <x:c r="V360" s="34" t="n">
        <x:v>1</x:v>
      </x:c>
      <x:c r="W360" s="34" t="n">
        <x:v>1</x:v>
      </x:c>
      <x:c r="X360" s="34" t="n">
        <x:v>1</x:v>
      </x:c>
      <x:c r="Y360" s="34" t="n">
        <x:v>0.00001</x:v>
      </x:c>
      <x:c r="Z360" s="30" t="str">
        <x:f>IF(AND(D360="TRADING",I360&lt;&gt;"",L360&lt;&gt;"",M360&lt;&gt;"",N360&lt;&gt;"",O360&lt;&gt;""),"Yes","No")</x:f>
        <x:v>No</x:v>
      </x:c>
      <x:c r="AA360" s="39" t="str">
        <x:v>https://developers.binance.com/en/docs/catalog/core-trading-spot-trading/api/rest-api</x:v>
      </x:c>
    </x:row>
    <x:row r="361">
      <x:c r="A361" s="30" t="str">
        <x:v>LPTUSDT</x:v>
      </x:c>
      <x:c r="B361" s="30" t="str">
        <x:v>LPT</x:v>
      </x:c>
      <x:c r="C361" s="30" t="str">
        <x:v>USDT</x:v>
      </x:c>
      <x:c r="D361" s="30" t="str">
        <x:v>TRADING</x:v>
      </x:c>
      <x:c r="E361" s="31" t="b">
        <x:v>1</x:v>
      </x:c>
      <x:c r="F361" s="32" t="n">
        <x:v>44344</x:v>
      </x:c>
      <x:c r="G361" s="32" t="n">
        <x:v>44344.999999988424</x:v>
      </x:c>
      <x:c r="H361" s="33" t="n">
        <x:f>IF(F361="","",('Summary'!$B$5-F361)/365.25)</x:f>
        <x:v>5.182785739409843</x:v>
      </x:c>
      <x:c r="I361" s="34" t="n">
        <x:v>1.283</x:v>
      </x:c>
      <x:c r="J361" s="35" t="n">
        <x:v>0.02068</x:v>
      </x:c>
      <x:c r="K361" s="36" t="n">
        <x:v>198648.2</x:v>
      </x:c>
      <x:c r="L361" s="36" t="n">
        <x:v>251757.93267</x:v>
      </x:c>
      <x:c r="M361" s="37" t="n">
        <x:v>3129</x:v>
      </x:c>
      <x:c r="N361" s="34" t="n">
        <x:v>1.283</x:v>
      </x:c>
      <x:c r="O361" s="34" t="n">
        <x:v>1.284</x:v>
      </x:c>
      <x:c r="P361" s="38" t="n">
        <x:f>IF(OR(N361="",O361="",N361=0,O361=0),"",(O361-N361)/((O361+N361)/2))</x:f>
        <x:v>0.0007791195948578978</x:v>
      </x:c>
      <x:c r="Q361" s="34" t="n">
        <x:v>1.26735572</x:v>
      </x:c>
      <x:c r="R361" s="34" t="n">
        <x:v>1.295</x:v>
      </x:c>
      <x:c r="S361" s="34" t="n">
        <x:v>1.236</x:v>
      </x:c>
      <x:c r="T361" s="32" t="n">
        <x:v>46236.012019340276</x:v>
      </x:c>
      <x:c r="U361" s="32" t="n">
        <x:v>46237.012019340276</x:v>
      </x:c>
      <x:c r="V361" s="34" t="n">
        <x:v>5</x:v>
      </x:c>
      <x:c r="W361" s="34" t="n">
        <x:v>0.01</x:v>
      </x:c>
      <x:c r="X361" s="34" t="n">
        <x:v>0.01</x:v>
      </x:c>
      <x:c r="Y361" s="34" t="n">
        <x:v>0.001</x:v>
      </x:c>
      <x:c r="Z361" s="30" t="str">
        <x:f>IF(AND(D361="TRADING",I361&lt;&gt;"",L361&lt;&gt;"",M361&lt;&gt;"",N361&lt;&gt;"",O361&lt;&gt;""),"Yes","No")</x:f>
        <x:v>Yes</x:v>
      </x:c>
      <x:c r="AA361" s="39" t="str">
        <x:v>https://developers.binance.com/en/docs/catalog/core-trading-spot-trading/api/rest-api</x:v>
      </x:c>
    </x:row>
    <x:row r="362">
      <x:c r="A362" s="30" t="str">
        <x:v>LQTYUSDT</x:v>
      </x:c>
      <x:c r="B362" s="30" t="str">
        <x:v>LQTY</x:v>
      </x:c>
      <x:c r="C362" s="30" t="str">
        <x:v>USDT</x:v>
      </x:c>
      <x:c r="D362" s="30" t="str">
        <x:v>TRADING</x:v>
      </x:c>
      <x:c r="E362" s="31" t="b">
        <x:v>1</x:v>
      </x:c>
      <x:c r="F362" s="32" t="n">
        <x:v>44985</x:v>
      </x:c>
      <x:c r="G362" s="32" t="n">
        <x:v>44985.999999988424</x:v>
      </x:c>
      <x:c r="H362" s="33" t="n">
        <x:f>IF(F362="","",('Summary'!$B$5-F362)/365.25)</x:f>
        <x:v>3.4278233848581654</x:v>
      </x:c>
      <x:c r="I362" s="34" t="n">
        <x:v>0.1775</x:v>
      </x:c>
      <x:c r="J362" s="35" t="n">
        <x:v>0.00396</x:v>
      </x:c>
      <x:c r="K362" s="36" t="n">
        <x:v>544238.9</x:v>
      </x:c>
      <x:c r="L362" s="36" t="n">
        <x:v>95831.60668</x:v>
      </x:c>
      <x:c r="M362" s="37" t="n">
        <x:v>4107</x:v>
      </x:c>
      <x:c r="N362" s="34" t="n">
        <x:v>0.1774</x:v>
      </x:c>
      <x:c r="O362" s="34" t="n">
        <x:v>0.1775</x:v>
      </x:c>
      <x:c r="P362" s="38" t="n">
        <x:f>IF(OR(N362="",O362="",N362=0,O362=0),"",(O362-N362)/((O362+N362)/2))</x:f>
        <x:v>0.0005635390250774246</x:v>
      </x:c>
      <x:c r="Q362" s="34" t="n">
        <x:v>0.17608371</x:v>
      </x:c>
      <x:c r="R362" s="34" t="n">
        <x:v>0.1805</x:v>
      </x:c>
      <x:c r="S362" s="34" t="n">
        <x:v>0.1722</x:v>
      </x:c>
      <x:c r="T362" s="32" t="n">
        <x:v>46236.012477951386</x:v>
      </x:c>
      <x:c r="U362" s="32" t="n">
        <x:v>46237.012477951386</x:v>
      </x:c>
      <x:c r="V362" s="34" t="n">
        <x:v>5</x:v>
      </x:c>
      <x:c r="W362" s="34" t="n">
        <x:v>0.1</x:v>
      </x:c>
      <x:c r="X362" s="34" t="n">
        <x:v>0.1</x:v>
      </x:c>
      <x:c r="Y362" s="34" t="n">
        <x:v>0.0001</x:v>
      </x:c>
      <x:c r="Z362" s="30" t="str">
        <x:f>IF(AND(D362="TRADING",I362&lt;&gt;"",L362&lt;&gt;"",M362&lt;&gt;"",N362&lt;&gt;"",O362&lt;&gt;""),"Yes","No")</x:f>
        <x:v>Yes</x:v>
      </x:c>
      <x:c r="AA362" s="39" t="str">
        <x:v>https://developers.binance.com/en/docs/catalog/core-trading-spot-trading/api/rest-api</x:v>
      </x:c>
    </x:row>
    <x:row r="363">
      <x:c r="A363" s="30" t="str">
        <x:v>LRCUSDT</x:v>
      </x:c>
      <x:c r="B363" s="30" t="str">
        <x:v>LRC</x:v>
      </x:c>
      <x:c r="C363" s="30" t="str">
        <x:v>USDT</x:v>
      </x:c>
      <x:c r="D363" s="30" t="str">
        <x:v>BREAK</x:v>
      </x:c>
      <x:c r="E363" s="31" t="b">
        <x:v>1</x:v>
      </x:c>
      <x:c r="F363" s="32" t="n">
        <x:v>43994</x:v>
      </x:c>
      <x:c r="G363" s="32" t="n">
        <x:v>43994.999999988424</x:v>
      </x:c>
      <x:c r="H363" s="33" t="n">
        <x:f>IF(F363="","",('Summary'!$B$5-F363)/365.25)</x:f>
        <x:v>6.141033514906078</x:v>
      </x:c>
      <x:c r="I363" s="34" t="n">
        <x:v>0.01879</x:v>
      </x:c>
      <x:c r="J363" s="35" t="n">
        <x:v>-0.062380000000000005</x:v>
      </x:c>
      <x:c r="K363" s="36" t="n">
        <x:v>145220144</x:v>
      </x:c>
      <x:c r="L363" s="36" t="n">
        <x:v>2891184.21049</x:v>
      </x:c>
      <x:c r="M363" s="37" t="n">
        <x:v>64006</x:v>
      </x:c>
      <x:c r="N363" s="34" t="n">
        <x:v>0</x:v>
      </x:c>
      <x:c r="O363" s="34" t="n">
        <x:v>0</x:v>
      </x:c>
      <x:c r="P363" s="38" t="str">
        <x:f>IF(OR(N363="",O363="",N363=0,O363=0),"",(O363-N363)/((O363+N363)/2))</x:f>
      </x:c>
      <x:c r="Q363" s="34" t="n">
        <x:v>0.01990897</x:v>
      </x:c>
      <x:c r="R363" s="34" t="n">
        <x:v>0.022</x:v>
      </x:c>
      <x:c r="S363" s="34" t="n">
        <x:v>0.0183</x:v>
      </x:c>
      <x:c r="T363" s="32" t="n">
        <x:v>46209.26112309028</x:v>
      </x:c>
      <x:c r="U363" s="32" t="n">
        <x:v>46210.26112309028</x:v>
      </x:c>
      <x:c r="V363" s="34" t="n">
        <x:v>5</x:v>
      </x:c>
      <x:c r="W363" s="34" t="n">
        <x:v>1</x:v>
      </x:c>
      <x:c r="X363" s="34" t="n">
        <x:v>1</x:v>
      </x:c>
      <x:c r="Y363" s="34" t="n">
        <x:v>0.00001</x:v>
      </x:c>
      <x:c r="Z363" s="30" t="str">
        <x:f>IF(AND(D363="TRADING",I363&lt;&gt;"",L363&lt;&gt;"",M363&lt;&gt;"",N363&lt;&gt;"",O363&lt;&gt;""),"Yes","No")</x:f>
        <x:v>No</x:v>
      </x:c>
      <x:c r="AA363" s="39" t="str">
        <x:v>https://developers.binance.com/en/docs/catalog/core-trading-spot-trading/api/rest-api</x:v>
      </x:c>
    </x:row>
    <x:row r="364">
      <x:c r="A364" s="30" t="str">
        <x:v>LSKUSDT</x:v>
      </x:c>
      <x:c r="B364" s="30" t="str">
        <x:v>LSK</x:v>
      </x:c>
      <x:c r="C364" s="30" t="str">
        <x:v>USDT</x:v>
      </x:c>
      <x:c r="D364" s="30" t="str">
        <x:v>TRADING</x:v>
      </x:c>
      <x:c r="E364" s="31" t="b">
        <x:v>1</x:v>
      </x:c>
      <x:c r="F364" s="32" t="n">
        <x:v>43867</x:v>
      </x:c>
      <x:c r="G364" s="32" t="n">
        <x:v>43867.999999988424</x:v>
      </x:c>
      <x:c r="H364" s="33" t="n">
        <x:f>IF(F364="","",('Summary'!$B$5-F364)/365.25)</x:f>
        <x:v>6.488740564871855</x:v>
      </x:c>
      <x:c r="I364" s="34" t="n">
        <x:v>0.0717</x:v>
      </x:c>
      <x:c r="J364" s="35" t="n">
        <x:v>0.0042</x:v>
      </x:c>
      <x:c r="K364" s="36" t="n">
        <x:v>255510.3</x:v>
      </x:c>
      <x:c r="L364" s="36" t="n">
        <x:v>18470.7141</x:v>
      </x:c>
      <x:c r="M364" s="37" t="n">
        <x:v>668</x:v>
      </x:c>
      <x:c r="N364" s="34" t="n">
        <x:v>0.0715</x:v>
      </x:c>
      <x:c r="O364" s="34" t="n">
        <x:v>0.0717</x:v>
      </x:c>
      <x:c r="P364" s="38" t="n">
        <x:f>IF(OR(N364="",O364="",N364=0,O364=0),"",(O364-N364)/((O364+N364)/2))</x:f>
        <x:v>0.002793296089385555</x:v>
      </x:c>
      <x:c r="Q364" s="34" t="n">
        <x:v>0.07228951</x:v>
      </x:c>
      <x:c r="R364" s="34" t="n">
        <x:v>0.073</x:v>
      </x:c>
      <x:c r="S364" s="34" t="n">
        <x:v>0.0713</x:v>
      </x:c>
      <x:c r="T364" s="32" t="n">
        <x:v>46236.012345358795</x:v>
      </x:c>
      <x:c r="U364" s="32" t="n">
        <x:v>46237.012345358795</x:v>
      </x:c>
      <x:c r="V364" s="34" t="n">
        <x:v>5</x:v>
      </x:c>
      <x:c r="W364" s="34" t="n">
        <x:v>0.1</x:v>
      </x:c>
      <x:c r="X364" s="34" t="n">
        <x:v>0.1</x:v>
      </x:c>
      <x:c r="Y364" s="34" t="n">
        <x:v>0.0001</x:v>
      </x:c>
      <x:c r="Z364" s="30" t="str">
        <x:f>IF(AND(D364="TRADING",I364&lt;&gt;"",L364&lt;&gt;"",M364&lt;&gt;"",N364&lt;&gt;"",O364&lt;&gt;""),"Yes","No")</x:f>
        <x:v>Yes</x:v>
      </x:c>
      <x:c r="AA364" s="39" t="str">
        <x:v>https://developers.binance.com/en/docs/catalog/core-trading-spot-trading/api/rest-api</x:v>
      </x:c>
    </x:row>
    <x:row r="365">
      <x:c r="A365" s="30" t="str">
        <x:v>LTCUSDT</x:v>
      </x:c>
      <x:c r="B365" s="30" t="str">
        <x:v>LTC</x:v>
      </x:c>
      <x:c r="C365" s="30" t="str">
        <x:v>USDT</x:v>
      </x:c>
      <x:c r="D365" s="30" t="str">
        <x:v>TRADING</x:v>
      </x:c>
      <x:c r="E365" s="31" t="b">
        <x:v>1</x:v>
      </x:c>
      <x:c r="F365" s="32" t="n">
        <x:v>43082</x:v>
      </x:c>
      <x:c r="G365" s="32" t="n">
        <x:v>43082.999999988424</x:v>
      </x:c>
      <x:c r="H365" s="33" t="n">
        <x:f>IF(F365="","",('Summary'!$B$5-F365)/365.25)</x:f>
        <x:v>8.637953432770555</x:v>
      </x:c>
      <x:c r="I365" s="34" t="n">
        <x:v>44.69</x:v>
      </x:c>
      <x:c r="J365" s="35" t="n">
        <x:v>0.010860000000000002</x:v>
      </x:c>
      <x:c r="K365" s="36" t="n">
        <x:v>120946.02</x:v>
      </x:c>
      <x:c r="L365" s="36" t="n">
        <x:v>5408351.49925</x:v>
      </x:c>
      <x:c r="M365" s="37" t="n">
        <x:v>65716</x:v>
      </x:c>
      <x:c r="N365" s="34" t="n">
        <x:v>44.69</x:v>
      </x:c>
      <x:c r="O365" s="34" t="n">
        <x:v>44.7</x:v>
      </x:c>
      <x:c r="P365" s="38" t="n">
        <x:f>IF(OR(N365="",O365="",N365=0,O365=0),"",(O365-N365)/((O365+N365)/2))</x:f>
        <x:v>0.00022373867322978222</x:v>
      </x:c>
      <x:c r="Q365" s="34" t="n">
        <x:v>44.71706882</x:v>
      </x:c>
      <x:c r="R365" s="34" t="n">
        <x:v>45.05</x:v>
      </x:c>
      <x:c r="S365" s="34" t="n">
        <x:v>44.12</x:v>
      </x:c>
      <x:c r="T365" s="32" t="n">
        <x:v>46236.0124769213</x:v>
      </x:c>
      <x:c r="U365" s="32" t="n">
        <x:v>46237.0124769213</x:v>
      </x:c>
      <x:c r="V365" s="34" t="n">
        <x:v>5</x:v>
      </x:c>
      <x:c r="W365" s="34" t="n">
        <x:v>0.001</x:v>
      </x:c>
      <x:c r="X365" s="34" t="n">
        <x:v>0.001</x:v>
      </x:c>
      <x:c r="Y365" s="34" t="n">
        <x:v>0.01</x:v>
      </x:c>
      <x:c r="Z365" s="30" t="str">
        <x:f>IF(AND(D365="TRADING",I365&lt;&gt;"",L365&lt;&gt;"",M365&lt;&gt;"",N365&lt;&gt;"",O365&lt;&gt;""),"Yes","No")</x:f>
        <x:v>Yes</x:v>
      </x:c>
      <x:c r="AA365" s="39" t="str">
        <x:v>https://developers.binance.com/en/docs/catalog/core-trading-spot-trading/api/rest-api</x:v>
      </x:c>
    </x:row>
    <x:row r="366">
      <x:c r="A366" s="30" t="str">
        <x:v>LTOUSDT</x:v>
      </x:c>
      <x:c r="B366" s="30" t="str">
        <x:v>LTO</x:v>
      </x:c>
      <x:c r="C366" s="30" t="str">
        <x:v>USDT</x:v>
      </x:c>
      <x:c r="D366" s="30" t="str">
        <x:v>BREAK</x:v>
      </x:c>
      <x:c r="E366" s="31" t="b">
        <x:v>1</x:v>
      </x:c>
      <x:c r="F366" s="32" t="n">
        <x:v>43868</x:v>
      </x:c>
      <x:c r="G366" s="32" t="n">
        <x:v>43868.999999988424</x:v>
      </x:c>
      <x:c r="H366" s="33" t="n">
        <x:f>IF(F366="","",('Summary'!$B$5-F366)/365.25)</x:f>
        <x:v>6.486002714084723</x:v>
      </x:c>
      <x:c r="I366" s="34" t="n">
        <x:v>0.0038</x:v>
      </x:c>
      <x:c r="J366" s="35" t="n">
        <x:v>0.02703</x:v>
      </x:c>
      <x:c r="K366" s="36" t="n">
        <x:v>118743621</x:v>
      </x:c>
      <x:c r="L366" s="36" t="n">
        <x:v>410367.5303</x:v>
      </x:c>
      <x:c r="M366" s="37" t="n">
        <x:v>4001</x:v>
      </x:c>
      <x:c r="N366" s="34" t="n">
        <x:v>0</x:v>
      </x:c>
      <x:c r="O366" s="34" t="n">
        <x:v>0</x:v>
      </x:c>
      <x:c r="P366" s="38" t="str">
        <x:f>IF(OR(N366="",O366="",N366=0,O366=0),"",(O366-N366)/((O366+N366)/2))</x:f>
      </x:c>
      <x:c r="Q366" s="34" t="n">
        <x:v>0.00345591</x:v>
      </x:c>
      <x:c r="R366" s="34" t="n">
        <x:v>0.004</x:v>
      </x:c>
      <x:c r="S366" s="34" t="n">
        <x:v>0.0029</x:v>
      </x:c>
      <x:c r="T366" s="32" t="n">
        <x:v>46209.26112309028</x:v>
      </x:c>
      <x:c r="U366" s="32" t="n">
        <x:v>46210.26112309028</x:v>
      </x:c>
      <x:c r="V366" s="34" t="n">
        <x:v>5</x:v>
      </x:c>
      <x:c r="W366" s="34" t="n">
        <x:v>1</x:v>
      </x:c>
      <x:c r="X366" s="34" t="n">
        <x:v>1</x:v>
      </x:c>
      <x:c r="Y366" s="34" t="n">
        <x:v>0.0001</x:v>
      </x:c>
      <x:c r="Z366" s="30" t="str">
        <x:f>IF(AND(D366="TRADING",I366&lt;&gt;"",L366&lt;&gt;"",M366&lt;&gt;"",N366&lt;&gt;"",O366&lt;&gt;""),"Yes","No")</x:f>
        <x:v>No</x:v>
      </x:c>
      <x:c r="AA366" s="39" t="str">
        <x:v>https://developers.binance.com/en/docs/catalog/core-trading-spot-trading/api/rest-api</x:v>
      </x:c>
    </x:row>
    <x:row r="367">
      <x:c r="A367" s="30" t="str">
        <x:v>LUMIAUSDT</x:v>
      </x:c>
      <x:c r="B367" s="30" t="str">
        <x:v>LUMIA</x:v>
      </x:c>
      <x:c r="C367" s="30" t="str">
        <x:v>USDT</x:v>
      </x:c>
      <x:c r="D367" s="30" t="str">
        <x:v>TRADING</x:v>
      </x:c>
      <x:c r="E367" s="31" t="b">
        <x:v>1</x:v>
      </x:c>
      <x:c r="F367" s="32" t="n">
        <x:v>45583</x:v>
      </x:c>
      <x:c r="G367" s="32" t="n">
        <x:v>45583.999999988424</x:v>
      </x:c>
      <x:c r="H367" s="33" t="n">
        <x:f>IF(F367="","",('Summary'!$B$5-F367)/365.25)</x:f>
        <x:v>1.790588614153169</x:v>
      </x:c>
      <x:c r="I367" s="34" t="n">
        <x:v>0.0749</x:v>
      </x:c>
      <x:c r="J367" s="35" t="n">
        <x:v>0.01628</x:v>
      </x:c>
      <x:c r="K367" s="36" t="n">
        <x:v>11710992.13</x:v>
      </x:c>
      <x:c r="L367" s="36" t="n">
        <x:v>907135.788268</x:v>
      </x:c>
      <x:c r="M367" s="37" t="n">
        <x:v>16205</x:v>
      </x:c>
      <x:c r="N367" s="34" t="n">
        <x:v>0.0747</x:v>
      </x:c>
      <x:c r="O367" s="34" t="n">
        <x:v>0.0748</x:v>
      </x:c>
      <x:c r="P367" s="38" t="n">
        <x:f>IF(OR(N367="",O367="",N367=0,O367=0),"",(O367-N367)/((O367+N367)/2))</x:f>
        <x:v>0.0013377926421405063</x:v>
      </x:c>
      <x:c r="Q367" s="34" t="n">
        <x:v>0.0774602</x:v>
      </x:c>
      <x:c r="R367" s="34" t="n">
        <x:v>0.0815</x:v>
      </x:c>
      <x:c r="S367" s="34" t="n">
        <x:v>0.0732</x:v>
      </x:c>
      <x:c r="T367" s="32" t="n">
        <x:v>46236.01241469907</x:v>
      </x:c>
      <x:c r="U367" s="32" t="n">
        <x:v>46237.01241469907</x:v>
      </x:c>
      <x:c r="V367" s="34" t="n">
        <x:v>5</x:v>
      </x:c>
      <x:c r="W367" s="34" t="n">
        <x:v>0.01</x:v>
      </x:c>
      <x:c r="X367" s="34" t="n">
        <x:v>0.01</x:v>
      </x:c>
      <x:c r="Y367" s="34" t="n">
        <x:v>0.0001</x:v>
      </x:c>
      <x:c r="Z367" s="30" t="str">
        <x:f>IF(AND(D367="TRADING",I367&lt;&gt;"",L367&lt;&gt;"",M367&lt;&gt;"",N367&lt;&gt;"",O367&lt;&gt;""),"Yes","No")</x:f>
        <x:v>Yes</x:v>
      </x:c>
      <x:c r="AA367" s="39" t="str">
        <x:v>https://developers.binance.com/en/docs/catalog/core-trading-spot-trading/api/rest-api</x:v>
      </x:c>
    </x:row>
    <x:row r="368">
      <x:c r="A368" s="30" t="str">
        <x:v>LUNAUSDT</x:v>
      </x:c>
      <x:c r="B368" s="30" t="str">
        <x:v>LUNA</x:v>
      </x:c>
      <x:c r="C368" s="30" t="str">
        <x:v>USDT</x:v>
      </x:c>
      <x:c r="D368" s="30" t="str">
        <x:v>TRADING</x:v>
      </x:c>
      <x:c r="E368" s="31" t="b">
        <x:v>1</x:v>
      </x:c>
      <x:c r="F368" s="32" t="n">
        <x:v>44064</x:v>
      </x:c>
      <x:c r="G368" s="32" t="n">
        <x:v>44064.999999988424</x:v>
      </x:c>
      <x:c r="H368" s="33" t="n">
        <x:f>IF(F368="","",('Summary'!$B$5-F368)/365.25)</x:f>
        <x:v>5.9493839598068305</x:v>
      </x:c>
      <x:c r="I368" s="34" t="n">
        <x:v>0.0415</x:v>
      </x:c>
      <x:c r="J368" s="35" t="n">
        <x:v>0.00242</x:v>
      </x:c>
      <x:c r="K368" s="36" t="n">
        <x:v>8254077.37</x:v>
      </x:c>
      <x:c r="L368" s="36" t="n">
        <x:v>342621.595536</x:v>
      </x:c>
      <x:c r="M368" s="37" t="n">
        <x:v>2472</x:v>
      </x:c>
      <x:c r="N368" s="34" t="n">
        <x:v>0.0414</x:v>
      </x:c>
      <x:c r="O368" s="34" t="n">
        <x:v>0.0415</x:v>
      </x:c>
      <x:c r="P368" s="38" t="n">
        <x:f>IF(OR(N368="",O368="",N368=0,O368=0),"",(O368-N368)/((O368+N368)/2))</x:f>
        <x:v>0.0024125452352232297</x:v>
      </x:c>
      <x:c r="Q368" s="34" t="n">
        <x:v>0.04150938</x:v>
      </x:c>
      <x:c r="R368" s="34" t="n">
        <x:v>0.0423</x:v>
      </x:c>
      <x:c r="S368" s="34" t="n">
        <x:v>0.0408</x:v>
      </x:c>
      <x:c r="T368" s="32" t="n">
        <x:v>46236.01247206018</x:v>
      </x:c>
      <x:c r="U368" s="32" t="n">
        <x:v>46237.01247206018</x:v>
      </x:c>
      <x:c r="V368" s="34" t="n">
        <x:v>5</x:v>
      </x:c>
      <x:c r="W368" s="34" t="n">
        <x:v>0.01</x:v>
      </x:c>
      <x:c r="X368" s="34" t="n">
        <x:v>0.01</x:v>
      </x:c>
      <x:c r="Y368" s="34" t="n">
        <x:v>0.0001</x:v>
      </x:c>
      <x:c r="Z368" s="30" t="str">
        <x:f>IF(AND(D368="TRADING",I368&lt;&gt;"",L368&lt;&gt;"",M368&lt;&gt;"",N368&lt;&gt;"",O368&lt;&gt;""),"Yes","No")</x:f>
        <x:v>Yes</x:v>
      </x:c>
      <x:c r="AA368" s="39" t="str">
        <x:v>https://developers.binance.com/en/docs/catalog/core-trading-spot-trading/api/rest-api</x:v>
      </x:c>
    </x:row>
    <x:row r="369">
      <x:c r="A369" s="30" t="str">
        <x:v>LUNCUSDT</x:v>
      </x:c>
      <x:c r="B369" s="30" t="str">
        <x:v>LUNC</x:v>
      </x:c>
      <x:c r="C369" s="30" t="str">
        <x:v>USDT</x:v>
      </x:c>
      <x:c r="D369" s="30" t="str">
        <x:v>TRADING</x:v>
      </x:c>
      <x:c r="E369" s="31" t="b">
        <x:v>1</x:v>
      </x:c>
      <x:c r="F369" s="32" t="n">
        <x:v>44813</x:v>
      </x:c>
      <x:c r="G369" s="32" t="n">
        <x:v>44813.999999988424</x:v>
      </x:c>
      <x:c r="H369" s="33" t="n">
        <x:f>IF(F369="","",('Summary'!$B$5-F369)/365.25)</x:f>
        <x:v>3.898733720244887</x:v>
      </x:c>
      <x:c r="I369" s="34" t="n">
        <x:v>0.00005133</x:v>
      </x:c>
      <x:c r="J369" s="35" t="n">
        <x:v>0.04948</x:v>
      </x:c>
      <x:c r="K369" s="36" t="n">
        <x:v>33386688736.56</x:v>
      </x:c>
      <x:c r="L369" s="36" t="n">
        <x:v>1689276.90249879</x:v>
      </x:c>
      <x:c r="M369" s="37" t="n">
        <x:v>31828</x:v>
      </x:c>
      <x:c r="N369" s="34" t="n">
        <x:v>0.00005131</x:v>
      </x:c>
      <x:c r="O369" s="34" t="n">
        <x:v>0.00005134</x:v>
      </x:c>
      <x:c r="P369" s="38" t="n">
        <x:f>IF(OR(N369="",O369="",N369=0,O369=0),"",(O369-N369)/((O369+N369)/2))</x:f>
        <x:v>0.0005845104724792599</x:v>
      </x:c>
      <x:c r="Q369" s="34" t="n">
        <x:v>0.0000506</x:v>
      </x:c>
      <x:c r="R369" s="34" t="n">
        <x:v>0.00005309</x:v>
      </x:c>
      <x:c r="S369" s="34" t="n">
        <x:v>0.00004847</x:v>
      </x:c>
      <x:c r="T369" s="32" t="n">
        <x:v>46236.01248722222</x:v>
      </x:c>
      <x:c r="U369" s="32" t="n">
        <x:v>46237.01248722222</x:v>
      </x:c>
      <x:c r="V369" s="34" t="n">
        <x:v>5</x:v>
      </x:c>
      <x:c r="W369" s="34" t="n">
        <x:v>0.01</x:v>
      </x:c>
      <x:c r="X369" s="34" t="n">
        <x:v>0.01</x:v>
      </x:c>
      <x:c r="Y369" s="34" t="n">
        <x:v>1e-8</x:v>
      </x:c>
      <x:c r="Z369" s="30" t="str">
        <x:f>IF(AND(D369="TRADING",I369&lt;&gt;"",L369&lt;&gt;"",M369&lt;&gt;"",N369&lt;&gt;"",O369&lt;&gt;""),"Yes","No")</x:f>
        <x:v>Yes</x:v>
      </x:c>
      <x:c r="AA369" s="39" t="str">
        <x:v>https://developers.binance.com/en/docs/catalog/core-trading-spot-trading/api/rest-api</x:v>
      </x:c>
    </x:row>
    <x:row r="370">
      <x:c r="A370" s="30" t="str">
        <x:v>MAGICUSDT</x:v>
      </x:c>
      <x:c r="B370" s="30" t="str">
        <x:v>MAGIC</x:v>
      </x:c>
      <x:c r="C370" s="30" t="str">
        <x:v>USDT</x:v>
      </x:c>
      <x:c r="D370" s="30" t="str">
        <x:v>TRADING</x:v>
      </x:c>
      <x:c r="E370" s="31" t="b">
        <x:v>1</x:v>
      </x:c>
      <x:c r="F370" s="32" t="n">
        <x:v>44907</x:v>
      </x:c>
      <x:c r="G370" s="32" t="n">
        <x:v>44907.999999988424</x:v>
      </x:c>
      <x:c r="H370" s="33" t="n">
        <x:f>IF(F370="","",('Summary'!$B$5-F370)/365.25)</x:f>
        <x:v>3.6413757462544694</x:v>
      </x:c>
      <x:c r="I370" s="34" t="n">
        <x:v>0.0423</x:v>
      </x:c>
      <x:c r="J370" s="35" t="n">
        <x:v>0.01196</x:v>
      </x:c>
      <x:c r="K370" s="36" t="n">
        <x:v>3153562.7</x:v>
      </x:c>
      <x:c r="L370" s="36" t="n">
        <x:v>133617.74614</x:v>
      </x:c>
      <x:c r="M370" s="37" t="n">
        <x:v>2175</x:v>
      </x:c>
      <x:c r="N370" s="34" t="n">
        <x:v>0.0422</x:v>
      </x:c>
      <x:c r="O370" s="34" t="n">
        <x:v>0.0423</x:v>
      </x:c>
      <x:c r="P370" s="38" t="n">
        <x:f>IF(OR(N370="",O370="",N370=0,O370=0),"",(O370-N370)/((O370+N370)/2))</x:f>
        <x:v>0.0023668639053253475</x:v>
      </x:c>
      <x:c r="Q370" s="34" t="n">
        <x:v>0.04237041</x:v>
      </x:c>
      <x:c r="R370" s="34" t="n">
        <x:v>0.0431</x:v>
      </x:c>
      <x:c r="S370" s="34" t="n">
        <x:v>0.0416</x:v>
      </x:c>
      <x:c r="T370" s="32" t="n">
        <x:v>46236.012323194445</x:v>
      </x:c>
      <x:c r="U370" s="32" t="n">
        <x:v>46237.012323194445</x:v>
      </x:c>
      <x:c r="V370" s="34" t="n">
        <x:v>5</x:v>
      </x:c>
      <x:c r="W370" s="34" t="n">
        <x:v>0.1</x:v>
      </x:c>
      <x:c r="X370" s="34" t="n">
        <x:v>0.1</x:v>
      </x:c>
      <x:c r="Y370" s="34" t="n">
        <x:v>0.0001</x:v>
      </x:c>
      <x:c r="Z370" s="30" t="str">
        <x:f>IF(AND(D370="TRADING",I370&lt;&gt;"",L370&lt;&gt;"",M370&lt;&gt;"",N370&lt;&gt;"",O370&lt;&gt;""),"Yes","No")</x:f>
        <x:v>Yes</x:v>
      </x:c>
      <x:c r="AA370" s="39" t="str">
        <x:v>https://developers.binance.com/en/docs/catalog/core-trading-spot-trading/api/rest-api</x:v>
      </x:c>
    </x:row>
    <x:row r="371">
      <x:c r="A371" s="30" t="str">
        <x:v>MANAUSDT</x:v>
      </x:c>
      <x:c r="B371" s="30" t="str">
        <x:v>MANA</x:v>
      </x:c>
      <x:c r="C371" s="30" t="str">
        <x:v>USDT</x:v>
      </x:c>
      <x:c r="D371" s="30" t="str">
        <x:v>TRADING</x:v>
      </x:c>
      <x:c r="E371" s="31" t="b">
        <x:v>1</x:v>
      </x:c>
      <x:c r="F371" s="32" t="n">
        <x:v>44049</x:v>
      </x:c>
      <x:c r="G371" s="32" t="n">
        <x:v>44049.999999988424</x:v>
      </x:c>
      <x:c r="H371" s="33" t="n">
        <x:f>IF(F371="","",('Summary'!$B$5-F371)/365.25)</x:f>
        <x:v>5.9904517216138125</x:v>
      </x:c>
      <x:c r="I371" s="34" t="n">
        <x:v>0.0672</x:v>
      </x:c>
      <x:c r="J371" s="35" t="n">
        <x:v>0.01053</x:v>
      </x:c>
      <x:c r="K371" s="36" t="n">
        <x:v>3493331</x:v>
      </x:c>
      <x:c r="L371" s="36" t="n">
        <x:v>233198.478</x:v>
      </x:c>
      <x:c r="M371" s="37" t="n">
        <x:v>3222</x:v>
      </x:c>
      <x:c r="N371" s="34" t="n">
        <x:v>0.0672</x:v>
      </x:c>
      <x:c r="O371" s="34" t="n">
        <x:v>0.0673</x:v>
      </x:c>
      <x:c r="P371" s="38" t="n">
        <x:f>IF(OR(N371="",O371="",N371=0,O371=0),"",(O371-N371)/((O371+N371)/2))</x:f>
        <x:v>0.0014869888475836856</x:v>
      </x:c>
      <x:c r="Q371" s="34" t="n">
        <x:v>0.06675533</x:v>
      </x:c>
      <x:c r="R371" s="34" t="n">
        <x:v>0.0678</x:v>
      </x:c>
      <x:c r="S371" s="34" t="n">
        <x:v>0.0657</x:v>
      </x:c>
      <x:c r="T371" s="32" t="n">
        <x:v>46236.012398356484</x:v>
      </x:c>
      <x:c r="U371" s="32" t="n">
        <x:v>46237.012398356484</x:v>
      </x:c>
      <x:c r="V371" s="34" t="n">
        <x:v>5</x:v>
      </x:c>
      <x:c r="W371" s="34" t="n">
        <x:v>1</x:v>
      </x:c>
      <x:c r="X371" s="34" t="n">
        <x:v>1</x:v>
      </x:c>
      <x:c r="Y371" s="34" t="n">
        <x:v>0.0001</x:v>
      </x:c>
      <x:c r="Z371" s="30" t="str">
        <x:f>IF(AND(D371="TRADING",I371&lt;&gt;"",L371&lt;&gt;"",M371&lt;&gt;"",N371&lt;&gt;"",O371&lt;&gt;""),"Yes","No")</x:f>
        <x:v>Yes</x:v>
      </x:c>
      <x:c r="AA371" s="39" t="str">
        <x:v>https://developers.binance.com/en/docs/catalog/core-trading-spot-trading/api/rest-api</x:v>
      </x:c>
    </x:row>
    <x:row r="372">
      <x:c r="A372" s="30" t="str">
        <x:v>MANTAUSDT</x:v>
      </x:c>
      <x:c r="B372" s="30" t="str">
        <x:v>MANTA</x:v>
      </x:c>
      <x:c r="C372" s="30" t="str">
        <x:v>USDT</x:v>
      </x:c>
      <x:c r="D372" s="30" t="str">
        <x:v>TRADING</x:v>
      </x:c>
      <x:c r="E372" s="31" t="b">
        <x:v>1</x:v>
      </x:c>
      <x:c r="F372" s="32" t="n">
        <x:v>45309</x:v>
      </x:c>
      <x:c r="G372" s="32" t="n">
        <x:v>45309.999999988424</x:v>
      </x:c>
      <x:c r="H372" s="33" t="n">
        <x:f>IF(F372="","",('Summary'!$B$5-F372)/365.25)</x:f>
        <x:v>2.5407597298273648</x:v>
      </x:c>
      <x:c r="I372" s="34" t="n">
        <x:v>0.05798</x:v>
      </x:c>
      <x:c r="J372" s="35" t="n">
        <x:v>-0.01845</x:v>
      </x:c>
      <x:c r="K372" s="36" t="n">
        <x:v>3454973.9</x:v>
      </x:c>
      <x:c r="L372" s="36" t="n">
        <x:v>201555.848494</x:v>
      </x:c>
      <x:c r="M372" s="37" t="n">
        <x:v>3116</x:v>
      </x:c>
      <x:c r="N372" s="34" t="n">
        <x:v>0.05796</x:v>
      </x:c>
      <x:c r="O372" s="34" t="n">
        <x:v>0.05801</x:v>
      </x:c>
      <x:c r="P372" s="38" t="n">
        <x:f>IF(OR(N372="",O372="",N372=0,O372=0),"",(O372-N372)/((O372+N372)/2))</x:f>
        <x:v>0.0008622919720617649</x:v>
      </x:c>
      <x:c r="Q372" s="34" t="n">
        <x:v>0.05833788</x:v>
      </x:c>
      <x:c r="R372" s="34" t="n">
        <x:v>0.0595</x:v>
      </x:c>
      <x:c r="S372" s="34" t="n">
        <x:v>0.05736</x:v>
      </x:c>
      <x:c r="T372" s="32" t="n">
        <x:v>46236.01163400463</x:v>
      </x:c>
      <x:c r="U372" s="32" t="n">
        <x:v>46237.01163400463</x:v>
      </x:c>
      <x:c r="V372" s="34" t="n">
        <x:v>5</x:v>
      </x:c>
      <x:c r="W372" s="34" t="n">
        <x:v>0.1</x:v>
      </x:c>
      <x:c r="X372" s="34" t="n">
        <x:v>0.1</x:v>
      </x:c>
      <x:c r="Y372" s="34" t="n">
        <x:v>0.00001</x:v>
      </x:c>
      <x:c r="Z372" s="30" t="str">
        <x:f>IF(AND(D372="TRADING",I372&lt;&gt;"",L372&lt;&gt;"",M372&lt;&gt;"",N372&lt;&gt;"",O372&lt;&gt;""),"Yes","No")</x:f>
        <x:v>Yes</x:v>
      </x:c>
      <x:c r="AA372" s="39" t="str">
        <x:v>https://developers.binance.com/en/docs/catalog/core-trading-spot-trading/api/rest-api</x:v>
      </x:c>
    </x:row>
    <x:row r="373">
      <x:c r="A373" s="30" t="str">
        <x:v>MANTRAUSDT</x:v>
      </x:c>
      <x:c r="B373" s="30" t="str">
        <x:v>MANTRA</x:v>
      </x:c>
      <x:c r="C373" s="30" t="str">
        <x:v>USDT</x:v>
      </x:c>
      <x:c r="D373" s="30" t="str">
        <x:v>TRADING</x:v>
      </x:c>
      <x:c r="E373" s="31" t="b">
        <x:v>1</x:v>
      </x:c>
      <x:c r="F373" s="32" t="n">
        <x:v>46085</x:v>
      </x:c>
      <x:c r="G373" s="32" t="n">
        <x:v>46085.999999988424</x:v>
      </x:c>
      <x:c r="H373" s="33" t="n">
        <x:f>IF(F373="","",('Summary'!$B$5-F373)/365.25)</x:f>
        <x:v>0.4161875190128541</x:v>
      </x:c>
      <x:c r="I373" s="34" t="n">
        <x:v>0.00601</x:v>
      </x:c>
      <x:c r="J373" s="35" t="n">
        <x:v>0.16248</x:v>
      </x:c>
      <x:c r="K373" s="36" t="n">
        <x:v>1646233995</x:v>
      </x:c>
      <x:c r="L373" s="36" t="n">
        <x:v>10198072.16251</x:v>
      </x:c>
      <x:c r="M373" s="37" t="n">
        <x:v>94716</x:v>
      </x:c>
      <x:c r="N373" s="34" t="n">
        <x:v>0.00601</x:v>
      </x:c>
      <x:c r="O373" s="34" t="n">
        <x:v>0.00602</x:v>
      </x:c>
      <x:c r="P373" s="38" t="n">
        <x:f>IF(OR(N373="",O373="",N373=0,O373=0),"",(O373-N373)/((O373+N373)/2))</x:f>
        <x:v>0.0016625103906900184</x:v>
      </x:c>
      <x:c r="Q373" s="34" t="n">
        <x:v>0.00619479</x:v>
      </x:c>
      <x:c r="R373" s="34" t="n">
        <x:v>0.00679</x:v>
      </x:c>
      <x:c r="S373" s="34" t="n">
        <x:v>0.00516</x:v>
      </x:c>
      <x:c r="T373" s="32" t="n">
        <x:v>46236.012436944446</x:v>
      </x:c>
      <x:c r="U373" s="32" t="n">
        <x:v>46237.012436944446</x:v>
      </x:c>
      <x:c r="V373" s="34" t="n">
        <x:v>5</x:v>
      </x:c>
      <x:c r="W373" s="34" t="n">
        <x:v>1</x:v>
      </x:c>
      <x:c r="X373" s="34" t="n">
        <x:v>1</x:v>
      </x:c>
      <x:c r="Y373" s="34" t="n">
        <x:v>0.00001</x:v>
      </x:c>
      <x:c r="Z373" s="30" t="str">
        <x:f>IF(AND(D373="TRADING",I373&lt;&gt;"",L373&lt;&gt;"",M373&lt;&gt;"",N373&lt;&gt;"",O373&lt;&gt;""),"Yes","No")</x:f>
        <x:v>Yes</x:v>
      </x:c>
      <x:c r="AA373" s="39" t="str">
        <x:v>https://developers.binance.com/en/docs/catalog/core-trading-spot-trading/api/rest-api</x:v>
      </x:c>
    </x:row>
    <x:row r="374">
      <x:c r="A374" s="30" t="str">
        <x:v>MASKUSDT</x:v>
      </x:c>
      <x:c r="B374" s="30" t="str">
        <x:v>MASK</x:v>
      </x:c>
      <x:c r="C374" s="30" t="str">
        <x:v>USDT</x:v>
      </x:c>
      <x:c r="D374" s="30" t="str">
        <x:v>TRADING</x:v>
      </x:c>
      <x:c r="E374" s="31" t="b">
        <x:v>1</x:v>
      </x:c>
      <x:c r="F374" s="32" t="n">
        <x:v>44341</x:v>
      </x:c>
      <x:c r="G374" s="32" t="n">
        <x:v>44341.999999988424</x:v>
      </x:c>
      <x:c r="H374" s="33" t="n">
        <x:f>IF(F374="","",('Summary'!$B$5-F374)/365.25)</x:f>
        <x:v>5.190999291771239</x:v>
      </x:c>
      <x:c r="I374" s="34" t="n">
        <x:v>0.349</x:v>
      </x:c>
      <x:c r="J374" s="35" t="n">
        <x:v>-0.005699999999999999</x:v>
      </x:c>
      <x:c r="K374" s="36" t="n">
        <x:v>299781.9</x:v>
      </x:c>
      <x:c r="L374" s="36" t="n">
        <x:v>105319.926</x:v>
      </x:c>
      <x:c r="M374" s="37" t="n">
        <x:v>1115</x:v>
      </x:c>
      <x:c r="N374" s="34" t="n">
        <x:v>0.348</x:v>
      </x:c>
      <x:c r="O374" s="34" t="n">
        <x:v>0.349</x:v>
      </x:c>
      <x:c r="P374" s="38" t="n">
        <x:f>IF(OR(N374="",O374="",N374=0,O374=0),"",(O374-N374)/((O374+N374)/2))</x:f>
        <x:v>0.002869440459110476</x:v>
      </x:c>
      <x:c r="Q374" s="34" t="n">
        <x:v>0.35132183</x:v>
      </x:c>
      <x:c r="R374" s="34" t="n">
        <x:v>0.355</x:v>
      </x:c>
      <x:c r="S374" s="34" t="n">
        <x:v>0.347</x:v>
      </x:c>
      <x:c r="T374" s="32" t="n">
        <x:v>46236.01247863426</x:v>
      </x:c>
      <x:c r="U374" s="32" t="n">
        <x:v>46237.01247863426</x:v>
      </x:c>
      <x:c r="V374" s="34" t="n">
        <x:v>5</x:v>
      </x:c>
      <x:c r="W374" s="34" t="n">
        <x:v>0.1</x:v>
      </x:c>
      <x:c r="X374" s="34" t="n">
        <x:v>0.1</x:v>
      </x:c>
      <x:c r="Y374" s="34" t="n">
        <x:v>0.001</x:v>
      </x:c>
      <x:c r="Z374" s="30" t="str">
        <x:f>IF(AND(D374="TRADING",I374&lt;&gt;"",L374&lt;&gt;"",M374&lt;&gt;"",N374&lt;&gt;"",O374&lt;&gt;""),"Yes","No")</x:f>
        <x:v>Yes</x:v>
      </x:c>
      <x:c r="AA374" s="39" t="str">
        <x:v>https://developers.binance.com/en/docs/catalog/core-trading-spot-trading/api/rest-api</x:v>
      </x:c>
    </x:row>
    <x:row r="375">
      <x:c r="A375" s="30" t="str">
        <x:v>MATICUSDT</x:v>
      </x:c>
      <x:c r="B375" s="30" t="str">
        <x:v>MATIC</x:v>
      </x:c>
      <x:c r="C375" s="30" t="str">
        <x:v>USDT</x:v>
      </x:c>
      <x:c r="D375" s="30" t="str">
        <x:v>BREAK</x:v>
      </x:c>
      <x:c r="E375" s="31" t="b">
        <x:v>1</x:v>
      </x:c>
      <x:c r="F375" s="32" t="n">
        <x:v>43581</x:v>
      </x:c>
      <x:c r="G375" s="32" t="n">
        <x:v>43581.999999988424</x:v>
      </x:c>
      <x:c r="H375" s="33" t="n">
        <x:f>IF(F375="","",('Summary'!$B$5-F375)/365.25)</x:f>
        <x:v>7.271765889991636</x:v>
      </x:c>
      <x:c r="I375" s="34" t="n">
        <x:v>0.3794</x:v>
      </x:c>
      <x:c r="J375" s="35" t="n">
        <x:v>-0.0028899999999999998</x:v>
      </x:c>
      <x:c r="K375" s="36" t="n">
        <x:v>2834467.3</x:v>
      </x:c>
      <x:c r="L375" s="36" t="n">
        <x:v>1074370.70255</x:v>
      </x:c>
      <x:c r="M375" s="37" t="n">
        <x:v>4001</x:v>
      </x:c>
      <x:c r="N375" s="34" t="n">
        <x:v>0</x:v>
      </x:c>
      <x:c r="O375" s="34" t="n">
        <x:v>0</x:v>
      </x:c>
      <x:c r="P375" s="38" t="str">
        <x:f>IF(OR(N375="",O375="",N375=0,O375=0),"",(O375-N375)/((O375+N375)/2))</x:f>
      </x:c>
      <x:c r="Q375" s="34" t="n">
        <x:v>0.37903796</x:v>
      </x:c>
      <x:c r="R375" s="34" t="n">
        <x:v>0.3806</x:v>
      </x:c>
      <x:c r="S375" s="34" t="n">
        <x:v>0.3774</x:v>
      </x:c>
      <x:c r="T375" s="32" t="n">
        <x:v>46209.26112309028</x:v>
      </x:c>
      <x:c r="U375" s="32" t="n">
        <x:v>46210.26112309028</x:v>
      </x:c>
      <x:c r="V375" s="34" t="n">
        <x:v>5</x:v>
      </x:c>
      <x:c r="W375" s="34" t="n">
        <x:v>0.1</x:v>
      </x:c>
      <x:c r="X375" s="34" t="n">
        <x:v>0.1</x:v>
      </x:c>
      <x:c r="Y375" s="34" t="n">
        <x:v>0.0001</x:v>
      </x:c>
      <x:c r="Z375" s="30" t="str">
        <x:f>IF(AND(D375="TRADING",I375&lt;&gt;"",L375&lt;&gt;"",M375&lt;&gt;"",N375&lt;&gt;"",O375&lt;&gt;""),"Yes","No")</x:f>
        <x:v>No</x:v>
      </x:c>
      <x:c r="AA375" s="39" t="str">
        <x:v>https://developers.binance.com/en/docs/catalog/core-trading-spot-trading/api/rest-api</x:v>
      </x:c>
    </x:row>
    <x:row r="376">
      <x:c r="A376" s="30" t="str">
        <x:v>MAVUSDT</x:v>
      </x:c>
      <x:c r="B376" s="30" t="str">
        <x:v>MAV</x:v>
      </x:c>
      <x:c r="C376" s="30" t="str">
        <x:v>USDT</x:v>
      </x:c>
      <x:c r="D376" s="30" t="str">
        <x:v>TRADING</x:v>
      </x:c>
      <x:c r="E376" s="31" t="b">
        <x:v>1</x:v>
      </x:c>
      <x:c r="F376" s="32" t="n">
        <x:v>45105</x:v>
      </x:c>
      <x:c r="G376" s="32" t="n">
        <x:v>45105.999999988424</x:v>
      </x:c>
      <x:c r="H376" s="33" t="n">
        <x:f>IF(F376="","",('Summary'!$B$5-F376)/365.25)</x:f>
        <x:v>3.0992812904023133</x:v>
      </x:c>
      <x:c r="I376" s="34" t="n">
        <x:v>0.0079</x:v>
      </x:c>
      <x:c r="J376" s="35" t="n">
        <x:v>-0.00378</x:v>
      </x:c>
      <x:c r="K376" s="36" t="n">
        <x:v>10129566</x:v>
      </x:c>
      <x:c r="L376" s="36" t="n">
        <x:v>80893.47649</x:v>
      </x:c>
      <x:c r="M376" s="37" t="n">
        <x:v>1283</x:v>
      </x:c>
      <x:c r="N376" s="34" t="n">
        <x:v>0.0079</x:v>
      </x:c>
      <x:c r="O376" s="34" t="n">
        <x:v>0.00791</x:v>
      </x:c>
      <x:c r="P376" s="38" t="n">
        <x:f>IF(OR(N376="",O376="",N376=0,O376=0),"",(O376-N376)/((O376+N376)/2))</x:f>
        <x:v>0.0012650221378873614</x:v>
      </x:c>
      <x:c r="Q376" s="34" t="n">
        <x:v>0.00798588</x:v>
      </x:c>
      <x:c r="R376" s="34" t="n">
        <x:v>0.00811</x:v>
      </x:c>
      <x:c r="S376" s="34" t="n">
        <x:v>0.0079</x:v>
      </x:c>
      <x:c r="T376" s="32" t="n">
        <x:v>46236.0122190625</x:v>
      </x:c>
      <x:c r="U376" s="32" t="n">
        <x:v>46237.0122190625</x:v>
      </x:c>
      <x:c r="V376" s="34" t="n">
        <x:v>5</x:v>
      </x:c>
      <x:c r="W376" s="34" t="n">
        <x:v>1</x:v>
      </x:c>
      <x:c r="X376" s="34" t="n">
        <x:v>1</x:v>
      </x:c>
      <x:c r="Y376" s="34" t="n">
        <x:v>0.00001</x:v>
      </x:c>
      <x:c r="Z376" s="30" t="str">
        <x:f>IF(AND(D376="TRADING",I376&lt;&gt;"",L376&lt;&gt;"",M376&lt;&gt;"",N376&lt;&gt;"",O376&lt;&gt;""),"Yes","No")</x:f>
        <x:v>Yes</x:v>
      </x:c>
      <x:c r="AA376" s="39" t="str">
        <x:v>https://developers.binance.com/en/docs/catalog/core-trading-spot-trading/api/rest-api</x:v>
      </x:c>
    </x:row>
    <x:row r="377">
      <x:c r="A377" s="30" t="str">
        <x:v>MBLUSDT</x:v>
      </x:c>
      <x:c r="B377" s="30" t="str">
        <x:v>MBL</x:v>
      </x:c>
      <x:c r="C377" s="30" t="str">
        <x:v>USDT</x:v>
      </x:c>
      <x:c r="D377" s="30" t="str">
        <x:v>TRADING</x:v>
      </x:c>
      <x:c r="E377" s="31" t="b">
        <x:v>1</x:v>
      </x:c>
      <x:c r="F377" s="32" t="n">
        <x:v>43882</x:v>
      </x:c>
      <x:c r="G377" s="32" t="n">
        <x:v>43882.999999988424</x:v>
      </x:c>
      <x:c r="H377" s="33" t="n">
        <x:f>IF(F377="","",('Summary'!$B$5-F377)/365.25)</x:f>
        <x:v>6.447672803064873</x:v>
      </x:c>
      <x:c r="I377" s="34" t="n">
        <x:v>0.000644</x:v>
      </x:c>
      <x:c r="J377" s="35" t="n">
        <x:v>-0.02128</x:v>
      </x:c>
      <x:c r="K377" s="36" t="n">
        <x:v>296514202</x:v>
      </x:c>
      <x:c r="L377" s="36" t="n">
        <x:v>192009.624129</x:v>
      </x:c>
      <x:c r="M377" s="37" t="n">
        <x:v>14263</x:v>
      </x:c>
      <x:c r="N377" s="34" t="n">
        <x:v>0.000644</x:v>
      </x:c>
      <x:c r="O377" s="34" t="n">
        <x:v>0.000645</x:v>
      </x:c>
      <x:c r="P377" s="38" t="n">
        <x:f>IF(OR(N377="",O377="",N377=0,O377=0),"",(O377-N377)/((O377+N377)/2))</x:f>
        <x:v>0.0015515903801395126</x:v>
      </x:c>
      <x:c r="Q377" s="34" t="n">
        <x:v>0.00064756</x:v>
      </x:c>
      <x:c r="R377" s="34" t="n">
        <x:v>0.000663</x:v>
      </x:c>
      <x:c r="S377" s="34" t="n">
        <x:v>0.000635</x:v>
      </x:c>
      <x:c r="T377" s="32" t="n">
        <x:v>46236.0124621875</x:v>
      </x:c>
      <x:c r="U377" s="32" t="n">
        <x:v>46237.0124621875</x:v>
      </x:c>
      <x:c r="V377" s="34" t="n">
        <x:v>5</x:v>
      </x:c>
      <x:c r="W377" s="34" t="n">
        <x:v>1</x:v>
      </x:c>
      <x:c r="X377" s="34" t="n">
        <x:v>1</x:v>
      </x:c>
      <x:c r="Y377" s="34" t="n">
        <x:v>0.000001</x:v>
      </x:c>
      <x:c r="Z377" s="30" t="str">
        <x:f>IF(AND(D377="TRADING",I377&lt;&gt;"",L377&lt;&gt;"",M377&lt;&gt;"",N377&lt;&gt;"",O377&lt;&gt;""),"Yes","No")</x:f>
        <x:v>Yes</x:v>
      </x:c>
      <x:c r="AA377" s="39" t="str">
        <x:v>https://developers.binance.com/en/docs/catalog/core-trading-spot-trading/api/rest-api</x:v>
      </x:c>
    </x:row>
    <x:row r="378">
      <x:c r="A378" s="30" t="str">
        <x:v>MBOXUSDT</x:v>
      </x:c>
      <x:c r="B378" s="30" t="str">
        <x:v>MBOX</x:v>
      </x:c>
      <x:c r="C378" s="30" t="str">
        <x:v>USDT</x:v>
      </x:c>
      <x:c r="D378" s="30" t="str">
        <x:v>BREAK</x:v>
      </x:c>
      <x:c r="E378" s="31" t="b">
        <x:v>1</x:v>
      </x:c>
      <x:c r="F378" s="32" t="n">
        <x:v>44427</x:v>
      </x:c>
      <x:c r="G378" s="32" t="n">
        <x:v>44427.999999988424</x:v>
      </x:c>
      <x:c r="H378" s="33" t="n">
        <x:f>IF(F378="","",('Summary'!$B$5-F378)/365.25)</x:f>
        <x:v>4.955544124077878</x:v>
      </x:c>
      <x:c r="I378" s="34" t="n">
        <x:v>0.0021</x:v>
      </x:c>
      <x:c r="J378" s="35" t="n">
        <x:v>-0.34375</x:v>
      </x:c>
      <x:c r="K378" s="36" t="n">
        <x:v>343000107.7</x:v>
      </x:c>
      <x:c r="L378" s="36" t="n">
        <x:v>861110.69984</x:v>
      </x:c>
      <x:c r="M378" s="37" t="n">
        <x:v>7761</x:v>
      </x:c>
      <x:c r="N378" s="34" t="n">
        <x:v>0</x:v>
      </x:c>
      <x:c r="O378" s="34" t="n">
        <x:v>0</x:v>
      </x:c>
      <x:c r="P378" s="38" t="str">
        <x:f>IF(OR(N378="",O378="",N378=0,O378=0),"",(O378-N378)/((O378+N378)/2))</x:f>
      </x:c>
      <x:c r="Q378" s="34" t="n">
        <x:v>0.00251053</x:v>
      </x:c>
      <x:c r="R378" s="34" t="n">
        <x:v>0.0035</x:v>
      </x:c>
      <x:c r="S378" s="34" t="n">
        <x:v>0.0016</x:v>
      </x:c>
      <x:c r="T378" s="32" t="n">
        <x:v>46209.26112309028</x:v>
      </x:c>
      <x:c r="U378" s="32" t="n">
        <x:v>46210.26112309028</x:v>
      </x:c>
      <x:c r="V378" s="34" t="n">
        <x:v>5</x:v>
      </x:c>
      <x:c r="W378" s="34" t="n">
        <x:v>0.1</x:v>
      </x:c>
      <x:c r="X378" s="34" t="n">
        <x:v>0.1</x:v>
      </x:c>
      <x:c r="Y378" s="34" t="n">
        <x:v>0.0001</x:v>
      </x:c>
      <x:c r="Z378" s="30" t="str">
        <x:f>IF(AND(D378="TRADING",I378&lt;&gt;"",L378&lt;&gt;"",M378&lt;&gt;"",N378&lt;&gt;"",O378&lt;&gt;""),"Yes","No")</x:f>
        <x:v>No</x:v>
      </x:c>
      <x:c r="AA378" s="39" t="str">
        <x:v>https://developers.binance.com/en/docs/catalog/core-trading-spot-trading/api/rest-api</x:v>
      </x:c>
    </x:row>
    <x:row r="379">
      <x:c r="A379" s="30" t="str">
        <x:v>MCOUSDT</x:v>
      </x:c>
      <x:c r="B379" s="30" t="str">
        <x:v>MCO</x:v>
      </x:c>
      <x:c r="C379" s="30" t="str">
        <x:v>USDT</x:v>
      </x:c>
      <x:c r="D379" s="30" t="str">
        <x:v>BREAK</x:v>
      </x:c>
      <x:c r="E379" s="31" t="b">
        <x:v>1</x:v>
      </x:c>
      <x:c r="F379" s="32" t="n">
        <x:v>43788</x:v>
      </x:c>
      <x:c r="G379" s="32" t="n">
        <x:v>43788.999999988424</x:v>
      </x:c>
      <x:c r="H379" s="33" t="n">
        <x:f>IF(F379="","",('Summary'!$B$5-F379)/365.25)</x:f>
        <x:v>6.705030777055291</x:v>
      </x:c>
      <x:c r="I379" s="34" t="n">
        <x:v>0</x:v>
      </x:c>
      <x:c r="J379" s="35" t="n">
        <x:v>0</x:v>
      </x:c>
      <x:c r="K379" s="36" t="n">
        <x:v>0</x:v>
      </x:c>
      <x:c r="L379" s="36" t="n">
        <x:v>0</x:v>
      </x:c>
      <x:c r="M379" s="37" t="n">
        <x:v>0</x:v>
      </x:c>
      <x:c r="N379" s="34" t="n">
        <x:v>0</x:v>
      </x:c>
      <x:c r="O379" s="34" t="n">
        <x:v>0</x:v>
      </x:c>
      <x:c r="P379" s="38" t="str">
        <x:f>IF(OR(N379="",O379="",N379=0,O379=0),"",(O379-N379)/((O379+N379)/2))</x:f>
      </x:c>
      <x:c r="Q379" s="34" t="n">
        <x:v>0</x:v>
      </x:c>
      <x:c r="R379" s="34" t="n">
        <x:v>0</x:v>
      </x:c>
      <x:c r="S379" s="34" t="n">
        <x:v>0</x:v>
      </x:c>
      <x:c r="T379" s="32" t="n">
        <x:v>46209.26112309028</x:v>
      </x:c>
      <x:c r="U379" s="32" t="n">
        <x:v>46210.26112309028</x:v>
      </x:c>
      <x:c r="V379" s="34" t="n">
        <x:v>10</x:v>
      </x:c>
      <x:c r="W379" s="34" t="n">
        <x:v>0.001</x:v>
      </x:c>
      <x:c r="X379" s="34" t="n">
        <x:v>0.001</x:v>
      </x:c>
      <x:c r="Y379" s="34" t="n">
        <x:v>0.001</x:v>
      </x:c>
      <x:c r="Z379" s="30" t="str">
        <x:f>IF(AND(D379="TRADING",I379&lt;&gt;"",L379&lt;&gt;"",M379&lt;&gt;"",N379&lt;&gt;"",O379&lt;&gt;""),"Yes","No")</x:f>
        <x:v>No</x:v>
      </x:c>
      <x:c r="AA379" s="39" t="str">
        <x:v>https://developers.binance.com/en/docs/catalog/core-trading-spot-trading/api/rest-api</x:v>
      </x:c>
    </x:row>
    <x:row r="380">
      <x:c r="A380" s="30" t="str">
        <x:v>MCUSDT</x:v>
      </x:c>
      <x:c r="B380" s="30" t="str">
        <x:v>MC</x:v>
      </x:c>
      <x:c r="C380" s="30" t="str">
        <x:v>USDT</x:v>
      </x:c>
      <x:c r="D380" s="30" t="str">
        <x:v>BREAK</x:v>
      </x:c>
      <x:c r="E380" s="31" t="b">
        <x:v>1</x:v>
      </x:c>
      <x:c r="F380" s="32" t="n">
        <x:v>44532</x:v>
      </x:c>
      <x:c r="G380" s="32" t="n">
        <x:v>44532.999999988424</x:v>
      </x:c>
      <x:c r="H380" s="33" t="n">
        <x:f>IF(F380="","",('Summary'!$B$5-F380)/365.25)</x:f>
        <x:v>4.668069791429008</x:v>
      </x:c>
      <x:c r="I380" s="34" t="n">
        <x:v>0.4861</x:v>
      </x:c>
      <x:c r="J380" s="35" t="n">
        <x:v>0.021429999999999998</x:v>
      </x:c>
      <x:c r="K380" s="36" t="n">
        <x:v>1286633.32</x:v>
      </x:c>
      <x:c r="L380" s="36" t="n">
        <x:v>628174.819094</x:v>
      </x:c>
      <x:c r="M380" s="37" t="n">
        <x:v>4001</x:v>
      </x:c>
      <x:c r="N380" s="34" t="n">
        <x:v>0</x:v>
      </x:c>
      <x:c r="O380" s="34" t="n">
        <x:v>0</x:v>
      </x:c>
      <x:c r="P380" s="38" t="str">
        <x:f>IF(OR(N380="",O380="",N380=0,O380=0),"",(O380-N380)/((O380+N380)/2))</x:f>
      </x:c>
      <x:c r="Q380" s="34" t="n">
        <x:v>0.48823142</x:v>
      </x:c>
      <x:c r="R380" s="34" t="n">
        <x:v>0.5055</x:v>
      </x:c>
      <x:c r="S380" s="34" t="n">
        <x:v>0.4719</x:v>
      </x:c>
      <x:c r="T380" s="32" t="n">
        <x:v>46209.26112309028</x:v>
      </x:c>
      <x:c r="U380" s="32" t="n">
        <x:v>46210.26112309028</x:v>
      </x:c>
      <x:c r="V380" s="34" t="n">
        <x:v>5</x:v>
      </x:c>
      <x:c r="W380" s="34" t="n">
        <x:v>0.01</x:v>
      </x:c>
      <x:c r="X380" s="34" t="n">
        <x:v>0.01</x:v>
      </x:c>
      <x:c r="Y380" s="34" t="n">
        <x:v>0.0001</x:v>
      </x:c>
      <x:c r="Z380" s="30" t="str">
        <x:f>IF(AND(D380="TRADING",I380&lt;&gt;"",L380&lt;&gt;"",M380&lt;&gt;"",N380&lt;&gt;"",O380&lt;&gt;""),"Yes","No")</x:f>
        <x:v>No</x:v>
      </x:c>
      <x:c r="AA380" s="39" t="str">
        <x:v>https://developers.binance.com/en/docs/catalog/core-trading-spot-trading/api/rest-api</x:v>
      </x:c>
    </x:row>
    <x:row r="381">
      <x:c r="A381" s="30" t="str">
        <x:v>MDTUSDT</x:v>
      </x:c>
      <x:c r="B381" s="30" t="str">
        <x:v>MDT</x:v>
      </x:c>
      <x:c r="C381" s="30" t="str">
        <x:v>USDT</x:v>
      </x:c>
      <x:c r="D381" s="30" t="str">
        <x:v>BREAK</x:v>
      </x:c>
      <x:c r="E381" s="31" t="b">
        <x:v>1</x:v>
      </x:c>
      <x:c r="F381" s="32" t="n">
        <x:v>43987</x:v>
      </x:c>
      <x:c r="G381" s="32" t="n">
        <x:v>43987.999999988424</x:v>
      </x:c>
      <x:c r="H381" s="33" t="n">
        <x:f>IF(F381="","",('Summary'!$B$5-F381)/365.25)</x:f>
        <x:v>6.160198470416002</x:v>
      </x:c>
      <x:c r="I381" s="34" t="n">
        <x:v>0.00403</x:v>
      </x:c>
      <x:c r="J381" s="35" t="n">
        <x:v>-0.09438</x:v>
      </x:c>
      <x:c r="K381" s="36" t="n">
        <x:v>94397742.2</x:v>
      </x:c>
      <x:c r="L381" s="36" t="n">
        <x:v>414613.09911</x:v>
      </x:c>
      <x:c r="M381" s="37" t="n">
        <x:v>13090</x:v>
      </x:c>
      <x:c r="N381" s="34" t="n">
        <x:v>0</x:v>
      </x:c>
      <x:c r="O381" s="34" t="n">
        <x:v>0</x:v>
      </x:c>
      <x:c r="P381" s="38" t="str">
        <x:f>IF(OR(N381="",O381="",N381=0,O381=0),"",(O381-N381)/((O381+N381)/2))</x:f>
      </x:c>
      <x:c r="Q381" s="34" t="n">
        <x:v>0.00439219</x:v>
      </x:c>
      <x:c r="R381" s="34" t="n">
        <x:v>0.00501</x:v>
      </x:c>
      <x:c r="S381" s="34" t="n">
        <x:v>0.00367</x:v>
      </x:c>
      <x:c r="T381" s="32" t="n">
        <x:v>46209.26112309028</x:v>
      </x:c>
      <x:c r="U381" s="32" t="n">
        <x:v>46210.26112309028</x:v>
      </x:c>
      <x:c r="V381" s="34" t="n">
        <x:v>5</x:v>
      </x:c>
      <x:c r="W381" s="34" t="n">
        <x:v>0.1</x:v>
      </x:c>
      <x:c r="X381" s="34" t="n">
        <x:v>0.1</x:v>
      </x:c>
      <x:c r="Y381" s="34" t="n">
        <x:v>0.00001</x:v>
      </x:c>
      <x:c r="Z381" s="30" t="str">
        <x:f>IF(AND(D381="TRADING",I381&lt;&gt;"",L381&lt;&gt;"",M381&lt;&gt;"",N381&lt;&gt;"",O381&lt;&gt;""),"Yes","No")</x:f>
        <x:v>No</x:v>
      </x:c>
      <x:c r="AA381" s="39" t="str">
        <x:v>https://developers.binance.com/en/docs/catalog/core-trading-spot-trading/api/rest-api</x:v>
      </x:c>
    </x:row>
    <x:row r="382">
      <x:c r="A382" s="30" t="str">
        <x:v>MDXUSDT</x:v>
      </x:c>
      <x:c r="B382" s="30" t="str">
        <x:v>MDX</x:v>
      </x:c>
      <x:c r="C382" s="30" t="str">
        <x:v>USDT</x:v>
      </x:c>
      <x:c r="D382" s="30" t="str">
        <x:v>BREAK</x:v>
      </x:c>
      <x:c r="E382" s="31" t="b">
        <x:v>1</x:v>
      </x:c>
      <x:c r="F382" s="32" t="n">
        <x:v>44340</x:v>
      </x:c>
      <x:c r="G382" s="32" t="n">
        <x:v>44340.999999988424</x:v>
      </x:c>
      <x:c r="H382" s="33" t="n">
        <x:f>IF(F382="","",('Summary'!$B$5-F382)/365.25)</x:f>
        <x:v>5.193737142558371</x:v>
      </x:c>
      <x:c r="I382" s="34" t="n">
        <x:v>0.0345</x:v>
      </x:c>
      <x:c r="J382" s="35" t="n">
        <x:v>0.13524</x:v>
      </x:c>
      <x:c r="K382" s="36" t="n">
        <x:v>8965485.1</x:v>
      </x:c>
      <x:c r="L382" s="36" t="n">
        <x:v>314138.785907</x:v>
      </x:c>
      <x:c r="M382" s="37" t="n">
        <x:v>4001</x:v>
      </x:c>
      <x:c r="N382" s="34" t="n">
        <x:v>0</x:v>
      </x:c>
      <x:c r="O382" s="34" t="n">
        <x:v>0</x:v>
      </x:c>
      <x:c r="P382" s="38" t="str">
        <x:f>IF(OR(N382="",O382="",N382=0,O382=0),"",(O382-N382)/((O382+N382)/2))</x:f>
      </x:c>
      <x:c r="Q382" s="34" t="n">
        <x:v>0.03503868</x:v>
      </x:c>
      <x:c r="R382" s="34" t="n">
        <x:v>0.0383</x:v>
      </x:c>
      <x:c r="S382" s="34" t="n">
        <x:v>0.02917</x:v>
      </x:c>
      <x:c r="T382" s="32" t="n">
        <x:v>46209.26112309028</x:v>
      </x:c>
      <x:c r="U382" s="32" t="n">
        <x:v>46210.26112309028</x:v>
      </x:c>
      <x:c r="V382" s="34" t="n">
        <x:v>5</x:v>
      </x:c>
      <x:c r="W382" s="34" t="n">
        <x:v>0.1</x:v>
      </x:c>
      <x:c r="X382" s="34" t="n">
        <x:v>0.1</x:v>
      </x:c>
      <x:c r="Y382" s="34" t="n">
        <x:v>0.00001</x:v>
      </x:c>
      <x:c r="Z382" s="30" t="str">
        <x:f>IF(AND(D382="TRADING",I382&lt;&gt;"",L382&lt;&gt;"",M382&lt;&gt;"",N382&lt;&gt;"",O382&lt;&gt;""),"Yes","No")</x:f>
        <x:v>No</x:v>
      </x:c>
      <x:c r="AA382" s="39" t="str">
        <x:v>https://developers.binance.com/en/docs/catalog/core-trading-spot-trading/api/rest-api</x:v>
      </x:c>
    </x:row>
    <x:row r="383">
      <x:c r="A383" s="30" t="str">
        <x:v>MEGAUSDT</x:v>
      </x:c>
      <x:c r="B383" s="30" t="str">
        <x:v>MEGA</x:v>
      </x:c>
      <x:c r="C383" s="30" t="str">
        <x:v>USDT</x:v>
      </x:c>
      <x:c r="D383" s="30" t="str">
        <x:v>TRADING</x:v>
      </x:c>
      <x:c r="E383" s="31" t="b">
        <x:v>1</x:v>
      </x:c>
      <x:c r="F383" s="32" t="n">
        <x:v>46142</x:v>
      </x:c>
      <x:c r="G383" s="32" t="n">
        <x:v>46142.999999988424</x:v>
      </x:c>
      <x:c r="H383" s="33" t="n">
        <x:f>IF(F383="","",('Summary'!$B$5-F383)/365.25)</x:f>
        <x:v>0.26013002414632436</x:v>
      </x:c>
      <x:c r="I383" s="34" t="n">
        <x:v>0.03626</x:v>
      </x:c>
      <x:c r="J383" s="35" t="n">
        <x:v>-0.01091</x:v>
      </x:c>
      <x:c r="K383" s="36" t="n">
        <x:v>27755774.4</x:v>
      </x:c>
      <x:c r="L383" s="36" t="n">
        <x:v>1036686.479372</x:v>
      </x:c>
      <x:c r="M383" s="37" t="n">
        <x:v>22307</x:v>
      </x:c>
      <x:c r="N383" s="34" t="n">
        <x:v>0.03625</x:v>
      </x:c>
      <x:c r="O383" s="34" t="n">
        <x:v>0.03627</x:v>
      </x:c>
      <x:c r="P383" s="38" t="n">
        <x:f>IF(OR(N383="",O383="",N383=0,O383=0),"",(O383-N383)/((O383+N383)/2))</x:f>
        <x:v>0.0005515719801433862</x:v>
      </x:c>
      <x:c r="Q383" s="34" t="n">
        <x:v>0.0373503</x:v>
      </x:c>
      <x:c r="R383" s="34" t="n">
        <x:v>0.03842</x:v>
      </x:c>
      <x:c r="S383" s="34" t="n">
        <x:v>0.03617</x:v>
      </x:c>
      <x:c r="T383" s="32" t="n">
        <x:v>46236.01248268518</x:v>
      </x:c>
      <x:c r="U383" s="32" t="n">
        <x:v>46237.01248268518</x:v>
      </x:c>
      <x:c r="V383" s="34" t="n">
        <x:v>5</x:v>
      </x:c>
      <x:c r="W383" s="34" t="n">
        <x:v>0.1</x:v>
      </x:c>
      <x:c r="X383" s="34" t="n">
        <x:v>0.1</x:v>
      </x:c>
      <x:c r="Y383" s="34" t="n">
        <x:v>0.00001</x:v>
      </x:c>
      <x:c r="Z383" s="30" t="str">
        <x:f>IF(AND(D383="TRADING",I383&lt;&gt;"",L383&lt;&gt;"",M383&lt;&gt;"",N383&lt;&gt;"",O383&lt;&gt;""),"Yes","No")</x:f>
        <x:v>Yes</x:v>
      </x:c>
      <x:c r="AA383" s="39" t="str">
        <x:v>https://developers.binance.com/en/docs/catalog/core-trading-spot-trading/api/rest-api</x:v>
      </x:c>
    </x:row>
    <x:row r="384">
      <x:c r="A384" s="30" t="str">
        <x:v>MEMEUSDT</x:v>
      </x:c>
      <x:c r="B384" s="30" t="str">
        <x:v>MEME</x:v>
      </x:c>
      <x:c r="C384" s="30" t="str">
        <x:v>USDT</x:v>
      </x:c>
      <x:c r="D384" s="30" t="str">
        <x:v>TRADING</x:v>
      </x:c>
      <x:c r="E384" s="31" t="b">
        <x:v>1</x:v>
      </x:c>
      <x:c r="F384" s="32" t="n">
        <x:v>45233</x:v>
      </x:c>
      <x:c r="G384" s="32" t="n">
        <x:v>45233.999999988424</x:v>
      </x:c>
      <x:c r="H384" s="33" t="n">
        <x:f>IF(F384="","",('Summary'!$B$5-F384)/365.25)</x:f>
        <x:v>2.7488363896494046</x:v>
      </x:c>
      <x:c r="I384" s="34" t="n">
        <x:v>0.000501</x:v>
      </x:c>
      <x:c r="J384" s="35" t="n">
        <x:v>-0.00988</x:v>
      </x:c>
      <x:c r="K384" s="36" t="n">
        <x:v>989725700</x:v>
      </x:c>
      <x:c r="L384" s="36" t="n">
        <x:v>498455.268791</x:v>
      </x:c>
      <x:c r="M384" s="37" t="n">
        <x:v>8873</x:v>
      </x:c>
      <x:c r="N384" s="34" t="n">
        <x:v>0.0005</x:v>
      </x:c>
      <x:c r="O384" s="34" t="n">
        <x:v>0.000501</x:v>
      </x:c>
      <x:c r="P384" s="38" t="n">
        <x:f>IF(OR(N384="",O384="",N384=0,O384=0),"",(O384-N384)/((O384+N384)/2))</x:f>
        <x:v>0.001998001998002046</x:v>
      </x:c>
      <x:c r="Q384" s="34" t="n">
        <x:v>0.00050363</x:v>
      </x:c>
      <x:c r="R384" s="34" t="n">
        <x:v>0.000511</x:v>
      </x:c>
      <x:c r="S384" s="34" t="n">
        <x:v>0.000497</x:v>
      </x:c>
      <x:c r="T384" s="32" t="n">
        <x:v>46236.01242329861</x:v>
      </x:c>
      <x:c r="U384" s="32" t="n">
        <x:v>46237.01242329861</x:v>
      </x:c>
      <x:c r="V384" s="34" t="n">
        <x:v>1</x:v>
      </x:c>
      <x:c r="W384" s="34" t="n">
        <x:v>1</x:v>
      </x:c>
      <x:c r="X384" s="34" t="n">
        <x:v>1</x:v>
      </x:c>
      <x:c r="Y384" s="34" t="n">
        <x:v>0.000001</x:v>
      </x:c>
      <x:c r="Z384" s="30" t="str">
        <x:f>IF(AND(D384="TRADING",I384&lt;&gt;"",L384&lt;&gt;"",M384&lt;&gt;"",N384&lt;&gt;"",O384&lt;&gt;""),"Yes","No")</x:f>
        <x:v>Yes</x:v>
      </x:c>
      <x:c r="AA384" s="39" t="str">
        <x:v>https://developers.binance.com/en/docs/catalog/core-trading-spot-trading/api/rest-api</x:v>
      </x:c>
    </x:row>
    <x:row r="385">
      <x:c r="A385" s="30" t="str">
        <x:v>METABUSDT</x:v>
      </x:c>
      <x:c r="B385" s="30" t="str">
        <x:v>METAB</x:v>
      </x:c>
      <x:c r="C385" s="30" t="str">
        <x:v>USDT</x:v>
      </x:c>
      <x:c r="D385" s="30" t="str">
        <x:v>TRADING</x:v>
      </x:c>
      <x:c r="E385" s="31" t="b">
        <x:v>1</x:v>
      </x:c>
      <x:c r="F385" s="32" t="n">
        <x:v>46203</x:v>
      </x:c>
      <x:c r="G385" s="32" t="n">
        <x:v>46203.999999988424</x:v>
      </x:c>
      <x:c r="H385" s="33" t="n">
        <x:f>IF(F385="","",('Summary'!$B$5-F385)/365.25)</x:f>
        <x:v>0.09312112613126615</x:v>
      </x:c>
      <x:c r="I385" s="34" t="n">
        <x:v>563.14</x:v>
      </x:c>
      <x:c r="J385" s="35" t="n">
        <x:v>0.01663</x:v>
      </x:c>
      <x:c r="K385" s="36" t="n">
        <x:v>167.696</x:v>
      </x:c>
      <x:c r="L385" s="36" t="n">
        <x:v>93534.75909</x:v>
      </x:c>
      <x:c r="M385" s="37" t="n">
        <x:v>2749</x:v>
      </x:c>
      <x:c r="N385" s="34" t="n">
        <x:v>563.05</x:v>
      </x:c>
      <x:c r="O385" s="34" t="n">
        <x:v>563.14</x:v>
      </x:c>
      <x:c r="P385" s="38" t="n">
        <x:f>IF(OR(N385="",O385="",N385=0,O385=0),"",(O385-N385)/((O385+N385)/2))</x:f>
        <x:v>0.00015983093438945794</x:v>
      </x:c>
      <x:c r="Q385" s="34" t="n">
        <x:v>557.76380528</x:v>
      </x:c>
      <x:c r="R385" s="34" t="n">
        <x:v>563.14</x:v>
      </x:c>
      <x:c r="S385" s="34" t="n">
        <x:v>553.93</x:v>
      </x:c>
      <x:c r="T385" s="32" t="n">
        <x:v>46236.01248230324</x:v>
      </x:c>
      <x:c r="U385" s="32" t="n">
        <x:v>46237.01248230324</x:v>
      </x:c>
      <x:c r="V385" s="34" t="n">
        <x:v>5</x:v>
      </x:c>
      <x:c r="W385" s="34" t="n">
        <x:v>0.001</x:v>
      </x:c>
      <x:c r="X385" s="34" t="n">
        <x:v>0.001</x:v>
      </x:c>
      <x:c r="Y385" s="34" t="n">
        <x:v>0.01</x:v>
      </x:c>
      <x:c r="Z385" s="30" t="str">
        <x:f>IF(AND(D385="TRADING",I385&lt;&gt;"",L385&lt;&gt;"",M385&lt;&gt;"",N385&lt;&gt;"",O385&lt;&gt;""),"Yes","No")</x:f>
        <x:v>Yes</x:v>
      </x:c>
      <x:c r="AA385" s="39" t="str">
        <x:v>https://developers.binance.com/en/docs/catalog/core-trading-spot-trading/api/rest-api</x:v>
      </x:c>
    </x:row>
    <x:row r="386">
      <x:c r="A386" s="30" t="str">
        <x:v>METISUSDT</x:v>
      </x:c>
      <x:c r="B386" s="30" t="str">
        <x:v>METIS</x:v>
      </x:c>
      <x:c r="C386" s="30" t="str">
        <x:v>USDT</x:v>
      </x:c>
      <x:c r="D386" s="30" t="str">
        <x:v>TRADING</x:v>
      </x:c>
      <x:c r="E386" s="31" t="b">
        <x:v>1</x:v>
      </x:c>
      <x:c r="F386" s="32" t="n">
        <x:v>45362</x:v>
      </x:c>
      <x:c r="G386" s="32" t="n">
        <x:v>45362.999999988424</x:v>
      </x:c>
      <x:c r="H386" s="33" t="n">
        <x:f>IF(F386="","",('Summary'!$B$5-F386)/365.25)</x:f>
        <x:v>2.3956536381093634</x:v>
      </x:c>
      <x:c r="I386" s="34" t="n">
        <x:v>2.48</x:v>
      </x:c>
      <x:c r="J386" s="35" t="n">
        <x:v>0.004050000000000001</x:v>
      </x:c>
      <x:c r="K386" s="36" t="n">
        <x:v>29908.933</x:v>
      </x:c>
      <x:c r="L386" s="36" t="n">
        <x:v>74468.41614</x:v>
      </x:c>
      <x:c r="M386" s="37" t="n">
        <x:v>1401</x:v>
      </x:c>
      <x:c r="N386" s="34" t="n">
        <x:v>2.47</x:v>
      </x:c>
      <x:c r="O386" s="34" t="n">
        <x:v>2.48</x:v>
      </x:c>
      <x:c r="P386" s="38" t="n">
        <x:f>IF(OR(N386="",O386="",N386=0,O386=0),"",(O386-N386)/((O386+N386)/2))</x:f>
        <x:v>0.0040404040404039545</x:v>
      </x:c>
      <x:c r="Q386" s="34" t="n">
        <x:v>2.48983861</x:v>
      </x:c>
      <x:c r="R386" s="34" t="n">
        <x:v>2.52</x:v>
      </x:c>
      <x:c r="S386" s="34" t="n">
        <x:v>2.46</x:v>
      </x:c>
      <x:c r="T386" s="32" t="n">
        <x:v>46236.01235440972</x:v>
      </x:c>
      <x:c r="U386" s="32" t="n">
        <x:v>46237.01235440972</x:v>
      </x:c>
      <x:c r="V386" s="34" t="n">
        <x:v>5</x:v>
      </x:c>
      <x:c r="W386" s="34" t="n">
        <x:v>0.001</x:v>
      </x:c>
      <x:c r="X386" s="34" t="n">
        <x:v>0.001</x:v>
      </x:c>
      <x:c r="Y386" s="34" t="n">
        <x:v>0.01</x:v>
      </x:c>
      <x:c r="Z386" s="30" t="str">
        <x:f>IF(AND(D386="TRADING",I386&lt;&gt;"",L386&lt;&gt;"",M386&lt;&gt;"",N386&lt;&gt;"",O386&lt;&gt;""),"Yes","No")</x:f>
        <x:v>Yes</x:v>
      </x:c>
      <x:c r="AA386" s="39" t="str">
        <x:v>https://developers.binance.com/en/docs/catalog/core-trading-spot-trading/api/rest-api</x:v>
      </x:c>
    </x:row>
    <x:row r="387">
      <x:c r="A387" s="30" t="str">
        <x:v>METUSDT</x:v>
      </x:c>
      <x:c r="B387" s="30" t="str">
        <x:v>MET</x:v>
      </x:c>
      <x:c r="C387" s="30" t="str">
        <x:v>USDT</x:v>
      </x:c>
      <x:c r="D387" s="30" t="str">
        <x:v>TRADING</x:v>
      </x:c>
      <x:c r="E387" s="31" t="b">
        <x:v>1</x:v>
      </x:c>
      <x:c r="F387" s="32" t="n">
        <x:v>45974</x:v>
      </x:c>
      <x:c r="G387" s="32" t="n">
        <x:v>45974.999999988424</x:v>
      </x:c>
      <x:c r="H387" s="33" t="n">
        <x:f>IF(F387="","",('Summary'!$B$5-F387)/365.25)</x:f>
        <x:v>0.7200889563845173</x:v>
      </x:c>
      <x:c r="I387" s="34" t="n">
        <x:v>0.1635</x:v>
      </x:c>
      <x:c r="J387" s="35" t="n">
        <x:v>-0.03597</x:v>
      </x:c>
      <x:c r="K387" s="36" t="n">
        <x:v>2410715.7</x:v>
      </x:c>
      <x:c r="L387" s="36" t="n">
        <x:v>394942.7927</x:v>
      </x:c>
      <x:c r="M387" s="37" t="n">
        <x:v>4339</x:v>
      </x:c>
      <x:c r="N387" s="34" t="n">
        <x:v>0.1634</x:v>
      </x:c>
      <x:c r="O387" s="34" t="n">
        <x:v>0.1636</x:v>
      </x:c>
      <x:c r="P387" s="38" t="n">
        <x:f>IF(OR(N387="",O387="",N387=0,O387=0),"",(O387-N387)/((O387+N387)/2))</x:f>
        <x:v>0.0012232415902141025</x:v>
      </x:c>
      <x:c r="Q387" s="34" t="n">
        <x:v>0.16382803</x:v>
      </x:c>
      <x:c r="R387" s="34" t="n">
        <x:v>0.1697</x:v>
      </x:c>
      <x:c r="S387" s="34" t="n">
        <x:v>0.1602</x:v>
      </x:c>
      <x:c r="T387" s="32" t="n">
        <x:v>46236.012431469906</x:v>
      </x:c>
      <x:c r="U387" s="32" t="n">
        <x:v>46237.012431469906</x:v>
      </x:c>
      <x:c r="V387" s="34" t="n">
        <x:v>5</x:v>
      </x:c>
      <x:c r="W387" s="34" t="n">
        <x:v>0.1</x:v>
      </x:c>
      <x:c r="X387" s="34" t="n">
        <x:v>0.1</x:v>
      </x:c>
      <x:c r="Y387" s="34" t="n">
        <x:v>0.0001</x:v>
      </x:c>
      <x:c r="Z387" s="30" t="str">
        <x:f>IF(AND(D387="TRADING",I387&lt;&gt;"",L387&lt;&gt;"",M387&lt;&gt;"",N387&lt;&gt;"",O387&lt;&gt;""),"Yes","No")</x:f>
        <x:v>Yes</x:v>
      </x:c>
      <x:c r="AA387" s="39" t="str">
        <x:v>https://developers.binance.com/en/docs/catalog/core-trading-spot-trading/api/rest-api</x:v>
      </x:c>
    </x:row>
    <x:row r="388">
      <x:c r="A388" s="30" t="str">
        <x:v>MEUSDT</x:v>
      </x:c>
      <x:c r="B388" s="30" t="str">
        <x:v>ME</x:v>
      </x:c>
      <x:c r="C388" s="30" t="str">
        <x:v>USDT</x:v>
      </x:c>
      <x:c r="D388" s="30" t="str">
        <x:v>TRADING</x:v>
      </x:c>
      <x:c r="E388" s="31" t="b">
        <x:v>1</x:v>
      </x:c>
      <x:c r="F388" s="32" t="n">
        <x:v>45636</x:v>
      </x:c>
      <x:c r="G388" s="32" t="n">
        <x:v>45636.999999988424</x:v>
      </x:c>
      <x:c r="H388" s="33" t="n">
        <x:f>IF(F388="","",('Summary'!$B$5-F388)/365.25)</x:f>
        <x:v>1.6454825224351677</x:v>
      </x:c>
      <x:c r="I388" s="34" t="n">
        <x:v>0.06059</x:v>
      </x:c>
      <x:c r="J388" s="35" t="n">
        <x:v>0.02262</x:v>
      </x:c>
      <x:c r="K388" s="36" t="n">
        <x:v>8263602.74</x:v>
      </x:c>
      <x:c r="L388" s="36" t="n">
        <x:v>506457.3888379</x:v>
      </x:c>
      <x:c r="M388" s="37" t="n">
        <x:v>10887</x:v>
      </x:c>
      <x:c r="N388" s="34" t="n">
        <x:v>0.06059</x:v>
      </x:c>
      <x:c r="O388" s="34" t="n">
        <x:v>0.06063</x:v>
      </x:c>
      <x:c r="P388" s="38" t="n">
        <x:f>IF(OR(N388="",O388="",N388=0,O388=0),"",(O388-N388)/((O388+N388)/2))</x:f>
        <x:v>0.0006599571027884063</x:v>
      </x:c>
      <x:c r="Q388" s="34" t="n">
        <x:v>0.06128772</x:v>
      </x:c>
      <x:c r="R388" s="34" t="n">
        <x:v>0.06352</x:v>
      </x:c>
      <x:c r="S388" s="34" t="n">
        <x:v>0.05913</x:v>
      </x:c>
      <x:c r="T388" s="32" t="n">
        <x:v>46236.01248668981</x:v>
      </x:c>
      <x:c r="U388" s="32" t="n">
        <x:v>46237.01248668981</x:v>
      </x:c>
      <x:c r="V388" s="34" t="n">
        <x:v>5</x:v>
      </x:c>
      <x:c r="W388" s="34" t="n">
        <x:v>0.01</x:v>
      </x:c>
      <x:c r="X388" s="34" t="n">
        <x:v>0.01</x:v>
      </x:c>
      <x:c r="Y388" s="34" t="n">
        <x:v>0.00001</x:v>
      </x:c>
      <x:c r="Z388" s="30" t="str">
        <x:f>IF(AND(D388="TRADING",I388&lt;&gt;"",L388&lt;&gt;"",M388&lt;&gt;"",N388&lt;&gt;"",O388&lt;&gt;""),"Yes","No")</x:f>
        <x:v>Yes</x:v>
      </x:c>
      <x:c r="AA388" s="39" t="str">
        <x:v>https://developers.binance.com/en/docs/catalog/core-trading-spot-trading/api/rest-api</x:v>
      </x:c>
    </x:row>
    <x:row r="389">
      <x:c r="A389" s="30" t="str">
        <x:v>MFTUSDT</x:v>
      </x:c>
      <x:c r="B389" s="30" t="str">
        <x:v>MFT</x:v>
      </x:c>
      <x:c r="C389" s="30" t="str">
        <x:v>USDT</x:v>
      </x:c>
      <x:c r="D389" s="30" t="str">
        <x:v>BREAK</x:v>
      </x:c>
      <x:c r="E389" s="31" t="b">
        <x:v>1</x:v>
      </x:c>
      <x:c r="F389" s="32" t="n">
        <x:v>43704</x:v>
      </x:c>
      <x:c r="G389" s="32" t="n">
        <x:v>43704.999999988424</x:v>
      </x:c>
      <x:c r="H389" s="33" t="n">
        <x:f>IF(F389="","",('Summary'!$B$5-F389)/365.25)</x:f>
        <x:v>6.935010243174387</x:v>
      </x:c>
      <x:c r="I389" s="34" t="n">
        <x:v>0.005254</x:v>
      </x:c>
      <x:c r="J389" s="35" t="n">
        <x:v>-0.00849</x:v>
      </x:c>
      <x:c r="K389" s="36" t="n">
        <x:v>142038277</x:v>
      </x:c>
      <x:c r="L389" s="36" t="n">
        <x:v>746802.044777</x:v>
      </x:c>
      <x:c r="M389" s="37" t="n">
        <x:v>4000</x:v>
      </x:c>
      <x:c r="N389" s="34" t="n">
        <x:v>0</x:v>
      </x:c>
      <x:c r="O389" s="34" t="n">
        <x:v>0</x:v>
      </x:c>
      <x:c r="P389" s="38" t="str">
        <x:f>IF(OR(N389="",O389="",N389=0,O389=0),"",(O389-N389)/((O389+N389)/2))</x:f>
      </x:c>
      <x:c r="Q389" s="34" t="n">
        <x:v>0.00525775</x:v>
      </x:c>
      <x:c r="R389" s="34" t="n">
        <x:v>0.005407</x:v>
      </x:c>
      <x:c r="S389" s="34" t="n">
        <x:v>0.005091</x:v>
      </x:c>
      <x:c r="T389" s="32" t="n">
        <x:v>46209.26112309028</x:v>
      </x:c>
      <x:c r="U389" s="32" t="n">
        <x:v>46210.26112309028</x:v>
      </x:c>
      <x:c r="V389" s="34" t="n">
        <x:v>10</x:v>
      </x:c>
      <x:c r="W389" s="34" t="n">
        <x:v>1</x:v>
      </x:c>
      <x:c r="X389" s="34" t="n">
        <x:v>1</x:v>
      </x:c>
      <x:c r="Y389" s="34" t="n">
        <x:v>0.000001</x:v>
      </x:c>
      <x:c r="Z389" s="30" t="str">
        <x:f>IF(AND(D389="TRADING",I389&lt;&gt;"",L389&lt;&gt;"",M389&lt;&gt;"",N389&lt;&gt;"",O389&lt;&gt;""),"Yes","No")</x:f>
        <x:v>No</x:v>
      </x:c>
      <x:c r="AA389" s="39" t="str">
        <x:v>https://developers.binance.com/en/docs/catalog/core-trading-spot-trading/api/rest-api</x:v>
      </x:c>
    </x:row>
    <x:row r="390">
      <x:c r="A390" s="30" t="str">
        <x:v>MINAUSDT</x:v>
      </x:c>
      <x:c r="B390" s="30" t="str">
        <x:v>MINA</x:v>
      </x:c>
      <x:c r="C390" s="30" t="str">
        <x:v>USDT</x:v>
      </x:c>
      <x:c r="D390" s="30" t="str">
        <x:v>TRADING</x:v>
      </x:c>
      <x:c r="E390" s="31" t="b">
        <x:v>1</x:v>
      </x:c>
      <x:c r="F390" s="32" t="n">
        <x:v>44418</x:v>
      </x:c>
      <x:c r="G390" s="32" t="n">
        <x:v>44418.999999988424</x:v>
      </x:c>
      <x:c r="H390" s="33" t="n">
        <x:f>IF(F390="","",('Summary'!$B$5-F390)/365.25)</x:f>
        <x:v>4.980184781162067</x:v>
      </x:c>
      <x:c r="I390" s="34" t="n">
        <x:v>0.0408</x:v>
      </x:c>
      <x:c r="J390" s="35" t="n">
        <x:v>0.00493</x:v>
      </x:c>
      <x:c r="K390" s="36" t="n">
        <x:v>1809764.9</x:v>
      </x:c>
      <x:c r="L390" s="36" t="n">
        <x:v>74259.11298</x:v>
      </x:c>
      <x:c r="M390" s="37" t="n">
        <x:v>1049</x:v>
      </x:c>
      <x:c r="N390" s="34" t="n">
        <x:v>0.0408</x:v>
      </x:c>
      <x:c r="O390" s="34" t="n">
        <x:v>0.0409</x:v>
      </x:c>
      <x:c r="P390" s="38" t="n">
        <x:f>IF(OR(N390="",O390="",N390=0,O390=0),"",(O390-N390)/((O390+N390)/2))</x:f>
        <x:v>0.0024479804161565712</x:v>
      </x:c>
      <x:c r="Q390" s="34" t="n">
        <x:v>0.04103246</x:v>
      </x:c>
      <x:c r="R390" s="34" t="n">
        <x:v>0.0414</x:v>
      </x:c>
      <x:c r="S390" s="34" t="n">
        <x:v>0.0405</x:v>
      </x:c>
      <x:c r="T390" s="32" t="n">
        <x:v>46236.01247878472</x:v>
      </x:c>
      <x:c r="U390" s="32" t="n">
        <x:v>46237.01247878472</x:v>
      </x:c>
      <x:c r="V390" s="34" t="n">
        <x:v>5</x:v>
      </x:c>
      <x:c r="W390" s="34" t="n">
        <x:v>0.1</x:v>
      </x:c>
      <x:c r="X390" s="34" t="n">
        <x:v>0.1</x:v>
      </x:c>
      <x:c r="Y390" s="34" t="n">
        <x:v>0.0001</x:v>
      </x:c>
      <x:c r="Z390" s="30" t="str">
        <x:f>IF(AND(D390="TRADING",I390&lt;&gt;"",L390&lt;&gt;"",M390&lt;&gt;"",N390&lt;&gt;"",O390&lt;&gt;""),"Yes","No")</x:f>
        <x:v>Yes</x:v>
      </x:c>
      <x:c r="AA390" s="39" t="str">
        <x:v>https://developers.binance.com/en/docs/catalog/core-trading-spot-trading/api/rest-api</x:v>
      </x:c>
    </x:row>
    <x:row r="391">
      <x:c r="A391" s="30" t="str">
        <x:v>MIRAUSDT</x:v>
      </x:c>
      <x:c r="B391" s="30" t="str">
        <x:v>MIRA</x:v>
      </x:c>
      <x:c r="C391" s="30" t="str">
        <x:v>USDT</x:v>
      </x:c>
      <x:c r="D391" s="30" t="str">
        <x:v>TRADING</x:v>
      </x:c>
      <x:c r="E391" s="31" t="b">
        <x:v>1</x:v>
      </x:c>
      <x:c r="F391" s="32" t="n">
        <x:v>45926</x:v>
      </x:c>
      <x:c r="G391" s="32" t="n">
        <x:v>45926.999999988424</x:v>
      </x:c>
      <x:c r="H391" s="33" t="n">
        <x:f>IF(F391="","",('Summary'!$B$5-F391)/365.25)</x:f>
        <x:v>0.8515057941668582</x:v>
      </x:c>
      <x:c r="I391" s="34" t="n">
        <x:v>0.0416</x:v>
      </x:c>
      <x:c r="J391" s="35" t="n">
        <x:v>-0.009519999999999999</x:v>
      </x:c>
      <x:c r="K391" s="36" t="n">
        <x:v>196851719.8</x:v>
      </x:c>
      <x:c r="L391" s="36" t="n">
        <x:v>8197559.84926</x:v>
      </x:c>
      <x:c r="M391" s="37" t="n">
        <x:v>44951</x:v>
      </x:c>
      <x:c r="N391" s="34" t="n">
        <x:v>0.0416</x:v>
      </x:c>
      <x:c r="O391" s="34" t="n">
        <x:v>0.0417</x:v>
      </x:c>
      <x:c r="P391" s="38" t="n">
        <x:f>IF(OR(N391="",O391="",N391=0,O391=0),"",(O391-N391)/((O391+N391)/2))</x:f>
        <x:v>0.0024009603841537303</x:v>
      </x:c>
      <x:c r="Q391" s="34" t="n">
        <x:v>0.04164332</x:v>
      </x:c>
      <x:c r="R391" s="34" t="n">
        <x:v>0.0421</x:v>
      </x:c>
      <x:c r="S391" s="34" t="n">
        <x:v>0.0407</x:v>
      </x:c>
      <x:c r="T391" s="32" t="n">
        <x:v>46236.01247064815</x:v>
      </x:c>
      <x:c r="U391" s="32" t="n">
        <x:v>46237.01247064815</x:v>
      </x:c>
      <x:c r="V391" s="34" t="n">
        <x:v>5</x:v>
      </x:c>
      <x:c r="W391" s="34" t="n">
        <x:v>0.1</x:v>
      </x:c>
      <x:c r="X391" s="34" t="n">
        <x:v>0.1</x:v>
      </x:c>
      <x:c r="Y391" s="34" t="n">
        <x:v>0.0001</x:v>
      </x:c>
      <x:c r="Z391" s="30" t="str">
        <x:f>IF(AND(D391="TRADING",I391&lt;&gt;"",L391&lt;&gt;"",M391&lt;&gt;"",N391&lt;&gt;"",O391&lt;&gt;""),"Yes","No")</x:f>
        <x:v>Yes</x:v>
      </x:c>
      <x:c r="AA391" s="39" t="str">
        <x:v>https://developers.binance.com/en/docs/catalog/core-trading-spot-trading/api/rest-api</x:v>
      </x:c>
    </x:row>
    <x:row r="392">
      <x:c r="A392" s="30" t="str">
        <x:v>MIRUSDT</x:v>
      </x:c>
      <x:c r="B392" s="30" t="str">
        <x:v>MIR</x:v>
      </x:c>
      <x:c r="C392" s="30" t="str">
        <x:v>USDT</x:v>
      </x:c>
      <x:c r="D392" s="30" t="str">
        <x:v>BREAK</x:v>
      </x:c>
      <x:c r="E392" s="31" t="b">
        <x:v>1</x:v>
      </x:c>
      <x:c r="F392" s="32" t="n">
        <x:v>44305</x:v>
      </x:c>
      <x:c r="G392" s="32" t="n">
        <x:v>44305.999999988424</x:v>
      </x:c>
      <x:c r="H392" s="33" t="n">
        <x:f>IF(F392="","",('Summary'!$B$5-F392)/365.25)</x:f>
        <x:v>5.289561920107994</x:v>
      </x:c>
      <x:c r="I392" s="34" t="n">
        <x:v>0.14168</x:v>
      </x:c>
      <x:c r="J392" s="35" t="n">
        <x:v>-0.07386999999999999</x:v>
      </x:c>
      <x:c r="K392" s="36" t="n">
        <x:v>3601038.7</x:v>
      </x:c>
      <x:c r="L392" s="36" t="n">
        <x:v>528567.844509</x:v>
      </x:c>
      <x:c r="M392" s="37" t="n">
        <x:v>4001</x:v>
      </x:c>
      <x:c r="N392" s="34" t="n">
        <x:v>0</x:v>
      </x:c>
      <x:c r="O392" s="34" t="n">
        <x:v>0</x:v>
      </x:c>
      <x:c r="P392" s="38" t="str">
        <x:f>IF(OR(N392="",O392="",N392=0,O392=0),"",(O392-N392)/((O392+N392)/2))</x:f>
      </x:c>
      <x:c r="Q392" s="34" t="n">
        <x:v>0.14678205</x:v>
      </x:c>
      <x:c r="R392" s="34" t="n">
        <x:v>0.15401</x:v>
      </x:c>
      <x:c r="S392" s="34" t="n">
        <x:v>0.14116</x:v>
      </x:c>
      <x:c r="T392" s="32" t="n">
        <x:v>46209.26112309028</x:v>
      </x:c>
      <x:c r="U392" s="32" t="n">
        <x:v>46210.26112309028</x:v>
      </x:c>
      <x:c r="V392" s="34" t="n">
        <x:v>10</x:v>
      </x:c>
      <x:c r="W392" s="34" t="n">
        <x:v>0.1</x:v>
      </x:c>
      <x:c r="X392" s="34" t="n">
        <x:v>0.1</x:v>
      </x:c>
      <x:c r="Y392" s="34" t="n">
        <x:v>0.00001</x:v>
      </x:c>
      <x:c r="Z392" s="30" t="str">
        <x:f>IF(AND(D392="TRADING",I392&lt;&gt;"",L392&lt;&gt;"",M392&lt;&gt;"",N392&lt;&gt;"",O392&lt;&gt;""),"Yes","No")</x:f>
        <x:v>No</x:v>
      </x:c>
      <x:c r="AA392" s="39" t="str">
        <x:v>https://developers.binance.com/en/docs/catalog/core-trading-spot-trading/api/rest-api</x:v>
      </x:c>
    </x:row>
    <x:row r="393">
      <x:c r="A393" s="30" t="str">
        <x:v>MITHUSDT</x:v>
      </x:c>
      <x:c r="B393" s="30" t="str">
        <x:v>MITH</x:v>
      </x:c>
      <x:c r="C393" s="30" t="str">
        <x:v>USDT</x:v>
      </x:c>
      <x:c r="D393" s="30" t="str">
        <x:v>BREAK</x:v>
      </x:c>
      <x:c r="E393" s="31" t="b">
        <x:v>1</x:v>
      </x:c>
      <x:c r="F393" s="32" t="n">
        <x:v>43574</x:v>
      </x:c>
      <x:c r="G393" s="32" t="n">
        <x:v>43574.999999988424</x:v>
      </x:c>
      <x:c r="H393" s="33" t="n">
        <x:f>IF(F393="","",('Summary'!$B$5-F393)/365.25)</x:f>
        <x:v>7.290930845501561</x:v>
      </x:c>
      <x:c r="I393" s="34" t="n">
        <x:v>0.00345</x:v>
      </x:c>
      <x:c r="J393" s="35" t="n">
        <x:v>-0.052199999999999996</x:v>
      </x:c>
      <x:c r="K393" s="36" t="n">
        <x:v>121888803.7</x:v>
      </x:c>
      <x:c r="L393" s="36" t="n">
        <x:v>414287.123678</x:v>
      </x:c>
      <x:c r="M393" s="37" t="n">
        <x:v>4001</x:v>
      </x:c>
      <x:c r="N393" s="34" t="n">
        <x:v>0</x:v>
      </x:c>
      <x:c r="O393" s="34" t="n">
        <x:v>0</x:v>
      </x:c>
      <x:c r="P393" s="38" t="str">
        <x:f>IF(OR(N393="",O393="",N393=0,O393=0),"",(O393-N393)/((O393+N393)/2))</x:f>
      </x:c>
      <x:c r="Q393" s="34" t="n">
        <x:v>0.00339889</x:v>
      </x:c>
      <x:c r="R393" s="34" t="n">
        <x:v>0.00367</x:v>
      </x:c>
      <x:c r="S393" s="34" t="n">
        <x:v>0.0032</x:v>
      </x:c>
      <x:c r="T393" s="32" t="n">
        <x:v>46209.26112309028</x:v>
      </x:c>
      <x:c r="U393" s="32" t="n">
        <x:v>46210.26112309028</x:v>
      </x:c>
      <x:c r="V393" s="34" t="n">
        <x:v>10</x:v>
      </x:c>
      <x:c r="W393" s="34" t="n">
        <x:v>0.1</x:v>
      </x:c>
      <x:c r="X393" s="34" t="n">
        <x:v>0.1</x:v>
      </x:c>
      <x:c r="Y393" s="34" t="n">
        <x:v>0.00001</x:v>
      </x:c>
      <x:c r="Z393" s="30" t="str">
        <x:f>IF(AND(D393="TRADING",I393&lt;&gt;"",L393&lt;&gt;"",M393&lt;&gt;"",N393&lt;&gt;"",O393&lt;&gt;""),"Yes","No")</x:f>
        <x:v>No</x:v>
      </x:c>
      <x:c r="AA393" s="39" t="str">
        <x:v>https://developers.binance.com/en/docs/catalog/core-trading-spot-trading/api/rest-api</x:v>
      </x:c>
    </x:row>
    <x:row r="394">
      <x:c r="A394" s="30" t="str">
        <x:v>MITOUSDT</x:v>
      </x:c>
      <x:c r="B394" s="30" t="str">
        <x:v>MITO</x:v>
      </x:c>
      <x:c r="C394" s="30" t="str">
        <x:v>USDT</x:v>
      </x:c>
      <x:c r="D394" s="30" t="str">
        <x:v>TRADING</x:v>
      </x:c>
      <x:c r="E394" s="31" t="b">
        <x:v>1</x:v>
      </x:c>
      <x:c r="F394" s="32" t="n">
        <x:v>45898</x:v>
      </x:c>
      <x:c r="G394" s="32" t="n">
        <x:v>45898.999999988424</x:v>
      </x:c>
      <x:c r="H394" s="33" t="n">
        <x:f>IF(F394="","",('Summary'!$B$5-F394)/365.25)</x:f>
        <x:v>0.928165616206557</x:v>
      </x:c>
      <x:c r="I394" s="34" t="n">
        <x:v>0.02181</x:v>
      </x:c>
      <x:c r="J394" s="35" t="n">
        <x:v>0.022019999999999998</x:v>
      </x:c>
      <x:c r="K394" s="36" t="n">
        <x:v>17454781.1</x:v>
      </x:c>
      <x:c r="L394" s="36" t="n">
        <x:v>379551.787514</x:v>
      </x:c>
      <x:c r="M394" s="37" t="n">
        <x:v>8898</x:v>
      </x:c>
      <x:c r="N394" s="34" t="n">
        <x:v>0.0218</x:v>
      </x:c>
      <x:c r="O394" s="34" t="n">
        <x:v>0.02181</x:v>
      </x:c>
      <x:c r="P394" s="38" t="n">
        <x:f>IF(OR(N394="",O394="",N394=0,O394=0),"",(O394-N394)/((O394+N394)/2))</x:f>
        <x:v>0.0004586104104562987</x:v>
      </x:c>
      <x:c r="Q394" s="34" t="n">
        <x:v>0.02174486</x:v>
      </x:c>
      <x:c r="R394" s="34" t="n">
        <x:v>0.02216</x:v>
      </x:c>
      <x:c r="S394" s="34" t="n">
        <x:v>0.02126</x:v>
      </x:c>
      <x:c r="T394" s="32" t="n">
        <x:v>46236.01247851852</x:v>
      </x:c>
      <x:c r="U394" s="32" t="n">
        <x:v>46237.01247851852</x:v>
      </x:c>
      <x:c r="V394" s="34" t="n">
        <x:v>5</x:v>
      </x:c>
      <x:c r="W394" s="34" t="n">
        <x:v>0.1</x:v>
      </x:c>
      <x:c r="X394" s="34" t="n">
        <x:v>0.1</x:v>
      </x:c>
      <x:c r="Y394" s="34" t="n">
        <x:v>0.00001</x:v>
      </x:c>
      <x:c r="Z394" s="30" t="str">
        <x:f>IF(AND(D394="TRADING",I394&lt;&gt;"",L394&lt;&gt;"",M394&lt;&gt;"",N394&lt;&gt;"",O394&lt;&gt;""),"Yes","No")</x:f>
        <x:v>Yes</x:v>
      </x:c>
      <x:c r="AA394" s="39" t="str">
        <x:v>https://developers.binance.com/en/docs/catalog/core-trading-spot-trading/api/rest-api</x:v>
      </x:c>
    </x:row>
    <x:row r="395">
      <x:c r="A395" s="30" t="str">
        <x:v>MKRUSDT</x:v>
      </x:c>
      <x:c r="B395" s="30" t="str">
        <x:v>MKR</x:v>
      </x:c>
      <x:c r="C395" s="30" t="str">
        <x:v>USDT</x:v>
      </x:c>
      <x:c r="D395" s="30" t="str">
        <x:v>BREAK</x:v>
      </x:c>
      <x:c r="E395" s="31" t="b">
        <x:v>1</x:v>
      </x:c>
      <x:c r="F395" s="32" t="n">
        <x:v>44035</x:v>
      </x:c>
      <x:c r="G395" s="32" t="n">
        <x:v>44035.999999988424</x:v>
      </x:c>
      <x:c r="H395" s="33" t="n">
        <x:f>IF(F395="","",('Summary'!$B$5-F395)/365.25)</x:f>
        <x:v>6.028781632633661</x:v>
      </x:c>
      <x:c r="I395" s="34" t="n">
        <x:v>1813.7</x:v>
      </x:c>
      <x:c r="J395" s="35" t="n">
        <x:v>0.0076100000000000004</x:v>
      </x:c>
      <x:c r="K395" s="36" t="n">
        <x:v>244.1798</x:v>
      </x:c>
      <x:c r="L395" s="36" t="n">
        <x:v>440708.83626</x:v>
      </x:c>
      <x:c r="M395" s="37" t="n">
        <x:v>4001</x:v>
      </x:c>
      <x:c r="N395" s="34" t="n">
        <x:v>0</x:v>
      </x:c>
      <x:c r="O395" s="34" t="n">
        <x:v>0</x:v>
      </x:c>
      <x:c r="P395" s="38" t="str">
        <x:f>IF(OR(N395="",O395="",N395=0,O395=0),"",(O395-N395)/((O395+N395)/2))</x:f>
      </x:c>
      <x:c r="Q395" s="34" t="n">
        <x:v>1804.85378504</x:v>
      </x:c>
      <x:c r="R395" s="34" t="n">
        <x:v>1830</x:v>
      </x:c>
      <x:c r="S395" s="34" t="n">
        <x:v>1780.6</x:v>
      </x:c>
      <x:c r="T395" s="32" t="n">
        <x:v>46209.26112309028</x:v>
      </x:c>
      <x:c r="U395" s="32" t="n">
        <x:v>46210.26112309028</x:v>
      </x:c>
      <x:c r="V395" s="34" t="n">
        <x:v>5</x:v>
      </x:c>
      <x:c r="W395" s="34" t="n">
        <x:v>0.0001</x:v>
      </x:c>
      <x:c r="X395" s="34" t="n">
        <x:v>0.0001</x:v>
      </x:c>
      <x:c r="Y395" s="34" t="n">
        <x:v>0.1</x:v>
      </x:c>
      <x:c r="Z395" s="30" t="str">
        <x:f>IF(AND(D395="TRADING",I395&lt;&gt;"",L395&lt;&gt;"",M395&lt;&gt;"",N395&lt;&gt;"",O395&lt;&gt;""),"Yes","No")</x:f>
        <x:v>No</x:v>
      </x:c>
      <x:c r="AA395" s="39" t="str">
        <x:v>https://developers.binance.com/en/docs/catalog/core-trading-spot-trading/api/rest-api</x:v>
      </x:c>
    </x:row>
    <x:row r="396">
      <x:c r="A396" s="30" t="str">
        <x:v>MLNUSDT</x:v>
      </x:c>
      <x:c r="B396" s="30" t="str">
        <x:v>MLN</x:v>
      </x:c>
      <x:c r="C396" s="30" t="str">
        <x:v>USDT</x:v>
      </x:c>
      <x:c r="D396" s="30" t="str">
        <x:v>BREAK</x:v>
      </x:c>
      <x:c r="E396" s="31" t="b">
        <x:v>1</x:v>
      </x:c>
      <x:c r="F396" s="32" t="n">
        <x:v>44382</x:v>
      </x:c>
      <x:c r="G396" s="32" t="n">
        <x:v>44382.999999988424</x:v>
      </x:c>
      <x:c r="H396" s="33" t="n">
        <x:f>IF(F396="","",('Summary'!$B$5-F396)/365.25)</x:f>
        <x:v>5.078747409498822</x:v>
      </x:c>
      <x:c r="I396" s="34" t="n">
        <x:v>1.7</x:v>
      </x:c>
      <x:c r="J396" s="35" t="n">
        <x:v>-0.14141</x:v>
      </x:c>
      <x:c r="K396" s="36" t="n">
        <x:v>183614.32</x:v>
      </x:c>
      <x:c r="L396" s="36" t="n">
        <x:v>335029.66441</x:v>
      </x:c>
      <x:c r="M396" s="37" t="n">
        <x:v>9680</x:v>
      </x:c>
      <x:c r="N396" s="34" t="n">
        <x:v>0</x:v>
      </x:c>
      <x:c r="O396" s="34" t="n">
        <x:v>0</x:v>
      </x:c>
      <x:c r="P396" s="38" t="str">
        <x:f>IF(OR(N396="",O396="",N396=0,O396=0),"",(O396-N396)/((O396+N396)/2))</x:f>
      </x:c>
      <x:c r="Q396" s="34" t="n">
        <x:v>1.82463799</x:v>
      </x:c>
      <x:c r="R396" s="34" t="n">
        <x:v>2.01</x:v>
      </x:c>
      <x:c r="S396" s="34" t="n">
        <x:v>1.56</x:v>
      </x:c>
      <x:c r="T396" s="32" t="n">
        <x:v>46209.26112309028</x:v>
      </x:c>
      <x:c r="U396" s="32" t="n">
        <x:v>46210.26112309028</x:v>
      </x:c>
      <x:c r="V396" s="34" t="n">
        <x:v>5</x:v>
      </x:c>
      <x:c r="W396" s="34" t="n">
        <x:v>0.001</x:v>
      </x:c>
      <x:c r="X396" s="34" t="n">
        <x:v>0.001</x:v>
      </x:c>
      <x:c r="Y396" s="34" t="n">
        <x:v>0.01</x:v>
      </x:c>
      <x:c r="Z396" s="30" t="str">
        <x:f>IF(AND(D396="TRADING",I396&lt;&gt;"",L396&lt;&gt;"",M396&lt;&gt;"",N396&lt;&gt;"",O396&lt;&gt;""),"Yes","No")</x:f>
        <x:v>No</x:v>
      </x:c>
      <x:c r="AA396" s="39" t="str">
        <x:v>https://developers.binance.com/en/docs/catalog/core-trading-spot-trading/api/rest-api</x:v>
      </x:c>
    </x:row>
    <x:row r="397">
      <x:c r="A397" s="30" t="str">
        <x:v>MMTUSDT</x:v>
      </x:c>
      <x:c r="B397" s="30" t="str">
        <x:v>MMT</x:v>
      </x:c>
      <x:c r="C397" s="30" t="str">
        <x:v>USDT</x:v>
      </x:c>
      <x:c r="D397" s="30" t="str">
        <x:v>TRADING</x:v>
      </x:c>
      <x:c r="E397" s="31" t="b">
        <x:v>1</x:v>
      </x:c>
      <x:c r="F397" s="32" t="n">
        <x:v>45965</x:v>
      </x:c>
      <x:c r="G397" s="32" t="n">
        <x:v>45965.999999988424</x:v>
      </x:c>
      <x:c r="H397" s="33" t="n">
        <x:f>IF(F397="","",('Summary'!$B$5-F397)/365.25)</x:f>
        <x:v>0.7447296134687063</x:v>
      </x:c>
      <x:c r="I397" s="34" t="n">
        <x:v>0.1585</x:v>
      </x:c>
      <x:c r="J397" s="35" t="n">
        <x:v>-0.14232</x:v>
      </x:c>
      <x:c r="K397" s="36" t="n">
        <x:v>19069547.5</x:v>
      </x:c>
      <x:c r="L397" s="36" t="n">
        <x:v>3322433.83696</x:v>
      </x:c>
      <x:c r="M397" s="37" t="n">
        <x:v>55884</x:v>
      </x:c>
      <x:c r="N397" s="34" t="n">
        <x:v>0.1584</x:v>
      </x:c>
      <x:c r="O397" s="34" t="n">
        <x:v>0.1585</x:v>
      </x:c>
      <x:c r="P397" s="38" t="n">
        <x:f>IF(OR(N397="",O397="",N397=0,O397=0),"",(O397-N397)/((O397+N397)/2))</x:f>
        <x:v>0.0006311139160617796</x:v>
      </x:c>
      <x:c r="Q397" s="34" t="n">
        <x:v>0.1742272</x:v>
      </x:c>
      <x:c r="R397" s="34" t="n">
        <x:v>0.187</x:v>
      </x:c>
      <x:c r="S397" s="34" t="n">
        <x:v>0.1569</x:v>
      </x:c>
      <x:c r="T397" s="32" t="n">
        <x:v>46236.01247489583</x:v>
      </x:c>
      <x:c r="U397" s="32" t="n">
        <x:v>46237.01247489583</x:v>
      </x:c>
      <x:c r="V397" s="34" t="n">
        <x:v>5</x:v>
      </x:c>
      <x:c r="W397" s="34" t="n">
        <x:v>0.1</x:v>
      </x:c>
      <x:c r="X397" s="34" t="n">
        <x:v>0.1</x:v>
      </x:c>
      <x:c r="Y397" s="34" t="n">
        <x:v>0.0001</x:v>
      </x:c>
      <x:c r="Z397" s="30" t="str">
        <x:f>IF(AND(D397="TRADING",I397&lt;&gt;"",L397&lt;&gt;"",M397&lt;&gt;"",N397&lt;&gt;"",O397&lt;&gt;""),"Yes","No")</x:f>
        <x:v>Yes</x:v>
      </x:c>
      <x:c r="AA397" s="39" t="str">
        <x:v>https://developers.binance.com/en/docs/catalog/core-trading-spot-trading/api/rest-api</x:v>
      </x:c>
    </x:row>
    <x:row r="398">
      <x:c r="A398" s="30" t="str">
        <x:v>MOBUSDT</x:v>
      </x:c>
      <x:c r="B398" s="30" t="str">
        <x:v>MOB</x:v>
      </x:c>
      <x:c r="C398" s="30" t="str">
        <x:v>USDT</x:v>
      </x:c>
      <x:c r="D398" s="30" t="str">
        <x:v>BREAK</x:v>
      </x:c>
      <x:c r="E398" s="31" t="b">
        <x:v>1</x:v>
      </x:c>
      <x:c r="F398" s="32" t="n">
        <x:v>44680</x:v>
      </x:c>
      <x:c r="G398" s="32" t="n">
        <x:v>44680.999999988424</x:v>
      </x:c>
      <x:c r="H398" s="33" t="n">
        <x:f>IF(F398="","",('Summary'!$B$5-F398)/365.25)</x:f>
        <x:v>4.262867874933456</x:v>
      </x:c>
      <x:c r="I398" s="34" t="n">
        <x:v>0.0623</x:v>
      </x:c>
      <x:c r="J398" s="35" t="n">
        <x:v>-0.06033</x:v>
      </x:c>
      <x:c r="K398" s="36" t="n">
        <x:v>5434478.18</x:v>
      </x:c>
      <x:c r="L398" s="36" t="n">
        <x:v>350633.643459</x:v>
      </x:c>
      <x:c r="M398" s="37" t="n">
        <x:v>4001</x:v>
      </x:c>
      <x:c r="N398" s="34" t="n">
        <x:v>0</x:v>
      </x:c>
      <x:c r="O398" s="34" t="n">
        <x:v>0</x:v>
      </x:c>
      <x:c r="P398" s="38" t="str">
        <x:f>IF(OR(N398="",O398="",N398=0,O398=0),"",(O398-N398)/((O398+N398)/2))</x:f>
      </x:c>
      <x:c r="Q398" s="34" t="n">
        <x:v>0.0645202</x:v>
      </x:c>
      <x:c r="R398" s="34" t="n">
        <x:v>0.0676</x:v>
      </x:c>
      <x:c r="S398" s="34" t="n">
        <x:v>0.0615</x:v>
      </x:c>
      <x:c r="T398" s="32" t="n">
        <x:v>46209.26112309028</x:v>
      </x:c>
      <x:c r="U398" s="32" t="n">
        <x:v>46210.26112309028</x:v>
      </x:c>
      <x:c r="V398" s="34" t="n">
        <x:v>5</x:v>
      </x:c>
      <x:c r="W398" s="34" t="n">
        <x:v>0.01</x:v>
      </x:c>
      <x:c r="X398" s="34" t="n">
        <x:v>0.01</x:v>
      </x:c>
      <x:c r="Y398" s="34" t="n">
        <x:v>0.0001</x:v>
      </x:c>
      <x:c r="Z398" s="30" t="str">
        <x:f>IF(AND(D398="TRADING",I398&lt;&gt;"",L398&lt;&gt;"",M398&lt;&gt;"",N398&lt;&gt;"",O398&lt;&gt;""),"Yes","No")</x:f>
        <x:v>No</x:v>
      </x:c>
      <x:c r="AA398" s="39" t="str">
        <x:v>https://developers.binance.com/en/docs/catalog/core-trading-spot-trading/api/rest-api</x:v>
      </x:c>
    </x:row>
    <x:row r="399">
      <x:c r="A399" s="30" t="str">
        <x:v>MORPHOUSDT</x:v>
      </x:c>
      <x:c r="B399" s="30" t="str">
        <x:v>MORPHO</x:v>
      </x:c>
      <x:c r="C399" s="30" t="str">
        <x:v>USDT</x:v>
      </x:c>
      <x:c r="D399" s="30" t="str">
        <x:v>TRADING</x:v>
      </x:c>
      <x:c r="E399" s="31" t="b">
        <x:v>1</x:v>
      </x:c>
      <x:c r="F399" s="32" t="n">
        <x:v>45933</x:v>
      </x:c>
      <x:c r="G399" s="32" t="n">
        <x:v>45933.999999988424</x:v>
      </x:c>
      <x:c r="H399" s="33" t="n">
        <x:f>IF(F399="","",('Summary'!$B$5-F399)/365.25)</x:f>
        <x:v>0.8323408386569335</x:v>
      </x:c>
      <x:c r="I399" s="34" t="n">
        <x:v>1.94</x:v>
      </x:c>
      <x:c r="J399" s="35" t="n">
        <x:v>-0.00052</x:v>
      </x:c>
      <x:c r="K399" s="36" t="n">
        <x:v>414521.18</x:v>
      </x:c>
      <x:c r="L399" s="36" t="n">
        <x:v>806331.07818</x:v>
      </x:c>
      <x:c r="M399" s="37" t="n">
        <x:v>14960</x:v>
      </x:c>
      <x:c r="N399" s="34" t="n">
        <x:v>1.94</x:v>
      </x:c>
      <x:c r="O399" s="34" t="n">
        <x:v>1.941</x:v>
      </x:c>
      <x:c r="P399" s="38" t="n">
        <x:f>IF(OR(N399="",O399="",N399=0,O399=0),"",(O399-N399)/((O399+N399)/2))</x:f>
        <x:v>0.0005153311002319567</x:v>
      </x:c>
      <x:c r="Q399" s="34" t="n">
        <x:v>1.9452108</x:v>
      </x:c>
      <x:c r="R399" s="34" t="n">
        <x:v>1.995</x:v>
      </x:c>
      <x:c r="S399" s="34" t="n">
        <x:v>1.923</x:v>
      </x:c>
      <x:c r="T399" s="32" t="n">
        <x:v>46236.01247790509</x:v>
      </x:c>
      <x:c r="U399" s="32" t="n">
        <x:v>46237.01247790509</x:v>
      </x:c>
      <x:c r="V399" s="34" t="n">
        <x:v>5</x:v>
      </x:c>
      <x:c r="W399" s="34" t="n">
        <x:v>0.01</x:v>
      </x:c>
      <x:c r="X399" s="34" t="n">
        <x:v>0.01</x:v>
      </x:c>
      <x:c r="Y399" s="34" t="n">
        <x:v>0.001</x:v>
      </x:c>
      <x:c r="Z399" s="30" t="str">
        <x:f>IF(AND(D399="TRADING",I399&lt;&gt;"",L399&lt;&gt;"",M399&lt;&gt;"",N399&lt;&gt;"",O399&lt;&gt;""),"Yes","No")</x:f>
        <x:v>Yes</x:v>
      </x:c>
      <x:c r="AA399" s="39" t="str">
        <x:v>https://developers.binance.com/en/docs/catalog/core-trading-spot-trading/api/rest-api</x:v>
      </x:c>
    </x:row>
    <x:row r="400">
      <x:c r="A400" s="30" t="str">
        <x:v>MOVEUSDT</x:v>
      </x:c>
      <x:c r="B400" s="30" t="str">
        <x:v>MOVE</x:v>
      </x:c>
      <x:c r="C400" s="30" t="str">
        <x:v>USDT</x:v>
      </x:c>
      <x:c r="D400" s="30" t="str">
        <x:v>TRADING</x:v>
      </x:c>
      <x:c r="E400" s="31" t="b">
        <x:v>1</x:v>
      </x:c>
      <x:c r="F400" s="32" t="n">
        <x:v>45635</x:v>
      </x:c>
      <x:c r="G400" s="32" t="n">
        <x:v>45635.999999988424</x:v>
      </x:c>
      <x:c r="H400" s="33" t="n">
        <x:f>IF(F400="","",('Summary'!$B$5-F400)/365.25)</x:f>
        <x:v>1.6482203732222998</x:v>
      </x:c>
      <x:c r="I400" s="34" t="n">
        <x:v>0.0075</x:v>
      </x:c>
      <x:c r="J400" s="35" t="n">
        <x:v>0.01351</x:v>
      </x:c>
      <x:c r="K400" s="36" t="n">
        <x:v>15700602.5</x:v>
      </x:c>
      <x:c r="L400" s="36" t="n">
        <x:v>118827.49502</x:v>
      </x:c>
      <x:c r="M400" s="37" t="n">
        <x:v>2781</x:v>
      </x:c>
      <x:c r="N400" s="34" t="n">
        <x:v>0.0075</x:v>
      </x:c>
      <x:c r="O400" s="34" t="n">
        <x:v>0.0076</x:v>
      </x:c>
      <x:c r="P400" s="38" t="n">
        <x:f>IF(OR(N400="",O400="",N400=0,O400=0),"",(O400-N400)/((O400+N400)/2))</x:f>
        <x:v>0.013245033112582818</x:v>
      </x:c>
      <x:c r="Q400" s="34" t="n">
        <x:v>0.00756834</x:v>
      </x:c>
      <x:c r="R400" s="34" t="n">
        <x:v>0.0077</x:v>
      </x:c>
      <x:c r="S400" s="34" t="n">
        <x:v>0.0074</x:v>
      </x:c>
      <x:c r="T400" s="32" t="n">
        <x:v>46236.01245106482</x:v>
      </x:c>
      <x:c r="U400" s="32" t="n">
        <x:v>46237.01245106482</x:v>
      </x:c>
      <x:c r="V400" s="34" t="n">
        <x:v>5</x:v>
      </x:c>
      <x:c r="W400" s="34" t="n">
        <x:v>0.1</x:v>
      </x:c>
      <x:c r="X400" s="34" t="n">
        <x:v>0.1</x:v>
      </x:c>
      <x:c r="Y400" s="34" t="n">
        <x:v>0.0001</x:v>
      </x:c>
      <x:c r="Z400" s="30" t="str">
        <x:f>IF(AND(D400="TRADING",I400&lt;&gt;"",L400&lt;&gt;"",M400&lt;&gt;"",N400&lt;&gt;"",O400&lt;&gt;""),"Yes","No")</x:f>
        <x:v>Yes</x:v>
      </x:c>
      <x:c r="AA400" s="39" t="str">
        <x:v>https://developers.binance.com/en/docs/catalog/core-trading-spot-trading/api/rest-api</x:v>
      </x:c>
    </x:row>
    <x:row r="401">
      <x:c r="A401" s="30" t="str">
        <x:v>MOVRUSDT</x:v>
      </x:c>
      <x:c r="B401" s="30" t="str">
        <x:v>MOVR</x:v>
      </x:c>
      <x:c r="C401" s="30" t="str">
        <x:v>USDT</x:v>
      </x:c>
      <x:c r="D401" s="30" t="str">
        <x:v>TRADING</x:v>
      </x:c>
      <x:c r="E401" s="31" t="b">
        <x:v>1</x:v>
      </x:c>
      <x:c r="F401" s="32" t="n">
        <x:v>44508</x:v>
      </x:c>
      <x:c r="G401" s="32" t="n">
        <x:v>44508.999999988424</x:v>
      </x:c>
      <x:c r="H401" s="33" t="n">
        <x:f>IF(F401="","",('Summary'!$B$5-F401)/365.25)</x:f>
        <x:v>4.733778210320178</x:v>
      </x:c>
      <x:c r="I401" s="34" t="n">
        <x:v>1.151</x:v>
      </x:c>
      <x:c r="J401" s="35" t="n">
        <x:v>0.012310000000000001</x:v>
      </x:c>
      <x:c r="K401" s="36" t="n">
        <x:v>101405.45</x:v>
      </x:c>
      <x:c r="L401" s="36" t="n">
        <x:v>116632.769076</x:v>
      </x:c>
      <x:c r="M401" s="37" t="n">
        <x:v>1525</x:v>
      </x:c>
      <x:c r="N401" s="34" t="n">
        <x:v>1.149</x:v>
      </x:c>
      <x:c r="O401" s="34" t="n">
        <x:v>1.151</x:v>
      </x:c>
      <x:c r="P401" s="38" t="n">
        <x:f>IF(OR(N401="",O401="",N401=0,O401=0),"",(O401-N401)/((O401+N401)/2))</x:f>
        <x:v>0.0017391304347826103</x:v>
      </x:c>
      <x:c r="Q401" s="34" t="n">
        <x:v>1.15016273</x:v>
      </x:c>
      <x:c r="R401" s="34" t="n">
        <x:v>1.163</x:v>
      </x:c>
      <x:c r="S401" s="34" t="n">
        <x:v>1.131</x:v>
      </x:c>
      <x:c r="T401" s="32" t="n">
        <x:v>46236.01230484954</x:v>
      </x:c>
      <x:c r="U401" s="32" t="n">
        <x:v>46237.01230484954</x:v>
      </x:c>
      <x:c r="V401" s="34" t="n">
        <x:v>5</x:v>
      </x:c>
      <x:c r="W401" s="34" t="n">
        <x:v>0.001</x:v>
      </x:c>
      <x:c r="X401" s="34" t="n">
        <x:v>0.001</x:v>
      </x:c>
      <x:c r="Y401" s="34" t="n">
        <x:v>0.001</x:v>
      </x:c>
      <x:c r="Z401" s="30" t="str">
        <x:f>IF(AND(D401="TRADING",I401&lt;&gt;"",L401&lt;&gt;"",M401&lt;&gt;"",N401&lt;&gt;"",O401&lt;&gt;""),"Yes","No")</x:f>
        <x:v>Yes</x:v>
      </x:c>
      <x:c r="AA401" s="39" t="str">
        <x:v>https://developers.binance.com/en/docs/catalog/core-trading-spot-trading/api/rest-api</x:v>
      </x:c>
    </x:row>
    <x:row r="402">
      <x:c r="A402" s="30" t="str">
        <x:v>MRVLBUSDT</x:v>
      </x:c>
      <x:c r="B402" s="30" t="str">
        <x:v>MRVLB</x:v>
      </x:c>
      <x:c r="C402" s="30" t="str">
        <x:v>USDT</x:v>
      </x:c>
      <x:c r="D402" s="30" t="str">
        <x:v>TRADING</x:v>
      </x:c>
      <x:c r="E402" s="31" t="b">
        <x:v>1</x:v>
      </x:c>
      <x:c r="F402" s="32" t="n">
        <x:v>46218</x:v>
      </x:c>
      <x:c r="G402" s="32" t="n">
        <x:v>46218.999999988424</x:v>
      </x:c>
      <x:c r="H402" s="33" t="n">
        <x:f>IF(F402="","",('Summary'!$B$5-F402)/365.25)</x:f>
        <x:v>0.05205336432428463</x:v>
      </x:c>
      <x:c r="I402" s="34" t="n">
        <x:v>194.04</x:v>
      </x:c>
      <x:c r="J402" s="35" t="n">
        <x:v>0.036539999999999996</x:v>
      </x:c>
      <x:c r="K402" s="36" t="n">
        <x:v>1573.471</x:v>
      </x:c>
      <x:c r="L402" s="36" t="n">
        <x:v>302483.89103</x:v>
      </x:c>
      <x:c r="M402" s="37" t="n">
        <x:v>4934</x:v>
      </x:c>
      <x:c r="N402" s="34" t="n">
        <x:v>193.67</x:v>
      </x:c>
      <x:c r="O402" s="34" t="n">
        <x:v>194.12</x:v>
      </x:c>
      <x:c r="P402" s="38" t="n">
        <x:f>IF(OR(N402="",O402="",N402=0,O402=0),"",(O402-N402)/((O402+N402)/2))</x:f>
        <x:v>0.002320843755641028</x:v>
      </x:c>
      <x:c r="Q402" s="34" t="n">
        <x:v>192.23988941</x:v>
      </x:c>
      <x:c r="R402" s="34" t="n">
        <x:v>195.02</x:v>
      </x:c>
      <x:c r="S402" s="34" t="n">
        <x:v>187.2</x:v>
      </x:c>
      <x:c r="T402" s="32" t="n">
        <x:v>46236.01248181713</x:v>
      </x:c>
      <x:c r="U402" s="32" t="n">
        <x:v>46237.01248181713</x:v>
      </x:c>
      <x:c r="V402" s="34" t="n">
        <x:v>5</x:v>
      </x:c>
      <x:c r="W402" s="34" t="n">
        <x:v>0.001</x:v>
      </x:c>
      <x:c r="X402" s="34" t="n">
        <x:v>0.001</x:v>
      </x:c>
      <x:c r="Y402" s="34" t="n">
        <x:v>0.01</x:v>
      </x:c>
      <x:c r="Z402" s="30" t="str">
        <x:f>IF(AND(D402="TRADING",I402&lt;&gt;"",L402&lt;&gt;"",M402&lt;&gt;"",N402&lt;&gt;"",O402&lt;&gt;""),"Yes","No")</x:f>
        <x:v>Yes</x:v>
      </x:c>
      <x:c r="AA402" s="39" t="str">
        <x:v>https://developers.binance.com/en/docs/catalog/core-trading-spot-trading/api/rest-api</x:v>
      </x:c>
    </x:row>
    <x:row r="403">
      <x:c r="A403" s="30" t="str">
        <x:v>MSFTBUSDT</x:v>
      </x:c>
      <x:c r="B403" s="30" t="str">
        <x:v>MSFTB</x:v>
      </x:c>
      <x:c r="C403" s="30" t="str">
        <x:v>USDT</x:v>
      </x:c>
      <x:c r="D403" s="30" t="str">
        <x:v>TRADING</x:v>
      </x:c>
      <x:c r="E403" s="31" t="b">
        <x:v>1</x:v>
      </x:c>
      <x:c r="F403" s="32" t="n">
        <x:v>46203</x:v>
      </x:c>
      <x:c r="G403" s="32" t="n">
        <x:v>46203.999999988424</x:v>
      </x:c>
      <x:c r="H403" s="33" t="n">
        <x:f>IF(F403="","",('Summary'!$B$5-F403)/365.25)</x:f>
        <x:v>0.09312112613126615</x:v>
      </x:c>
      <x:c r="I403" s="34" t="n">
        <x:v>468.17</x:v>
      </x:c>
      <x:c r="J403" s="35" t="n">
        <x:v>0.01518</x:v>
      </x:c>
      <x:c r="K403" s="36" t="n">
        <x:v>561.22</x:v>
      </x:c>
      <x:c r="L403" s="36" t="n">
        <x:v>259805.11144</x:v>
      </x:c>
      <x:c r="M403" s="37" t="n">
        <x:v>3350</x:v>
      </x:c>
      <x:c r="N403" s="34" t="n">
        <x:v>468.23</x:v>
      </x:c>
      <x:c r="O403" s="34" t="n">
        <x:v>468.48</x:v>
      </x:c>
      <x:c r="P403" s="38" t="n">
        <x:f>IF(OR(N403="",O403="",N403=0,O403=0),"",(O403-N403)/((O403+N403)/2))</x:f>
        <x:v>0.0005337831345880795</x:v>
      </x:c>
      <x:c r="Q403" s="34" t="n">
        <x:v>462.92917473</x:v>
      </x:c>
      <x:c r="R403" s="34" t="n">
        <x:v>468.92</x:v>
      </x:c>
      <x:c r="S403" s="34" t="n">
        <x:v>459.92</x:v>
      </x:c>
      <x:c r="T403" s="32" t="n">
        <x:v>46236.01243670139</x:v>
      </x:c>
      <x:c r="U403" s="32" t="n">
        <x:v>46237.01243670139</x:v>
      </x:c>
      <x:c r="V403" s="34" t="n">
        <x:v>5</x:v>
      </x:c>
      <x:c r="W403" s="34" t="n">
        <x:v>0.001</x:v>
      </x:c>
      <x:c r="X403" s="34" t="n">
        <x:v>0.001</x:v>
      </x:c>
      <x:c r="Y403" s="34" t="n">
        <x:v>0.01</x:v>
      </x:c>
      <x:c r="Z403" s="30" t="str">
        <x:f>IF(AND(D403="TRADING",I403&lt;&gt;"",L403&lt;&gt;"",M403&lt;&gt;"",N403&lt;&gt;"",O403&lt;&gt;""),"Yes","No")</x:f>
        <x:v>Yes</x:v>
      </x:c>
      <x:c r="AA403" s="39" t="str">
        <x:v>https://developers.binance.com/en/docs/catalog/core-trading-spot-trading/api/rest-api</x:v>
      </x:c>
    </x:row>
    <x:row r="404">
      <x:c r="A404" s="30" t="str">
        <x:v>MSTRBUSDT</x:v>
      </x:c>
      <x:c r="B404" s="30" t="str">
        <x:v>MSTRB</x:v>
      </x:c>
      <x:c r="C404" s="30" t="str">
        <x:v>USDT</x:v>
      </x:c>
      <x:c r="D404" s="30" t="str">
        <x:v>TRADING</x:v>
      </x:c>
      <x:c r="E404" s="31" t="b">
        <x:v>1</x:v>
      </x:c>
      <x:c r="F404" s="32" t="n">
        <x:v>46196</x:v>
      </x:c>
      <x:c r="G404" s="32" t="n">
        <x:v>46196.999999988424</x:v>
      </x:c>
      <x:c r="H404" s="33" t="n">
        <x:f>IF(F404="","",('Summary'!$B$5-F404)/365.25)</x:f>
        <x:v>0.11228608164119086</x:v>
      </x:c>
      <x:c r="I404" s="34" t="n">
        <x:v>94.23</x:v>
      </x:c>
      <x:c r="J404" s="35" t="n">
        <x:v>0.011699999999999999</x:v>
      </x:c>
      <x:c r="K404" s="36" t="n">
        <x:v>5458.687</x:v>
      </x:c>
      <x:c r="L404" s="36" t="n">
        <x:v>514409.18004</x:v>
      </x:c>
      <x:c r="M404" s="37" t="n">
        <x:v>7170</x:v>
      </x:c>
      <x:c r="N404" s="34" t="n">
        <x:v>94.23</x:v>
      </x:c>
      <x:c r="O404" s="34" t="n">
        <x:v>94.3</x:v>
      </x:c>
      <x:c r="P404" s="38" t="n">
        <x:f>IF(OR(N404="",O404="",N404=0,O404=0),"",(O404-N404)/((O404+N404)/2))</x:f>
        <x:v>0.0007425873866227463</x:v>
      </x:c>
      <x:c r="Q404" s="34" t="n">
        <x:v>94.23679724</x:v>
      </x:c>
      <x:c r="R404" s="34" t="n">
        <x:v>94.86</x:v>
      </x:c>
      <x:c r="S404" s="34" t="n">
        <x:v>93.03</x:v>
      </x:c>
      <x:c r="T404" s="32" t="n">
        <x:v>46236.01247908565</x:v>
      </x:c>
      <x:c r="U404" s="32" t="n">
        <x:v>46237.01247908565</x:v>
      </x:c>
      <x:c r="V404" s="34" t="n">
        <x:v>5</x:v>
      </x:c>
      <x:c r="W404" s="34" t="n">
        <x:v>0.001</x:v>
      </x:c>
      <x:c r="X404" s="34" t="n">
        <x:v>0.001</x:v>
      </x:c>
      <x:c r="Y404" s="34" t="n">
        <x:v>0.01</x:v>
      </x:c>
      <x:c r="Z404" s="30" t="str">
        <x:f>IF(AND(D404="TRADING",I404&lt;&gt;"",L404&lt;&gt;"",M404&lt;&gt;"",N404&lt;&gt;"",O404&lt;&gt;""),"Yes","No")</x:f>
        <x:v>Yes</x:v>
      </x:c>
      <x:c r="AA404" s="39" t="str">
        <x:v>https://developers.binance.com/en/docs/catalog/core-trading-spot-trading/api/rest-api</x:v>
      </x:c>
    </x:row>
    <x:row r="405">
      <x:c r="A405" s="30" t="str">
        <x:v>MTLUSDT</x:v>
      </x:c>
      <x:c r="B405" s="30" t="str">
        <x:v>MTL</x:v>
      </x:c>
      <x:c r="C405" s="30" t="str">
        <x:v>USDT</x:v>
      </x:c>
      <x:c r="D405" s="30" t="str">
        <x:v>TRADING</x:v>
      </x:c>
      <x:c r="E405" s="31" t="b">
        <x:v>1</x:v>
      </x:c>
      <x:c r="F405" s="32" t="n">
        <x:v>43700</x:v>
      </x:c>
      <x:c r="G405" s="32" t="n">
        <x:v>43700.999999988424</x:v>
      </x:c>
      <x:c r="H405" s="33" t="n">
        <x:f>IF(F405="","",('Summary'!$B$5-F405)/365.25)</x:f>
        <x:v>6.945961646322916</x:v>
      </x:c>
      <x:c r="I405" s="34" t="n">
        <x:v>0.205</x:v>
      </x:c>
      <x:c r="J405" s="35" t="n">
        <x:v>-0.014419999999999999</x:v>
      </x:c>
      <x:c r="K405" s="36" t="n">
        <x:v>252126.8</x:v>
      </x:c>
      <x:c r="L405" s="36" t="n">
        <x:v>52146.6558</x:v>
      </x:c>
      <x:c r="M405" s="37" t="n">
        <x:v>2320</x:v>
      </x:c>
      <x:c r="N405" s="34" t="n">
        <x:v>0.205</x:v>
      </x:c>
      <x:c r="O405" s="34" t="n">
        <x:v>0.206</x:v>
      </x:c>
      <x:c r="P405" s="38" t="n">
        <x:f>IF(OR(N405="",O405="",N405=0,O405=0),"",(O405-N405)/((O405+N405)/2))</x:f>
        <x:v>0.004866180048661805</x:v>
      </x:c>
      <x:c r="Q405" s="34" t="n">
        <x:v>0.2068271</x:v>
      </x:c>
      <x:c r="R405" s="34" t="n">
        <x:v>0.21</x:v>
      </x:c>
      <x:c r="S405" s="34" t="n">
        <x:v>0.205</x:v>
      </x:c>
      <x:c r="T405" s="32" t="n">
        <x:v>46236.01244679398</x:v>
      </x:c>
      <x:c r="U405" s="32" t="n">
        <x:v>46237.01244679398</x:v>
      </x:c>
      <x:c r="V405" s="34" t="n">
        <x:v>5</x:v>
      </x:c>
      <x:c r="W405" s="34" t="n">
        <x:v>0.1</x:v>
      </x:c>
      <x:c r="X405" s="34" t="n">
        <x:v>0.1</x:v>
      </x:c>
      <x:c r="Y405" s="34" t="n">
        <x:v>0.001</x:v>
      </x:c>
      <x:c r="Z405" s="30" t="str">
        <x:f>IF(AND(D405="TRADING",I405&lt;&gt;"",L405&lt;&gt;"",M405&lt;&gt;"",N405&lt;&gt;"",O405&lt;&gt;""),"Yes","No")</x:f>
        <x:v>Yes</x:v>
      </x:c>
      <x:c r="AA405" s="39" t="str">
        <x:v>https://developers.binance.com/en/docs/catalog/core-trading-spot-trading/api/rest-api</x:v>
      </x:c>
    </x:row>
    <x:row r="406">
      <x:c r="A406" s="30" t="str">
        <x:v>MUBARAKUSDT</x:v>
      </x:c>
      <x:c r="B406" s="30" t="str">
        <x:v>MUBARAK</x:v>
      </x:c>
      <x:c r="C406" s="30" t="str">
        <x:v>USDT</x:v>
      </x:c>
      <x:c r="D406" s="30" t="str">
        <x:v>TRADING</x:v>
      </x:c>
      <x:c r="E406" s="31" t="b">
        <x:v>1</x:v>
      </x:c>
      <x:c r="F406" s="32" t="n">
        <x:v>45743</x:v>
      </x:c>
      <x:c r="G406" s="32" t="n">
        <x:v>45743.999999988424</x:v>
      </x:c>
      <x:c r="H406" s="33" t="n">
        <x:f>IF(F406="","",('Summary'!$B$5-F406)/365.25)</x:f>
        <x:v>1.3525324882120326</x:v>
      </x:c>
      <x:c r="I406" s="34" t="n">
        <x:v>0.01282</x:v>
      </x:c>
      <x:c r="J406" s="35" t="n">
        <x:v>0.05514</x:v>
      </x:c>
      <x:c r="K406" s="36" t="n">
        <x:v>70339431.5</x:v>
      </x:c>
      <x:c r="L406" s="36" t="n">
        <x:v>877757.605197</x:v>
      </x:c>
      <x:c r="M406" s="37" t="n">
        <x:v>15624</x:v>
      </x:c>
      <x:c r="N406" s="34" t="n">
        <x:v>0.01282</x:v>
      </x:c>
      <x:c r="O406" s="34" t="n">
        <x:v>0.01283</x:v>
      </x:c>
      <x:c r="P406" s="38" t="n">
        <x:f>IF(OR(N406="",O406="",N406=0,O406=0),"",(O406-N406)/((O406+N406)/2))</x:f>
        <x:v>0.0007797270955165374</x:v>
      </x:c>
      <x:c r="Q406" s="34" t="n">
        <x:v>0.01247888</x:v>
      </x:c>
      <x:c r="R406" s="34" t="n">
        <x:v>0.01298</x:v>
      </x:c>
      <x:c r="S406" s="34" t="n">
        <x:v>0.01195</x:v>
      </x:c>
      <x:c r="T406" s="32" t="n">
        <x:v>46236.01224482639</x:v>
      </x:c>
      <x:c r="U406" s="32" t="n">
        <x:v>46237.01224482639</x:v>
      </x:c>
      <x:c r="V406" s="34" t="n">
        <x:v>1</x:v>
      </x:c>
      <x:c r="W406" s="34" t="n">
        <x:v>0.1</x:v>
      </x:c>
      <x:c r="X406" s="34" t="n">
        <x:v>0.1</x:v>
      </x:c>
      <x:c r="Y406" s="34" t="n">
        <x:v>0.00001</x:v>
      </x:c>
      <x:c r="Z406" s="30" t="str">
        <x:f>IF(AND(D406="TRADING",I406&lt;&gt;"",L406&lt;&gt;"",M406&lt;&gt;"",N406&lt;&gt;"",O406&lt;&gt;""),"Yes","No")</x:f>
        <x:v>Yes</x:v>
      </x:c>
      <x:c r="AA406" s="39" t="str">
        <x:v>https://developers.binance.com/en/docs/catalog/core-trading-spot-trading/api/rest-api</x:v>
      </x:c>
    </x:row>
    <x:row r="407">
      <x:c r="A407" s="30" t="str">
        <x:v>MUBUSDT</x:v>
      </x:c>
      <x:c r="B407" s="30" t="str">
        <x:v>MUB</x:v>
      </x:c>
      <x:c r="C407" s="30" t="str">
        <x:v>USDT</x:v>
      </x:c>
      <x:c r="D407" s="30" t="str">
        <x:v>TRADING</x:v>
      </x:c>
      <x:c r="E407" s="31" t="b">
        <x:v>1</x:v>
      </x:c>
      <x:c r="F407" s="32" t="n">
        <x:v>46184</x:v>
      </x:c>
      <x:c r="G407" s="32" t="n">
        <x:v>46184.999999988424</x:v>
      </x:c>
      <x:c r="H407" s="33" t="n">
        <x:f>IF(F407="","",('Summary'!$B$5-F407)/365.25)</x:f>
        <x:v>0.14514029108677606</x:v>
      </x:c>
      <x:c r="I407" s="34" t="n">
        <x:v>847.08</x:v>
      </x:c>
      <x:c r="J407" s="35" t="n">
        <x:v>0.02817</x:v>
      </x:c>
      <x:c r="K407" s="36" t="n">
        <x:v>11803.376</x:v>
      </x:c>
      <x:c r="L407" s="36" t="n">
        <x:v>9979986.69142</x:v>
      </x:c>
      <x:c r="M407" s="37" t="n">
        <x:v>106379</x:v>
      </x:c>
      <x:c r="N407" s="34" t="n">
        <x:v>846.68</x:v>
      </x:c>
      <x:c r="O407" s="34" t="n">
        <x:v>846.89</x:v>
      </x:c>
      <x:c r="P407" s="38" t="n">
        <x:f>IF(OR(N407="",O407="",N407=0,O407=0),"",(O407-N407)/((O407+N407)/2))</x:f>
        <x:v>0.0002479968350880523</x:v>
      </x:c>
      <x:c r="Q407" s="34" t="n">
        <x:v>845.51967941</x:v>
      </x:c>
      <x:c r="R407" s="34" t="n">
        <x:v>864.93</x:v>
      </x:c>
      <x:c r="S407" s="34" t="n">
        <x:v>821.7</x:v>
      </x:c>
      <x:c r="T407" s="32" t="n">
        <x:v>46236.01248321759</x:v>
      </x:c>
      <x:c r="U407" s="32" t="n">
        <x:v>46237.01248321759</x:v>
      </x:c>
      <x:c r="V407" s="34" t="n">
        <x:v>5</x:v>
      </x:c>
      <x:c r="W407" s="34" t="n">
        <x:v>0.001</x:v>
      </x:c>
      <x:c r="X407" s="34" t="n">
        <x:v>0.001</x:v>
      </x:c>
      <x:c r="Y407" s="34" t="n">
        <x:v>0.01</x:v>
      </x:c>
      <x:c r="Z407" s="30" t="str">
        <x:f>IF(AND(D407="TRADING",I407&lt;&gt;"",L407&lt;&gt;"",M407&lt;&gt;"",N407&lt;&gt;"",O407&lt;&gt;""),"Yes","No")</x:f>
        <x:v>Yes</x:v>
      </x:c>
      <x:c r="AA407" s="39" t="str">
        <x:v>https://developers.binance.com/en/docs/catalog/core-trading-spot-trading/api/rest-api</x:v>
      </x:c>
    </x:row>
    <x:row r="408">
      <x:c r="A408" s="30" t="str">
        <x:v>MULTIUSDT</x:v>
      </x:c>
      <x:c r="B408" s="30" t="str">
        <x:v>MULTI</x:v>
      </x:c>
      <x:c r="C408" s="30" t="str">
        <x:v>USDT</x:v>
      </x:c>
      <x:c r="D408" s="30" t="str">
        <x:v>BREAK</x:v>
      </x:c>
      <x:c r="E408" s="31" t="b">
        <x:v>1</x:v>
      </x:c>
      <x:c r="F408" s="32" t="n">
        <x:v>44657</x:v>
      </x:c>
      <x:c r="G408" s="32" t="n">
        <x:v>44657.999999988424</x:v>
      </x:c>
      <x:c r="H408" s="33" t="n">
        <x:f>IF(F408="","",('Summary'!$B$5-F408)/365.25)</x:f>
        <x:v>4.325838443037495</x:v>
      </x:c>
      <x:c r="I408" s="34" t="n">
        <x:v>0.834</x:v>
      </x:c>
      <x:c r="J408" s="35" t="n">
        <x:v>-0.11182</x:v>
      </x:c>
      <x:c r="K408" s="36" t="n">
        <x:v>395753.038</x:v>
      </x:c>
      <x:c r="L408" s="36" t="n">
        <x:v>340180.592301</x:v>
      </x:c>
      <x:c r="M408" s="37" t="n">
        <x:v>4001</x:v>
      </x:c>
      <x:c r="N408" s="34" t="n">
        <x:v>0</x:v>
      </x:c>
      <x:c r="O408" s="34" t="n">
        <x:v>0</x:v>
      </x:c>
      <x:c r="P408" s="38" t="str">
        <x:f>IF(OR(N408="",O408="",N408=0,O408=0),"",(O408-N408)/((O408+N408)/2))</x:f>
      </x:c>
      <x:c r="Q408" s="34" t="n">
        <x:v>0.85957797</x:v>
      </x:c>
      <x:c r="R408" s="34" t="n">
        <x:v>0.943</x:v>
      </x:c>
      <x:c r="S408" s="34" t="n">
        <x:v>0.803</x:v>
      </x:c>
      <x:c r="T408" s="32" t="n">
        <x:v>46209.26112309028</x:v>
      </x:c>
      <x:c r="U408" s="32" t="n">
        <x:v>46210.26112309028</x:v>
      </x:c>
      <x:c r="V408" s="34" t="n">
        <x:v>1</x:v>
      </x:c>
      <x:c r="W408" s="34" t="n">
        <x:v>0.001</x:v>
      </x:c>
      <x:c r="X408" s="34" t="n">
        <x:v>0.001</x:v>
      </x:c>
      <x:c r="Y408" s="34" t="n">
        <x:v>0.001</x:v>
      </x:c>
      <x:c r="Z408" s="30" t="str">
        <x:f>IF(AND(D408="TRADING",I408&lt;&gt;"",L408&lt;&gt;"",M408&lt;&gt;"",N408&lt;&gt;"",O408&lt;&gt;""),"Yes","No")</x:f>
        <x:v>No</x:v>
      </x:c>
      <x:c r="AA408" s="39" t="str">
        <x:v>https://developers.binance.com/en/docs/catalog/core-trading-spot-trading/api/rest-api</x:v>
      </x:c>
    </x:row>
    <x:row r="409">
      <x:c r="A409" s="30" t="str">
        <x:v>MUUBUSDT</x:v>
      </x:c>
      <x:c r="B409" s="30" t="str">
        <x:v>MUUB</x:v>
      </x:c>
      <x:c r="C409" s="30" t="str">
        <x:v>USDT</x:v>
      </x:c>
      <x:c r="D409" s="30" t="str">
        <x:v>TRADING</x:v>
      </x:c>
      <x:c r="E409" s="31" t="b">
        <x:v>1</x:v>
      </x:c>
      <x:c r="F409" s="32" t="n">
        <x:v>46225</x:v>
      </x:c>
      <x:c r="G409" s="32" t="n">
        <x:v>46225.999999988424</x:v>
      </x:c>
      <x:c r="H409" s="33" t="n">
        <x:f>IF(F409="","",('Summary'!$B$5-F409)/365.25)</x:f>
        <x:v>0.03288840881435992</x:v>
      </x:c>
      <x:c r="I409" s="34" t="n">
        <x:v>25.02</x:v>
      </x:c>
      <x:c r="J409" s="35" t="n">
        <x:v>0.05126</x:v>
      </x:c>
      <x:c r="K409" s="36" t="n">
        <x:v>53304.91</x:v>
      </x:c>
      <x:c r="L409" s="36" t="n">
        <x:v>1320814.4319</x:v>
      </x:c>
      <x:c r="M409" s="37" t="n">
        <x:v>18737</x:v>
      </x:c>
      <x:c r="N409" s="34" t="n">
        <x:v>24.98</x:v>
      </x:c>
      <x:c r="O409" s="34" t="n">
        <x:v>25.01</x:v>
      </x:c>
      <x:c r="P409" s="38" t="n">
        <x:f>IF(OR(N409="",O409="",N409=0,O409=0),"",(O409-N409)/((O409+N409)/2))</x:f>
        <x:v>0.0012002400480096475</x:v>
      </x:c>
      <x:c r="Q409" s="34" t="n">
        <x:v>24.77847598</x:v>
      </x:c>
      <x:c r="R409" s="34" t="n">
        <x:v>26.03</x:v>
      </x:c>
      <x:c r="S409" s="34" t="n">
        <x:v>23.6</x:v>
      </x:c>
      <x:c r="T409" s="32" t="n">
        <x:v>46236.01248262732</x:v>
      </x:c>
      <x:c r="U409" s="32" t="n">
        <x:v>46237.01248262732</x:v>
      </x:c>
      <x:c r="V409" s="34" t="n">
        <x:v>5</x:v>
      </x:c>
      <x:c r="W409" s="34" t="n">
        <x:v>0.01</x:v>
      </x:c>
      <x:c r="X409" s="34" t="n">
        <x:v>0.01</x:v>
      </x:c>
      <x:c r="Y409" s="34" t="n">
        <x:v>0.01</x:v>
      </x:c>
      <x:c r="Z409" s="30" t="str">
        <x:f>IF(AND(D409="TRADING",I409&lt;&gt;"",L409&lt;&gt;"",M409&lt;&gt;"",N409&lt;&gt;"",O409&lt;&gt;""),"Yes","No")</x:f>
        <x:v>Yes</x:v>
      </x:c>
      <x:c r="AA409" s="39" t="str">
        <x:v>https://developers.binance.com/en/docs/catalog/core-trading-spot-trading/api/rest-api</x:v>
      </x:c>
    </x:row>
    <x:row r="410">
      <x:c r="A410" s="30" t="str">
        <x:v>MVLLBUSDT</x:v>
      </x:c>
      <x:c r="B410" s="30" t="str">
        <x:v>MVLLB</x:v>
      </x:c>
      <x:c r="C410" s="30" t="str">
        <x:v>USDT</x:v>
      </x:c>
      <x:c r="D410" s="30" t="str">
        <x:v>TRADING</x:v>
      </x:c>
      <x:c r="E410" s="31" t="b">
        <x:v>1</x:v>
      </x:c>
      <x:c r="F410" s="32" t="n">
        <x:v>46225</x:v>
      </x:c>
      <x:c r="G410" s="32" t="n">
        <x:v>46225.999999988424</x:v>
      </x:c>
      <x:c r="H410" s="33" t="n">
        <x:f>IF(F410="","",('Summary'!$B$5-F410)/365.25)</x:f>
        <x:v>0.03288840881435992</x:v>
      </x:c>
      <x:c r="I410" s="34" t="n">
        <x:v>21.78</x:v>
      </x:c>
      <x:c r="J410" s="35" t="n">
        <x:v>0.07396</x:v>
      </x:c>
      <x:c r="K410" s="36" t="n">
        <x:v>8707.49</x:v>
      </x:c>
      <x:c r="L410" s="36" t="n">
        <x:v>186766.4972</x:v>
      </x:c>
      <x:c r="M410" s="37" t="n">
        <x:v>5874</x:v>
      </x:c>
      <x:c r="N410" s="34" t="n">
        <x:v>21.76</x:v>
      </x:c>
      <x:c r="O410" s="34" t="n">
        <x:v>21.79</x:v>
      </x:c>
      <x:c r="P410" s="38" t="n">
        <x:f>IF(OR(N410="",O410="",N410=0,O410=0),"",(O410-N410)/((O410+N410)/2))</x:f>
        <x:v>0.0013777267508609684</x:v>
      </x:c>
      <x:c r="Q410" s="34" t="n">
        <x:v>21.44894765</x:v>
      </x:c>
      <x:c r="R410" s="34" t="n">
        <x:v>22.07</x:v>
      </x:c>
      <x:c r="S410" s="34" t="n">
        <x:v>20.28</x:v>
      </x:c>
      <x:c r="T410" s="32" t="n">
        <x:v>46236.012461412036</x:v>
      </x:c>
      <x:c r="U410" s="32" t="n">
        <x:v>46237.012461412036</x:v>
      </x:c>
      <x:c r="V410" s="34" t="n">
        <x:v>5</x:v>
      </x:c>
      <x:c r="W410" s="34" t="n">
        <x:v>0.01</x:v>
      </x:c>
      <x:c r="X410" s="34" t="n">
        <x:v>0.01</x:v>
      </x:c>
      <x:c r="Y410" s="34" t="n">
        <x:v>0.01</x:v>
      </x:c>
      <x:c r="Z410" s="30" t="str">
        <x:f>IF(AND(D410="TRADING",I410&lt;&gt;"",L410&lt;&gt;"",M410&lt;&gt;"",N410&lt;&gt;"",O410&lt;&gt;""),"Yes","No")</x:f>
        <x:v>Yes</x:v>
      </x:c>
      <x:c r="AA410" s="39" t="str">
        <x:v>https://developers.binance.com/en/docs/catalog/core-trading-spot-trading/api/rest-api</x:v>
      </x:c>
    </x:row>
    <x:row r="411">
      <x:c r="A411" s="30" t="str">
        <x:v>NANOUSDT</x:v>
      </x:c>
      <x:c r="B411" s="30" t="str">
        <x:v>NANO</x:v>
      </x:c>
      <x:c r="C411" s="30" t="str">
        <x:v>USDT</x:v>
      </x:c>
      <x:c r="D411" s="30" t="str">
        <x:v>BREAK</x:v>
      </x:c>
      <x:c r="E411" s="31" t="b">
        <x:v>1</x:v>
      </x:c>
      <x:c r="F411" s="32" t="n">
        <x:v>43558</x:v>
      </x:c>
      <x:c r="G411" s="32" t="n">
        <x:v>43558.999999988424</x:v>
      </x:c>
      <x:c r="H411" s="33" t="n">
        <x:f>IF(F411="","",('Summary'!$B$5-F411)/365.25)</x:f>
        <x:v>7.334736458095674</x:v>
      </x:c>
      <x:c r="I411" s="34" t="n">
        <x:v>0</x:v>
      </x:c>
      <x:c r="J411" s="35" t="n">
        <x:v>0</x:v>
      </x:c>
      <x:c r="K411" s="36" t="n">
        <x:v>0</x:v>
      </x:c>
      <x:c r="L411" s="36" t="n">
        <x:v>0</x:v>
      </x:c>
      <x:c r="M411" s="37" t="n">
        <x:v>0</x:v>
      </x:c>
      <x:c r="N411" s="34" t="n">
        <x:v>0</x:v>
      </x:c>
      <x:c r="O411" s="34" t="n">
        <x:v>0</x:v>
      </x:c>
      <x:c r="P411" s="38" t="str">
        <x:f>IF(OR(N411="",O411="",N411=0,O411=0),"",(O411-N411)/((O411+N411)/2))</x:f>
      </x:c>
      <x:c r="Q411" s="34" t="n">
        <x:v>0</x:v>
      </x:c>
      <x:c r="R411" s="34" t="n">
        <x:v>0</x:v>
      </x:c>
      <x:c r="S411" s="34" t="n">
        <x:v>0</x:v>
      </x:c>
      <x:c r="T411" s="32" t="n">
        <x:v>46209.26112309028</x:v>
      </x:c>
      <x:c r="U411" s="32" t="n">
        <x:v>46210.26112309028</x:v>
      </x:c>
      <x:c r="V411" s="34" t="n">
        <x:v>10</x:v>
      </x:c>
      <x:c r="W411" s="34" t="n">
        <x:v>0.1</x:v>
      </x:c>
      <x:c r="X411" s="34" t="n">
        <x:v>0.1</x:v>
      </x:c>
      <x:c r="Y411" s="34" t="n">
        <x:v>0.001</x:v>
      </x:c>
      <x:c r="Z411" s="30" t="str">
        <x:f>IF(AND(D411="TRADING",I411&lt;&gt;"",L411&lt;&gt;"",M411&lt;&gt;"",N411&lt;&gt;"",O411&lt;&gt;""),"Yes","No")</x:f>
        <x:v>No</x:v>
      </x:c>
      <x:c r="AA411" s="39" t="str">
        <x:v>https://developers.binance.com/en/docs/catalog/core-trading-spot-trading/api/rest-api</x:v>
      </x:c>
    </x:row>
    <x:row r="412">
      <x:c r="A412" s="30" t="str">
        <x:v>NBISBUSDT</x:v>
      </x:c>
      <x:c r="B412" s="30" t="str">
        <x:v>NBISB</x:v>
      </x:c>
      <x:c r="C412" s="30" t="str">
        <x:v>USDT</x:v>
      </x:c>
      <x:c r="D412" s="30" t="str">
        <x:v>TRADING</x:v>
      </x:c>
      <x:c r="E412" s="31" t="b">
        <x:v>1</x:v>
      </x:c>
      <x:c r="F412" s="32" t="n">
        <x:v>46210</x:v>
      </x:c>
      <x:c r="G412" s="32" t="n">
        <x:v>46210.999999988424</x:v>
      </x:c>
      <x:c r="H412" s="33" t="n">
        <x:f>IF(F412="","",('Summary'!$B$5-F412)/365.25)</x:f>
        <x:v>0.07395617062134144</x:v>
      </x:c>
      <x:c r="I412" s="34" t="n">
        <x:v>198.31</x:v>
      </x:c>
      <x:c r="J412" s="35" t="n">
        <x:v>0.05681</x:v>
      </x:c>
      <x:c r="K412" s="36" t="n">
        <x:v>17145.647</x:v>
      </x:c>
      <x:c r="L412" s="36" t="n">
        <x:v>3368322.5937</x:v>
      </x:c>
      <x:c r="M412" s="37" t="n">
        <x:v>55317</x:v>
      </x:c>
      <x:c r="N412" s="34" t="n">
        <x:v>198.06</x:v>
      </x:c>
      <x:c r="O412" s="34" t="n">
        <x:v>198.26</x:v>
      </x:c>
      <x:c r="P412" s="38" t="n">
        <x:f>IF(OR(N412="",O412="",N412=0,O412=0),"",(O412-N412)/((O412+N412)/2))</x:f>
        <x:v>0.0010092854259183923</x:v>
      </x:c>
      <x:c r="Q412" s="34" t="n">
        <x:v>196.45351346</x:v>
      </x:c>
      <x:c r="R412" s="34" t="n">
        <x:v>219.35</x:v>
      </x:c>
      <x:c r="S412" s="34" t="n">
        <x:v>187.65</x:v>
      </x:c>
      <x:c r="T412" s="32" t="n">
        <x:v>46236.01247076389</x:v>
      </x:c>
      <x:c r="U412" s="32" t="n">
        <x:v>46237.01247076389</x:v>
      </x:c>
      <x:c r="V412" s="34" t="n">
        <x:v>5</x:v>
      </x:c>
      <x:c r="W412" s="34" t="n">
        <x:v>0.001</x:v>
      </x:c>
      <x:c r="X412" s="34" t="n">
        <x:v>0.001</x:v>
      </x:c>
      <x:c r="Y412" s="34" t="n">
        <x:v>0.01</x:v>
      </x:c>
      <x:c r="Z412" s="30" t="str">
        <x:f>IF(AND(D412="TRADING",I412&lt;&gt;"",L412&lt;&gt;"",M412&lt;&gt;"",N412&lt;&gt;"",O412&lt;&gt;""),"Yes","No")</x:f>
        <x:v>Yes</x:v>
      </x:c>
      <x:c r="AA412" s="39" t="str">
        <x:v>https://developers.binance.com/en/docs/catalog/core-trading-spot-trading/api/rest-api</x:v>
      </x:c>
    </x:row>
    <x:row r="413">
      <x:c r="A413" s="30" t="str">
        <x:v>NBSUSDT</x:v>
      </x:c>
      <x:c r="B413" s="30" t="str">
        <x:v>NBS</x:v>
      </x:c>
      <x:c r="C413" s="30" t="str">
        <x:v>USDT</x:v>
      </x:c>
      <x:c r="D413" s="30" t="str">
        <x:v>BREAK</x:v>
      </x:c>
      <x:c r="E413" s="31" t="b">
        <x:v>1</x:v>
      </x:c>
      <x:c r="F413" s="32" t="n">
        <x:v>44095</x:v>
      </x:c>
      <x:c r="G413" s="32" t="n">
        <x:v>44095.999999988424</x:v>
      </x:c>
      <x:c r="H413" s="33" t="n">
        <x:f>IF(F413="","",('Summary'!$B$5-F413)/365.25)</x:f>
        <x:v>5.8645105854057356</x:v>
      </x:c>
      <x:c r="I413" s="34" t="n">
        <x:v>0.00166</x:v>
      </x:c>
      <x:c r="J413" s="35" t="n">
        <x:v>-0.08791</x:v>
      </x:c>
      <x:c r="K413" s="36" t="n">
        <x:v>336485032.7</x:v>
      </x:c>
      <x:c r="L413" s="36" t="n">
        <x:v>568886.572924</x:v>
      </x:c>
      <x:c r="M413" s="37" t="n">
        <x:v>4001</x:v>
      </x:c>
      <x:c r="N413" s="34" t="n">
        <x:v>0</x:v>
      </x:c>
      <x:c r="O413" s="34" t="n">
        <x:v>0</x:v>
      </x:c>
      <x:c r="P413" s="38" t="str">
        <x:f>IF(OR(N413="",O413="",N413=0,O413=0),"",(O413-N413)/((O413+N413)/2))</x:f>
      </x:c>
      <x:c r="Q413" s="34" t="n">
        <x:v>0.00169067</x:v>
      </x:c>
      <x:c r="R413" s="34" t="n">
        <x:v>0.00185</x:v>
      </x:c>
      <x:c r="S413" s="34" t="n">
        <x:v>0.00161</x:v>
      </x:c>
      <x:c r="T413" s="32" t="n">
        <x:v>46209.26112309028</x:v>
      </x:c>
      <x:c r="U413" s="32" t="n">
        <x:v>46210.26112309028</x:v>
      </x:c>
      <x:c r="V413" s="34" t="n">
        <x:v>5</x:v>
      </x:c>
      <x:c r="W413" s="34" t="n">
        <x:v>0.1</x:v>
      </x:c>
      <x:c r="X413" s="34" t="n">
        <x:v>0.1</x:v>
      </x:c>
      <x:c r="Y413" s="34" t="n">
        <x:v>0.00001</x:v>
      </x:c>
      <x:c r="Z413" s="30" t="str">
        <x:f>IF(AND(D413="TRADING",I413&lt;&gt;"",L413&lt;&gt;"",M413&lt;&gt;"",N413&lt;&gt;"",O413&lt;&gt;""),"Yes","No")</x:f>
        <x:v>No</x:v>
      </x:c>
      <x:c r="AA413" s="39" t="str">
        <x:v>https://developers.binance.com/en/docs/catalog/core-trading-spot-trading/api/rest-api</x:v>
      </x:c>
    </x:row>
    <x:row r="414">
      <x:c r="A414" s="30" t="str">
        <x:v>NEARUSDT</x:v>
      </x:c>
      <x:c r="B414" s="30" t="str">
        <x:v>NEAR</x:v>
      </x:c>
      <x:c r="C414" s="30" t="str">
        <x:v>USDT</x:v>
      </x:c>
      <x:c r="D414" s="30" t="str">
        <x:v>TRADING</x:v>
      </x:c>
      <x:c r="E414" s="31" t="b">
        <x:v>1</x:v>
      </x:c>
      <x:c r="F414" s="32" t="n">
        <x:v>44118</x:v>
      </x:c>
      <x:c r="G414" s="32" t="n">
        <x:v>44118.999999988424</x:v>
      </x:c>
      <x:c r="H414" s="33" t="n">
        <x:f>IF(F414="","",('Summary'!$B$5-F414)/365.25)</x:f>
        <x:v>5.801540017301697</x:v>
      </x:c>
      <x:c r="I414" s="34" t="n">
        <x:v>1.718</x:v>
      </x:c>
      <x:c r="J414" s="35" t="n">
        <x:v>0.02384</x:v>
      </x:c>
      <x:c r="K414" s="36" t="n">
        <x:v>9401826</x:v>
      </x:c>
      <x:c r="L414" s="36" t="n">
        <x:v>16063801.4807</x:v>
      </x:c>
      <x:c r="M414" s="37" t="n">
        <x:v>66441</x:v>
      </x:c>
      <x:c r="N414" s="34" t="n">
        <x:v>1.717</x:v>
      </x:c>
      <x:c r="O414" s="34" t="n">
        <x:v>1.718</x:v>
      </x:c>
      <x:c r="P414" s="38" t="n">
        <x:f>IF(OR(N414="",O414="",N414=0,O414=0),"",(O414-N414)/((O414+N414)/2))</x:f>
        <x:v>0.0005822416302765006</x:v>
      </x:c>
      <x:c r="Q414" s="34" t="n">
        <x:v>1.70858315</x:v>
      </x:c>
      <x:c r="R414" s="34" t="n">
        <x:v>1.733</x:v>
      </x:c>
      <x:c r="S414" s="34" t="n">
        <x:v>1.672</x:v>
      </x:c>
      <x:c r="T414" s="32" t="n">
        <x:v>46236.01248333333</x:v>
      </x:c>
      <x:c r="U414" s="32" t="n">
        <x:v>46237.01248333333</x:v>
      </x:c>
      <x:c r="V414" s="34" t="n">
        <x:v>5</x:v>
      </x:c>
      <x:c r="W414" s="34" t="n">
        <x:v>0.1</x:v>
      </x:c>
      <x:c r="X414" s="34" t="n">
        <x:v>0.1</x:v>
      </x:c>
      <x:c r="Y414" s="34" t="n">
        <x:v>0.001</x:v>
      </x:c>
      <x:c r="Z414" s="30" t="str">
        <x:f>IF(AND(D414="TRADING",I414&lt;&gt;"",L414&lt;&gt;"",M414&lt;&gt;"",N414&lt;&gt;"",O414&lt;&gt;""),"Yes","No")</x:f>
        <x:v>Yes</x:v>
      </x:c>
      <x:c r="AA414" s="39" t="str">
        <x:v>https://developers.binance.com/en/docs/catalog/core-trading-spot-trading/api/rest-api</x:v>
      </x:c>
    </x:row>
    <x:row r="415">
      <x:c r="A415" s="30" t="str">
        <x:v>NEBLUSDT</x:v>
      </x:c>
      <x:c r="B415" s="30" t="str">
        <x:v>NEBL</x:v>
      </x:c>
      <x:c r="C415" s="30" t="str">
        <x:v>USDT</x:v>
      </x:c>
      <x:c r="D415" s="30" t="str">
        <x:v>BREAK</x:v>
      </x:c>
      <x:c r="E415" s="31" t="b">
        <x:v>1</x:v>
      </x:c>
      <x:c r="F415" s="32" t="n">
        <x:v>44848</x:v>
      </x:c>
      <x:c r="G415" s="32" t="n">
        <x:v>44848.999999988424</x:v>
      </x:c>
      <x:c r="H415" s="33" t="n">
        <x:f>IF(F415="","",('Summary'!$B$5-F415)/365.25)</x:f>
        <x:v>3.8029089426952636</x:v>
      </x:c>
      <x:c r="I415" s="34" t="n">
        <x:v>0.355</x:v>
      </x:c>
      <x:c r="J415" s="35" t="n">
        <x:v>-0.13625</x:v>
      </x:c>
      <x:c r="K415" s="36" t="n">
        <x:v>1354564.6</x:v>
      </x:c>
      <x:c r="L415" s="36" t="n">
        <x:v>522050.8291</x:v>
      </x:c>
      <x:c r="M415" s="37" t="n">
        <x:v>4001</x:v>
      </x:c>
      <x:c r="N415" s="34" t="n">
        <x:v>0</x:v>
      </x:c>
      <x:c r="O415" s="34" t="n">
        <x:v>0</x:v>
      </x:c>
      <x:c r="P415" s="38" t="str">
        <x:f>IF(OR(N415="",O415="",N415=0,O415=0),"",(O415-N415)/((O415+N415)/2))</x:f>
      </x:c>
      <x:c r="Q415" s="34" t="n">
        <x:v>0.38540121</x:v>
      </x:c>
      <x:c r="R415" s="34" t="n">
        <x:v>0.411</x:v>
      </x:c>
      <x:c r="S415" s="34" t="n">
        <x:v>0.352</x:v>
      </x:c>
      <x:c r="T415" s="32" t="n">
        <x:v>46209.26112309028</x:v>
      </x:c>
      <x:c r="U415" s="32" t="n">
        <x:v>46210.26112309028</x:v>
      </x:c>
      <x:c r="V415" s="34" t="n">
        <x:v>10</x:v>
      </x:c>
      <x:c r="W415" s="34" t="n">
        <x:v>0.1</x:v>
      </x:c>
      <x:c r="X415" s="34" t="n">
        <x:v>0.1</x:v>
      </x:c>
      <x:c r="Y415" s="34" t="n">
        <x:v>0.001</x:v>
      </x:c>
      <x:c r="Z415" s="30" t="str">
        <x:f>IF(AND(D415="TRADING",I415&lt;&gt;"",L415&lt;&gt;"",M415&lt;&gt;"",N415&lt;&gt;"",O415&lt;&gt;""),"Yes","No")</x:f>
        <x:v>No</x:v>
      </x:c>
      <x:c r="AA415" s="39" t="str">
        <x:v>https://developers.binance.com/en/docs/catalog/core-trading-spot-trading/api/rest-api</x:v>
      </x:c>
    </x:row>
    <x:row r="416">
      <x:c r="A416" s="30" t="str">
        <x:v>NEIROUSDT</x:v>
      </x:c>
      <x:c r="B416" s="30" t="str">
        <x:v>NEIRO</x:v>
      </x:c>
      <x:c r="C416" s="30" t="str">
        <x:v>USDT</x:v>
      </x:c>
      <x:c r="D416" s="30" t="str">
        <x:v>TRADING</x:v>
      </x:c>
      <x:c r="E416" s="31" t="b">
        <x:v>1</x:v>
      </x:c>
      <x:c r="F416" s="32" t="n">
        <x:v>45551</x:v>
      </x:c>
      <x:c r="G416" s="32" t="n">
        <x:v>45551.999999988424</x:v>
      </x:c>
      <x:c r="H416" s="33" t="n">
        <x:f>IF(F416="","",('Summary'!$B$5-F416)/365.25)</x:f>
        <x:v>1.8781998393413961</x:v>
      </x:c>
      <x:c r="I416" s="34" t="n">
        <x:v>0.00006163</x:v>
      </x:c>
      <x:c r="J416" s="35" t="n">
        <x:v>0.009000000000000001</x:v>
      </x:c>
      <x:c r="K416" s="36" t="n">
        <x:v>19755181148</x:v>
      </x:c>
      <x:c r="L416" s="36" t="n">
        <x:v>1239018.04099521</x:v>
      </x:c>
      <x:c r="M416" s="37" t="n">
        <x:v>45818</x:v>
      </x:c>
      <x:c r="N416" s="34" t="n">
        <x:v>0.00006163</x:v>
      </x:c>
      <x:c r="O416" s="34" t="n">
        <x:v>0.00006164</x:v>
      </x:c>
      <x:c r="P416" s="38" t="n">
        <x:f>IF(OR(N416="",O416="",N416=0,O416=0),"",(O416-N416)/((O416+N416)/2))</x:f>
        <x:v>0.00016224547740723326</x:v>
      </x:c>
      <x:c r="Q416" s="34" t="n">
        <x:v>0.00006272</x:v>
      </x:c>
      <x:c r="R416" s="34" t="n">
        <x:v>0.00006463</x:v>
      </x:c>
      <x:c r="S416" s="34" t="n">
        <x:v>0.00006097</x:v>
      </x:c>
      <x:c r="T416" s="32" t="n">
        <x:v>46236.01247837963</x:v>
      </x:c>
      <x:c r="U416" s="32" t="n">
        <x:v>46237.01247837963</x:v>
      </x:c>
      <x:c r="V416" s="34" t="n">
        <x:v>1</x:v>
      </x:c>
      <x:c r="W416" s="34" t="n">
        <x:v>1</x:v>
      </x:c>
      <x:c r="X416" s="34" t="n">
        <x:v>1</x:v>
      </x:c>
      <x:c r="Y416" s="34" t="n">
        <x:v>1e-8</x:v>
      </x:c>
      <x:c r="Z416" s="30" t="str">
        <x:f>IF(AND(D416="TRADING",I416&lt;&gt;"",L416&lt;&gt;"",M416&lt;&gt;"",N416&lt;&gt;"",O416&lt;&gt;""),"Yes","No")</x:f>
        <x:v>Yes</x:v>
      </x:c>
      <x:c r="AA416" s="39" t="str">
        <x:v>https://developers.binance.com/en/docs/catalog/core-trading-spot-trading/api/rest-api</x:v>
      </x:c>
    </x:row>
    <x:row r="417">
      <x:c r="A417" s="30" t="str">
        <x:v>NEOUSDT</x:v>
      </x:c>
      <x:c r="B417" s="30" t="str">
        <x:v>NEO</x:v>
      </x:c>
      <x:c r="C417" s="30" t="str">
        <x:v>USDT</x:v>
      </x:c>
      <x:c r="D417" s="30" t="str">
        <x:v>TRADING</x:v>
      </x:c>
      <x:c r="E417" s="31" t="b">
        <x:v>1</x:v>
      </x:c>
      <x:c r="F417" s="32" t="n">
        <x:v>43059</x:v>
      </x:c>
      <x:c r="G417" s="32" t="n">
        <x:v>43059.999999988424</x:v>
      </x:c>
      <x:c r="H417" s="33" t="n">
        <x:f>IF(F417="","",('Summary'!$B$5-F417)/365.25)</x:f>
        <x:v>8.700924000874593</x:v>
      </x:c>
      <x:c r="I417" s="34" t="n">
        <x:v>1.823</x:v>
      </x:c>
      <x:c r="J417" s="35" t="n">
        <x:v>-0.00164</x:v>
      </x:c>
      <x:c r="K417" s="36" t="n">
        <x:v>61873.74</x:v>
      </x:c>
      <x:c r="L417" s="36" t="n">
        <x:v>113009.59649</x:v>
      </x:c>
      <x:c r="M417" s="37" t="n">
        <x:v>1377</x:v>
      </x:c>
      <x:c r="N417" s="34" t="n">
        <x:v>1.823</x:v>
      </x:c>
      <x:c r="O417" s="34" t="n">
        <x:v>1.824</x:v>
      </x:c>
      <x:c r="P417" s="38" t="n">
        <x:f>IF(OR(N417="",O417="",N417=0,O417=0),"",(O417-N417)/((O417+N417)/2))</x:f>
        <x:v>0.0005483959418700915</x:v>
      </x:c>
      <x:c r="Q417" s="34" t="n">
        <x:v>1.82645491</x:v>
      </x:c>
      <x:c r="R417" s="34" t="n">
        <x:v>1.843</x:v>
      </x:c>
      <x:c r="S417" s="34" t="n">
        <x:v>1.814</x:v>
      </x:c>
      <x:c r="T417" s="32" t="n">
        <x:v>46236.01245113426</x:v>
      </x:c>
      <x:c r="U417" s="32" t="n">
        <x:v>46237.01245113426</x:v>
      </x:c>
      <x:c r="V417" s="34" t="n">
        <x:v>5</x:v>
      </x:c>
      <x:c r="W417" s="34" t="n">
        <x:v>0.01</x:v>
      </x:c>
      <x:c r="X417" s="34" t="n">
        <x:v>0.01</x:v>
      </x:c>
      <x:c r="Y417" s="34" t="n">
        <x:v>0.001</x:v>
      </x:c>
      <x:c r="Z417" s="30" t="str">
        <x:f>IF(AND(D417="TRADING",I417&lt;&gt;"",L417&lt;&gt;"",M417&lt;&gt;"",N417&lt;&gt;"",O417&lt;&gt;""),"Yes","No")</x:f>
        <x:v>Yes</x:v>
      </x:c>
      <x:c r="AA417" s="39" t="str">
        <x:v>https://developers.binance.com/en/docs/catalog/core-trading-spot-trading/api/rest-api</x:v>
      </x:c>
    </x:row>
    <x:row r="418">
      <x:c r="A418" s="30" t="str">
        <x:v>NEWTUSDT</x:v>
      </x:c>
      <x:c r="B418" s="30" t="str">
        <x:v>NEWT</x:v>
      </x:c>
      <x:c r="C418" s="30" t="str">
        <x:v>USDT</x:v>
      </x:c>
      <x:c r="D418" s="30" t="str">
        <x:v>TRADING</x:v>
      </x:c>
      <x:c r="E418" s="31" t="b">
        <x:v>1</x:v>
      </x:c>
      <x:c r="F418" s="32" t="n">
        <x:v>45832</x:v>
      </x:c>
      <x:c r="G418" s="32" t="n">
        <x:v>45832.999999988424</x:v>
      </x:c>
      <x:c r="H418" s="33" t="n">
        <x:f>IF(F418="","",('Summary'!$B$5-F418)/365.25)</x:f>
        <x:v>1.1088637681572757</x:v>
      </x:c>
      <x:c r="I418" s="34" t="n">
        <x:v>0.0399</x:v>
      </x:c>
      <x:c r="J418" s="35" t="n">
        <x:v>-0.01238</x:v>
      </x:c>
      <x:c r="K418" s="36" t="n">
        <x:v>2110907.3</x:v>
      </x:c>
      <x:c r="L418" s="36" t="n">
        <x:v>84600.31417</x:v>
      </x:c>
      <x:c r="M418" s="37" t="n">
        <x:v>774</x:v>
      </x:c>
      <x:c r="N418" s="34" t="n">
        <x:v>0.0399</x:v>
      </x:c>
      <x:c r="O418" s="34" t="n">
        <x:v>0.04</x:v>
      </x:c>
      <x:c r="P418" s="38" t="n">
        <x:f>IF(OR(N418="",O418="",N418=0,O418=0),"",(O418-N418)/((O418+N418)/2))</x:f>
        <x:v>0.0025031289111389953</x:v>
      </x:c>
      <x:c r="Q418" s="34" t="n">
        <x:v>0.0400777</x:v>
      </x:c>
      <x:c r="R418" s="34" t="n">
        <x:v>0.0404</x:v>
      </x:c>
      <x:c r="S418" s="34" t="n">
        <x:v>0.0398</x:v>
      </x:c>
      <x:c r="T418" s="32" t="n">
        <x:v>46236.01244413194</x:v>
      </x:c>
      <x:c r="U418" s="32" t="n">
        <x:v>46237.01244413194</x:v>
      </x:c>
      <x:c r="V418" s="34" t="n">
        <x:v>5</x:v>
      </x:c>
      <x:c r="W418" s="34" t="n">
        <x:v>0.1</x:v>
      </x:c>
      <x:c r="X418" s="34" t="n">
        <x:v>0.1</x:v>
      </x:c>
      <x:c r="Y418" s="34" t="n">
        <x:v>0.0001</x:v>
      </x:c>
      <x:c r="Z418" s="30" t="str">
        <x:f>IF(AND(D418="TRADING",I418&lt;&gt;"",L418&lt;&gt;"",M418&lt;&gt;"",N418&lt;&gt;"",O418&lt;&gt;""),"Yes","No")</x:f>
        <x:v>Yes</x:v>
      </x:c>
      <x:c r="AA418" s="39" t="str">
        <x:v>https://developers.binance.com/en/docs/catalog/core-trading-spot-trading/api/rest-api</x:v>
      </x:c>
    </x:row>
    <x:row r="419">
      <x:c r="A419" s="30" t="str">
        <x:v>NEXOUSDT</x:v>
      </x:c>
      <x:c r="B419" s="30" t="str">
        <x:v>NEXO</x:v>
      </x:c>
      <x:c r="C419" s="30" t="str">
        <x:v>USDT</x:v>
      </x:c>
      <x:c r="D419" s="30" t="str">
        <x:v>TRADING</x:v>
      </x:c>
      <x:c r="E419" s="31" t="b">
        <x:v>1</x:v>
      </x:c>
      <x:c r="F419" s="32" t="n">
        <x:v>44680</x:v>
      </x:c>
      <x:c r="G419" s="32" t="n">
        <x:v>44680.999999988424</x:v>
      </x:c>
      <x:c r="H419" s="33" t="n">
        <x:f>IF(F419="","",('Summary'!$B$5-F419)/365.25)</x:f>
        <x:v>4.262867874933456</x:v>
      </x:c>
      <x:c r="I419" s="34" t="n">
        <x:v>0.733</x:v>
      </x:c>
      <x:c r="J419" s="35" t="n">
        <x:v>0.02089</x:v>
      </x:c>
      <x:c r="K419" s="36" t="n">
        <x:v>393824.82</x:v>
      </x:c>
      <x:c r="L419" s="36" t="n">
        <x:v>284829.94841</x:v>
      </x:c>
      <x:c r="M419" s="37" t="n">
        <x:v>3101</x:v>
      </x:c>
      <x:c r="N419" s="34" t="n">
        <x:v>0.733</x:v>
      </x:c>
      <x:c r="O419" s="34" t="n">
        <x:v>0.734</x:v>
      </x:c>
      <x:c r="P419" s="38" t="n">
        <x:f>IF(OR(N419="",O419="",N419=0,O419=0),"",(O419-N419)/((O419+N419)/2))</x:f>
        <x:v>0.001363326516700751</x:v>
      </x:c>
      <x:c r="Q419" s="34" t="n">
        <x:v>0.72324022</x:v>
      </x:c>
      <x:c r="R419" s="34" t="n">
        <x:v>0.741</x:v>
      </x:c>
      <x:c r="S419" s="34" t="n">
        <x:v>0.711</x:v>
      </x:c>
      <x:c r="T419" s="32" t="n">
        <x:v>46236.01193616898</x:v>
      </x:c>
      <x:c r="U419" s="32" t="n">
        <x:v>46237.01193616898</x:v>
      </x:c>
      <x:c r="V419" s="34" t="n">
        <x:v>5</x:v>
      </x:c>
      <x:c r="W419" s="34" t="n">
        <x:v>0.01</x:v>
      </x:c>
      <x:c r="X419" s="34" t="n">
        <x:v>0.01</x:v>
      </x:c>
      <x:c r="Y419" s="34" t="n">
        <x:v>0.001</x:v>
      </x:c>
      <x:c r="Z419" s="30" t="str">
        <x:f>IF(AND(D419="TRADING",I419&lt;&gt;"",L419&lt;&gt;"",M419&lt;&gt;"",N419&lt;&gt;"",O419&lt;&gt;""),"Yes","No")</x:f>
        <x:v>Yes</x:v>
      </x:c>
      <x:c r="AA419" s="39" t="str">
        <x:v>https://developers.binance.com/en/docs/catalog/core-trading-spot-trading/api/rest-api</x:v>
      </x:c>
    </x:row>
    <x:row r="420">
      <x:c r="A420" s="30" t="str">
        <x:v>NFPUSDT</x:v>
      </x:c>
      <x:c r="B420" s="30" t="str">
        <x:v>NFP</x:v>
      </x:c>
      <x:c r="C420" s="30" t="str">
        <x:v>USDT</x:v>
      </x:c>
      <x:c r="D420" s="30" t="str">
        <x:v>BREAK</x:v>
      </x:c>
      <x:c r="E420" s="31" t="b">
        <x:v>1</x:v>
      </x:c>
      <x:c r="F420" s="32" t="n">
        <x:v>45287</x:v>
      </x:c>
      <x:c r="G420" s="32" t="n">
        <x:v>45287.999999988424</x:v>
      </x:c>
      <x:c r="H420" s="33" t="n">
        <x:f>IF(F420="","",('Summary'!$B$5-F420)/365.25)</x:f>
        <x:v>2.600992447144271</x:v>
      </x:c>
      <x:c r="I420" s="34" t="n">
        <x:v>0.00181</x:v>
      </x:c>
      <x:c r="J420" s="35" t="n">
        <x:v>-0.66168</x:v>
      </x:c>
      <x:c r="K420" s="36" t="n">
        <x:v>1017507194</x:v>
      </x:c>
      <x:c r="L420" s="36" t="n">
        <x:v>3834002.83185</x:v>
      </x:c>
      <x:c r="M420" s="37" t="n">
        <x:v>65822</x:v>
      </x:c>
      <x:c r="N420" s="34" t="n">
        <x:v>0</x:v>
      </x:c>
      <x:c r="O420" s="34" t="n">
        <x:v>0</x:v>
      </x:c>
      <x:c r="P420" s="38" t="str">
        <x:f>IF(OR(N420="",O420="",N420=0,O420=0),"",(O420-N420)/((O420+N420)/2))</x:f>
      </x:c>
      <x:c r="Q420" s="34" t="n">
        <x:v>0.00376804</x:v>
      </x:c>
      <x:c r="R420" s="34" t="n">
        <x:v>0.0057</x:v>
      </x:c>
      <x:c r="S420" s="34" t="n">
        <x:v>0.00168</x:v>
      </x:c>
      <x:c r="T420" s="32" t="n">
        <x:v>46212.12510243055</x:v>
      </x:c>
      <x:c r="U420" s="32" t="n">
        <x:v>46213.12510243055</x:v>
      </x:c>
      <x:c r="V420" s="34" t="n">
        <x:v>5</x:v>
      </x:c>
      <x:c r="W420" s="34" t="n">
        <x:v>1</x:v>
      </x:c>
      <x:c r="X420" s="34" t="n">
        <x:v>1</x:v>
      </x:c>
      <x:c r="Y420" s="34" t="n">
        <x:v>0.00001</x:v>
      </x:c>
      <x:c r="Z420" s="30" t="str">
        <x:f>IF(AND(D420="TRADING",I420&lt;&gt;"",L420&lt;&gt;"",M420&lt;&gt;"",N420&lt;&gt;"",O420&lt;&gt;""),"Yes","No")</x:f>
        <x:v>No</x:v>
      </x:c>
      <x:c r="AA420" s="39" t="str">
        <x:v>https://developers.binance.com/en/docs/catalog/core-trading-spot-trading/api/rest-api</x:v>
      </x:c>
    </x:row>
    <x:row r="421">
      <x:c r="A421" s="30" t="str">
        <x:v>NIGHTUSDT</x:v>
      </x:c>
      <x:c r="B421" s="30" t="str">
        <x:v>NIGHT</x:v>
      </x:c>
      <x:c r="C421" s="30" t="str">
        <x:v>USDT</x:v>
      </x:c>
      <x:c r="D421" s="30" t="str">
        <x:v>TRADING</x:v>
      </x:c>
      <x:c r="E421" s="31" t="b">
        <x:v>1</x:v>
      </x:c>
      <x:c r="F421" s="32" t="n">
        <x:v>46092</x:v>
      </x:c>
      <x:c r="G421" s="32" t="n">
        <x:v>46092.999999988424</x:v>
      </x:c>
      <x:c r="H421" s="33" t="n">
        <x:f>IF(F421="","",('Summary'!$B$5-F421)/365.25)</x:f>
        <x:v>0.3970225635029294</x:v>
      </x:c>
      <x:c r="I421" s="34" t="n">
        <x:v>0.01919</x:v>
      </x:c>
      <x:c r="J421" s="35" t="n">
        <x:v>0.03117</x:v>
      </x:c>
      <x:c r="K421" s="36" t="n">
        <x:v>96637610</x:v>
      </x:c>
      <x:c r="L421" s="36" t="n">
        <x:v>1858805.50787</x:v>
      </x:c>
      <x:c r="M421" s="37" t="n">
        <x:v>30116</x:v>
      </x:c>
      <x:c r="N421" s="34" t="n">
        <x:v>0.01918</x:v>
      </x:c>
      <x:c r="O421" s="34" t="n">
        <x:v>0.01919</x:v>
      </x:c>
      <x:c r="P421" s="38" t="n">
        <x:f>IF(OR(N421="",O421="",N421=0,O421=0),"",(O421-N421)/((O421+N421)/2))</x:f>
        <x:v>0.0005212405525149644</x:v>
      </x:c>
      <x:c r="Q421" s="34" t="n">
        <x:v>0.0192348</x:v>
      </x:c>
      <x:c r="R421" s="34" t="n">
        <x:v>0.02014</x:v>
      </x:c>
      <x:c r="S421" s="34" t="n">
        <x:v>0.01837</x:v>
      </x:c>
      <x:c r="T421" s="32" t="n">
        <x:v>46236.012482418984</x:v>
      </x:c>
      <x:c r="U421" s="32" t="n">
        <x:v>46237.012482418984</x:v>
      </x:c>
      <x:c r="V421" s="34" t="n">
        <x:v>5</x:v>
      </x:c>
      <x:c r="W421" s="34" t="n">
        <x:v>1</x:v>
      </x:c>
      <x:c r="X421" s="34" t="n">
        <x:v>1</x:v>
      </x:c>
      <x:c r="Y421" s="34" t="n">
        <x:v>0.00001</x:v>
      </x:c>
      <x:c r="Z421" s="30" t="str">
        <x:f>IF(AND(D421="TRADING",I421&lt;&gt;"",L421&lt;&gt;"",M421&lt;&gt;"",N421&lt;&gt;"",O421&lt;&gt;""),"Yes","No")</x:f>
        <x:v>Yes</x:v>
      </x:c>
      <x:c r="AA421" s="39" t="str">
        <x:v>https://developers.binance.com/en/docs/catalog/core-trading-spot-trading/api/rest-api</x:v>
      </x:c>
    </x:row>
    <x:row r="422">
      <x:c r="A422" s="30" t="str">
        <x:v>NILUSDT</x:v>
      </x:c>
      <x:c r="B422" s="30" t="str">
        <x:v>NIL</x:v>
      </x:c>
      <x:c r="C422" s="30" t="str">
        <x:v>USDT</x:v>
      </x:c>
      <x:c r="D422" s="30" t="str">
        <x:v>TRADING</x:v>
      </x:c>
      <x:c r="E422" s="31" t="b">
        <x:v>1</x:v>
      </x:c>
      <x:c r="F422" s="32" t="n">
        <x:v>45740</x:v>
      </x:c>
      <x:c r="G422" s="32" t="n">
        <x:v>45740.999999988424</x:v>
      </x:c>
      <x:c r="H422" s="33" t="n">
        <x:f>IF(F422="","",('Summary'!$B$5-F422)/365.25)</x:f>
        <x:v>1.360746040573429</x:v>
      </x:c>
      <x:c r="I422" s="34" t="n">
        <x:v>0.03047</x:v>
      </x:c>
      <x:c r="J422" s="35" t="n">
        <x:v>0.07478</x:v>
      </x:c>
      <x:c r="K422" s="36" t="n">
        <x:v>100821450.1</x:v>
      </x:c>
      <x:c r="L422" s="36" t="n">
        <x:v>3079585.355146</x:v>
      </x:c>
      <x:c r="M422" s="37" t="n">
        <x:v>93890</x:v>
      </x:c>
      <x:c r="N422" s="34" t="n">
        <x:v>0.03045</x:v>
      </x:c>
      <x:c r="O422" s="34" t="n">
        <x:v>0.03046</x:v>
      </x:c>
      <x:c r="P422" s="38" t="n">
        <x:f>IF(OR(N422="",O422="",N422=0,O422=0),"",(O422-N422)/((O422+N422)/2))</x:f>
        <x:v>0.0003283533081595663</x:v>
      </x:c>
      <x:c r="Q422" s="34" t="n">
        <x:v>0.03054494</x:v>
      </x:c>
      <x:c r="R422" s="34" t="n">
        <x:v>0.0342</x:v>
      </x:c>
      <x:c r="S422" s="34" t="n">
        <x:v>0.02777</x:v>
      </x:c>
      <x:c r="T422" s="32" t="n">
        <x:v>46236.01247649306</x:v>
      </x:c>
      <x:c r="U422" s="32" t="n">
        <x:v>46237.01247649306</x:v>
      </x:c>
      <x:c r="V422" s="34" t="n">
        <x:v>5</x:v>
      </x:c>
      <x:c r="W422" s="34" t="n">
        <x:v>0.1</x:v>
      </x:c>
      <x:c r="X422" s="34" t="n">
        <x:v>0.1</x:v>
      </x:c>
      <x:c r="Y422" s="34" t="n">
        <x:v>0.00001</x:v>
      </x:c>
      <x:c r="Z422" s="30" t="str">
        <x:f>IF(AND(D422="TRADING",I422&lt;&gt;"",L422&lt;&gt;"",M422&lt;&gt;"",N422&lt;&gt;"",O422&lt;&gt;""),"Yes","No")</x:f>
        <x:v>Yes</x:v>
      </x:c>
      <x:c r="AA422" s="39" t="str">
        <x:v>https://developers.binance.com/en/docs/catalog/core-trading-spot-trading/api/rest-api</x:v>
      </x:c>
    </x:row>
    <x:row r="423">
      <x:c r="A423" s="30" t="str">
        <x:v>NKNUSDT</x:v>
      </x:c>
      <x:c r="B423" s="30" t="str">
        <x:v>NKN</x:v>
      </x:c>
      <x:c r="C423" s="30" t="str">
        <x:v>USDT</x:v>
      </x:c>
      <x:c r="D423" s="30" t="str">
        <x:v>BREAK</x:v>
      </x:c>
      <x:c r="E423" s="31" t="b">
        <x:v>1</x:v>
      </x:c>
      <x:c r="F423" s="32" t="n">
        <x:v>43749</x:v>
      </x:c>
      <x:c r="G423" s="32" t="n">
        <x:v>43749.999999988424</x:v>
      </x:c>
      <x:c r="H423" s="33" t="n">
        <x:f>IF(F423="","",('Summary'!$B$5-F423)/365.25)</x:f>
        <x:v>6.811806957753443</x:v>
      </x:c>
      <x:c r="I423" s="34" t="n">
        <x:v>0.0073</x:v>
      </x:c>
      <x:c r="J423" s="35" t="n">
        <x:v>0.02817</x:v>
      </x:c>
      <x:c r="K423" s="36" t="n">
        <x:v>25288819</x:v>
      </x:c>
      <x:c r="L423" s="36" t="n">
        <x:v>181523.2437</x:v>
      </x:c>
      <x:c r="M423" s="37" t="n">
        <x:v>4001</x:v>
      </x:c>
      <x:c r="N423" s="34" t="n">
        <x:v>0</x:v>
      </x:c>
      <x:c r="O423" s="34" t="n">
        <x:v>0</x:v>
      </x:c>
      <x:c r="P423" s="38" t="str">
        <x:f>IF(OR(N423="",O423="",N423=0,O423=0),"",(O423-N423)/((O423+N423)/2))</x:f>
      </x:c>
      <x:c r="Q423" s="34" t="n">
        <x:v>0.007178</x:v>
      </x:c>
      <x:c r="R423" s="34" t="n">
        <x:v>0.0076</x:v>
      </x:c>
      <x:c r="S423" s="34" t="n">
        <x:v>0.0066</x:v>
      </x:c>
      <x:c r="T423" s="32" t="n">
        <x:v>46209.26112309028</x:v>
      </x:c>
      <x:c r="U423" s="32" t="n">
        <x:v>46210.26112309028</x:v>
      </x:c>
      <x:c r="V423" s="34" t="n">
        <x:v>5</x:v>
      </x:c>
      <x:c r="W423" s="34" t="n">
        <x:v>1</x:v>
      </x:c>
      <x:c r="X423" s="34" t="n">
        <x:v>1</x:v>
      </x:c>
      <x:c r="Y423" s="34" t="n">
        <x:v>0.0001</x:v>
      </x:c>
      <x:c r="Z423" s="30" t="str">
        <x:f>IF(AND(D423="TRADING",I423&lt;&gt;"",L423&lt;&gt;"",M423&lt;&gt;"",N423&lt;&gt;"",O423&lt;&gt;""),"Yes","No")</x:f>
        <x:v>No</x:v>
      </x:c>
      <x:c r="AA423" s="39" t="str">
        <x:v>https://developers.binance.com/en/docs/catalog/core-trading-spot-trading/api/rest-api</x:v>
      </x:c>
    </x:row>
    <x:row r="424">
      <x:c r="A424" s="30" t="str">
        <x:v>NMRUSDT</x:v>
      </x:c>
      <x:c r="B424" s="30" t="str">
        <x:v>NMR</x:v>
      </x:c>
      <x:c r="C424" s="30" t="str">
        <x:v>USDT</x:v>
      </x:c>
      <x:c r="D424" s="30" t="str">
        <x:v>TRADING</x:v>
      </x:c>
      <x:c r="E424" s="31" t="b">
        <x:v>1</x:v>
      </x:c>
      <x:c r="F424" s="32" t="n">
        <x:v>44062</x:v>
      </x:c>
      <x:c r="G424" s="32" t="n">
        <x:v>44062.999999988424</x:v>
      </x:c>
      <x:c r="H424" s="33" t="n">
        <x:f>IF(F424="","",('Summary'!$B$5-F424)/365.25)</x:f>
        <x:v>5.954859661381095</x:v>
      </x:c>
      <x:c r="I424" s="34" t="n">
        <x:v>8.59</x:v>
      </x:c>
      <x:c r="J424" s="35" t="n">
        <x:v>0.00468</x:v>
      </x:c>
      <x:c r="K424" s="36" t="n">
        <x:v>4257.52</x:v>
      </x:c>
      <x:c r="L424" s="36" t="n">
        <x:v>36439.2488</x:v>
      </x:c>
      <x:c r="M424" s="37" t="n">
        <x:v>421</x:v>
      </x:c>
      <x:c r="N424" s="34" t="n">
        <x:v>8.59</x:v>
      </x:c>
      <x:c r="O424" s="34" t="n">
        <x:v>8.6</x:v>
      </x:c>
      <x:c r="P424" s="38" t="n">
        <x:f>IF(OR(N424="",O424="",N424=0,O424=0),"",(O424-N424)/((O424+N424)/2))</x:f>
        <x:v>0.001163467132053495</x:v>
      </x:c>
      <x:c r="Q424" s="34" t="n">
        <x:v>8.55879686</x:v>
      </x:c>
      <x:c r="R424" s="34" t="n">
        <x:v>8.63</x:v>
      </x:c>
      <x:c r="S424" s="34" t="n">
        <x:v>8.51</x:v>
      </x:c>
      <x:c r="T424" s="32" t="n">
        <x:v>46236.01154594908</x:v>
      </x:c>
      <x:c r="U424" s="32" t="n">
        <x:v>46237.01154594908</x:v>
      </x:c>
      <x:c r="V424" s="34" t="n">
        <x:v>5</x:v>
      </x:c>
      <x:c r="W424" s="34" t="n">
        <x:v>0.01</x:v>
      </x:c>
      <x:c r="X424" s="34" t="n">
        <x:v>0.01</x:v>
      </x:c>
      <x:c r="Y424" s="34" t="n">
        <x:v>0.01</x:v>
      </x:c>
      <x:c r="Z424" s="30" t="str">
        <x:f>IF(AND(D424="TRADING",I424&lt;&gt;"",L424&lt;&gt;"",M424&lt;&gt;"",N424&lt;&gt;"",O424&lt;&gt;""),"Yes","No")</x:f>
        <x:v>Yes</x:v>
      </x:c>
      <x:c r="AA424" s="39" t="str">
        <x:v>https://developers.binance.com/en/docs/catalog/core-trading-spot-trading/api/rest-api</x:v>
      </x:c>
    </x:row>
    <x:row r="425">
      <x:c r="A425" s="30" t="str">
        <x:v>NOKBUSDT</x:v>
      </x:c>
      <x:c r="B425" s="30" t="str">
        <x:v>NOKB</x:v>
      </x:c>
      <x:c r="C425" s="30" t="str">
        <x:v>USDT</x:v>
      </x:c>
      <x:c r="D425" s="30" t="str">
        <x:v>TRADING</x:v>
      </x:c>
      <x:c r="E425" s="31" t="b">
        <x:v>1</x:v>
      </x:c>
      <x:c r="F425" s="32" t="n">
        <x:v>46218</x:v>
      </x:c>
      <x:c r="G425" s="32" t="n">
        <x:v>46218.999999988424</x:v>
      </x:c>
      <x:c r="H425" s="33" t="n">
        <x:f>IF(F425="","",('Summary'!$B$5-F425)/365.25)</x:f>
        <x:v>0.05205336432428463</x:v>
      </x:c>
      <x:c r="I425" s="34" t="n">
        <x:v>9.2</x:v>
      </x:c>
      <x:c r="J425" s="35" t="n">
        <x:v>0.01883</x:v>
      </x:c>
      <x:c r="K425" s="36" t="n">
        <x:v>8830.96</x:v>
      </x:c>
      <x:c r="L425" s="36" t="n">
        <x:v>80197.9816</x:v>
      </x:c>
      <x:c r="M425" s="37" t="n">
        <x:v>1309</x:v>
      </x:c>
      <x:c r="N425" s="34" t="n">
        <x:v>9.21</x:v>
      </x:c>
      <x:c r="O425" s="34" t="n">
        <x:v>9.22</x:v>
      </x:c>
      <x:c r="P425" s="38" t="n">
        <x:f>IF(OR(N425="",O425="",N425=0,O425=0),"",(O425-N425)/((O425+N425)/2))</x:f>
        <x:v>0.0010851871947910783</x:v>
      </x:c>
      <x:c r="Q425" s="34" t="n">
        <x:v>9.08145678</x:v>
      </x:c>
      <x:c r="R425" s="34" t="n">
        <x:v>9.26</x:v>
      </x:c>
      <x:c r="S425" s="34" t="n">
        <x:v>9.01</x:v>
      </x:c>
      <x:c r="T425" s="32" t="n">
        <x:v>46236.01227071759</x:v>
      </x:c>
      <x:c r="U425" s="32" t="n">
        <x:v>46237.01227071759</x:v>
      </x:c>
      <x:c r="V425" s="34" t="n">
        <x:v>5</x:v>
      </x:c>
      <x:c r="W425" s="34" t="n">
        <x:v>0.01</x:v>
      </x:c>
      <x:c r="X425" s="34" t="n">
        <x:v>0.01</x:v>
      </x:c>
      <x:c r="Y425" s="34" t="n">
        <x:v>0.01</x:v>
      </x:c>
      <x:c r="Z425" s="30" t="str">
        <x:f>IF(AND(D425="TRADING",I425&lt;&gt;"",L425&lt;&gt;"",M425&lt;&gt;"",N425&lt;&gt;"",O425&lt;&gt;""),"Yes","No")</x:f>
        <x:v>Yes</x:v>
      </x:c>
      <x:c r="AA425" s="39" t="str">
        <x:v>https://developers.binance.com/en/docs/catalog/core-trading-spot-trading/api/rest-api</x:v>
      </x:c>
    </x:row>
    <x:row r="426">
      <x:c r="A426" s="30" t="str">
        <x:v>NOMUSDT</x:v>
      </x:c>
      <x:c r="B426" s="30" t="str">
        <x:v>NOM</x:v>
      </x:c>
      <x:c r="C426" s="30" t="str">
        <x:v>USDT</x:v>
      </x:c>
      <x:c r="D426" s="30" t="str">
        <x:v>TRADING</x:v>
      </x:c>
      <x:c r="E426" s="31" t="b">
        <x:v>1</x:v>
      </x:c>
      <x:c r="F426" s="32" t="n">
        <x:v>45931</x:v>
      </x:c>
      <x:c r="G426" s="32" t="n">
        <x:v>45931.999999988424</x:v>
      </x:c>
      <x:c r="H426" s="33" t="n">
        <x:f>IF(F426="","",('Summary'!$B$5-F426)/365.25)</x:f>
        <x:v>0.8378165402311977</x:v>
      </x:c>
      <x:c r="I426" s="34" t="n">
        <x:v>0.00143</x:v>
      </x:c>
      <x:c r="J426" s="35" t="n">
        <x:v>0.007039999999999999</x:v>
      </x:c>
      <x:c r="K426" s="36" t="n">
        <x:v>200463873</x:v>
      </x:c>
      <x:c r="L426" s="36" t="n">
        <x:v>287704.93948</x:v>
      </x:c>
      <x:c r="M426" s="37" t="n">
        <x:v>3146</x:v>
      </x:c>
      <x:c r="N426" s="34" t="n">
        <x:v>0.00143</x:v>
      </x:c>
      <x:c r="O426" s="34" t="n">
        <x:v>0.00144</x:v>
      </x:c>
      <x:c r="P426" s="38" t="n">
        <x:f>IF(OR(N426="",O426="",N426=0,O426=0),"",(O426-N426)/((O426+N426)/2))</x:f>
        <x:v>0.006968641114982597</x:v>
      </x:c>
      <x:c r="Q426" s="34" t="n">
        <x:v>0.0014352</x:v>
      </x:c>
      <x:c r="R426" s="34" t="n">
        <x:v>0.00146</x:v>
      </x:c>
      <x:c r="S426" s="34" t="n">
        <x:v>0.00142</x:v>
      </x:c>
      <x:c r="T426" s="32" t="n">
        <x:v>46236.01238849537</x:v>
      </x:c>
      <x:c r="U426" s="32" t="n">
        <x:v>46237.01238849537</x:v>
      </x:c>
      <x:c r="V426" s="34" t="n">
        <x:v>5</x:v>
      </x:c>
      <x:c r="W426" s="34" t="n">
        <x:v>1</x:v>
      </x:c>
      <x:c r="X426" s="34" t="n">
        <x:v>1</x:v>
      </x:c>
      <x:c r="Y426" s="34" t="n">
        <x:v>0.00001</x:v>
      </x:c>
      <x:c r="Z426" s="30" t="str">
        <x:f>IF(AND(D426="TRADING",I426&lt;&gt;"",L426&lt;&gt;"",M426&lt;&gt;"",N426&lt;&gt;"",O426&lt;&gt;""),"Yes","No")</x:f>
        <x:v>Yes</x:v>
      </x:c>
      <x:c r="AA426" s="39" t="str">
        <x:v>https://developers.binance.com/en/docs/catalog/core-trading-spot-trading/api/rest-api</x:v>
      </x:c>
    </x:row>
    <x:row r="427">
      <x:c r="A427" s="30" t="str">
        <x:v>NOTUSDT</x:v>
      </x:c>
      <x:c r="B427" s="30" t="str">
        <x:v>NOT</x:v>
      </x:c>
      <x:c r="C427" s="30" t="str">
        <x:v>USDT</x:v>
      </x:c>
      <x:c r="D427" s="30" t="str">
        <x:v>TRADING</x:v>
      </x:c>
      <x:c r="E427" s="31" t="b">
        <x:v>1</x:v>
      </x:c>
      <x:c r="F427" s="32" t="n">
        <x:v>45428</x:v>
      </x:c>
      <x:c r="G427" s="32" t="n">
        <x:v>45428.999999988424</x:v>
      </x:c>
      <x:c r="H427" s="33" t="n">
        <x:f>IF(F427="","",('Summary'!$B$5-F427)/365.25)</x:f>
        <x:v>2.2149554861586447</x:v>
      </x:c>
      <x:c r="I427" s="34" t="n">
        <x:v>0.000343</x:v>
      </x:c>
      <x:c r="J427" s="35" t="n">
        <x:v>0.02388</x:v>
      </x:c>
      <x:c r="K427" s="36" t="n">
        <x:v>533701520</x:v>
      </x:c>
      <x:c r="L427" s="36" t="n">
        <x:v>184412.91841</x:v>
      </x:c>
      <x:c r="M427" s="37" t="n">
        <x:v>3915</x:v>
      </x:c>
      <x:c r="N427" s="34" t="n">
        <x:v>0.000342</x:v>
      </x:c>
      <x:c r="O427" s="34" t="n">
        <x:v>0.000343</x:v>
      </x:c>
      <x:c r="P427" s="38" t="n">
        <x:f>IF(OR(N427="",O427="",N427=0,O427=0),"",(O427-N427)/((O427+N427)/2))</x:f>
        <x:v>0.0029197080291969925</x:v>
      </x:c>
      <x:c r="Q427" s="34" t="n">
        <x:v>0.00034554</x:v>
      </x:c>
      <x:c r="R427" s="34" t="n">
        <x:v>0.000355</x:v>
      </x:c>
      <x:c r="S427" s="34" t="n">
        <x:v>0.000334</x:v>
      </x:c>
      <x:c r="T427" s="32" t="n">
        <x:v>46236.011812083336</x:v>
      </x:c>
      <x:c r="U427" s="32" t="n">
        <x:v>46237.011812083336</x:v>
      </x:c>
      <x:c r="V427" s="34" t="n">
        <x:v>5</x:v>
      </x:c>
      <x:c r="W427" s="34" t="n">
        <x:v>1</x:v>
      </x:c>
      <x:c r="X427" s="34" t="n">
        <x:v>1</x:v>
      </x:c>
      <x:c r="Y427" s="34" t="n">
        <x:v>0.000001</x:v>
      </x:c>
      <x:c r="Z427" s="30" t="str">
        <x:f>IF(AND(D427="TRADING",I427&lt;&gt;"",L427&lt;&gt;"",M427&lt;&gt;"",N427&lt;&gt;"",O427&lt;&gt;""),"Yes","No")</x:f>
        <x:v>Yes</x:v>
      </x:c>
      <x:c r="AA427" s="39" t="str">
        <x:v>https://developers.binance.com/en/docs/catalog/core-trading-spot-trading/api/rest-api</x:v>
      </x:c>
    </x:row>
    <x:row r="428">
      <x:c r="A428" s="30" t="str">
        <x:v>NPXSUSDT</x:v>
      </x:c>
      <x:c r="B428" s="30" t="str">
        <x:v>NPXS</x:v>
      </x:c>
      <x:c r="C428" s="30" t="str">
        <x:v>USDT</x:v>
      </x:c>
      <x:c r="D428" s="30" t="str">
        <x:v>BREAK</x:v>
      </x:c>
      <x:c r="E428" s="31" t="b">
        <x:v>1</x:v>
      </x:c>
      <x:c r="F428" s="32" t="n">
        <x:v>43690</x:v>
      </x:c>
      <x:c r="G428" s="32" t="n">
        <x:v>43690.999999988424</x:v>
      </x:c>
      <x:c r="H428" s="33" t="n">
        <x:f>IF(F428="","",('Summary'!$B$5-F428)/365.25)</x:f>
        <x:v>6.973340154194236</x:v>
      </x:c>
      <x:c r="I428" s="34" t="n">
        <x:v>0</x:v>
      </x:c>
      <x:c r="J428" s="35" t="n">
        <x:v>0</x:v>
      </x:c>
      <x:c r="K428" s="36" t="n">
        <x:v>0</x:v>
      </x:c>
      <x:c r="L428" s="36" t="n">
        <x:v>0</x:v>
      </x:c>
      <x:c r="M428" s="37" t="n">
        <x:v>0</x:v>
      </x:c>
      <x:c r="N428" s="34" t="n">
        <x:v>0</x:v>
      </x:c>
      <x:c r="O428" s="34" t="n">
        <x:v>0</x:v>
      </x:c>
      <x:c r="P428" s="38" t="str">
        <x:f>IF(OR(N428="",O428="",N428=0,O428=0),"",(O428-N428)/((O428+N428)/2))</x:f>
      </x:c>
      <x:c r="Q428" s="34" t="n">
        <x:v>0</x:v>
      </x:c>
      <x:c r="R428" s="34" t="n">
        <x:v>0</x:v>
      </x:c>
      <x:c r="S428" s="34" t="n">
        <x:v>0</x:v>
      </x:c>
      <x:c r="T428" s="32" t="n">
        <x:v>46209.26112309028</x:v>
      </x:c>
      <x:c r="U428" s="32" t="n">
        <x:v>46210.26112309028</x:v>
      </x:c>
      <x:c r="V428" s="34" t="n">
        <x:v>10</x:v>
      </x:c>
      <x:c r="W428" s="34" t="n">
        <x:v>1</x:v>
      </x:c>
      <x:c r="X428" s="34" t="n">
        <x:v>1</x:v>
      </x:c>
      <x:c r="Y428" s="34" t="n">
        <x:v>1e-7</x:v>
      </x:c>
      <x:c r="Z428" s="30" t="str">
        <x:f>IF(AND(D428="TRADING",I428&lt;&gt;"",L428&lt;&gt;"",M428&lt;&gt;"",N428&lt;&gt;"",O428&lt;&gt;""),"Yes","No")</x:f>
        <x:v>No</x:v>
      </x:c>
      <x:c r="AA428" s="39" t="str">
        <x:v>https://developers.binance.com/en/docs/catalog/core-trading-spot-trading/api/rest-api</x:v>
      </x:c>
    </x:row>
    <x:row r="429">
      <x:c r="A429" s="30" t="str">
        <x:v>NTRNUSDT</x:v>
      </x:c>
      <x:c r="B429" s="30" t="str">
        <x:v>NTRN</x:v>
      </x:c>
      <x:c r="C429" s="30" t="str">
        <x:v>USDT</x:v>
      </x:c>
      <x:c r="D429" s="30" t="str">
        <x:v>BREAK</x:v>
      </x:c>
      <x:c r="E429" s="31" t="b">
        <x:v>1</x:v>
      </x:c>
      <x:c r="F429" s="32" t="n">
        <x:v>45209</x:v>
      </x:c>
      <x:c r="G429" s="32" t="n">
        <x:v>45209.999999988424</x:v>
      </x:c>
      <x:c r="H429" s="33" t="n">
        <x:f>IF(F429="","",('Summary'!$B$5-F429)/365.25)</x:f>
        <x:v>2.8145448085405746</x:v>
      </x:c>
      <x:c r="I429" s="34" t="n">
        <x:v>0.0016</x:v>
      </x:c>
      <x:c r="J429" s="35" t="n">
        <x:v>-0.33332999999999996</x:v>
      </x:c>
      <x:c r="K429" s="36" t="n">
        <x:v>203143815.2</x:v>
      </x:c>
      <x:c r="L429" s="36" t="n">
        <x:v>400972.76855</x:v>
      </x:c>
      <x:c r="M429" s="37" t="n">
        <x:v>6712</x:v>
      </x:c>
      <x:c r="N429" s="34" t="n">
        <x:v>0</x:v>
      </x:c>
      <x:c r="O429" s="34" t="n">
        <x:v>0</x:v>
      </x:c>
      <x:c r="P429" s="38" t="str">
        <x:f>IF(OR(N429="",O429="",N429=0,O429=0),"",(O429-N429)/((O429+N429)/2))</x:f>
      </x:c>
      <x:c r="Q429" s="34" t="n">
        <x:v>0.00197384</x:v>
      </x:c>
      <x:c r="R429" s="34" t="n">
        <x:v>0.0026</x:v>
      </x:c>
      <x:c r="S429" s="34" t="n">
        <x:v>0.0013</x:v>
      </x:c>
      <x:c r="T429" s="32" t="n">
        <x:v>46209.26112309028</x:v>
      </x:c>
      <x:c r="U429" s="32" t="n">
        <x:v>46210.26112309028</x:v>
      </x:c>
      <x:c r="V429" s="34" t="n">
        <x:v>5</x:v>
      </x:c>
      <x:c r="W429" s="34" t="n">
        <x:v>0.1</x:v>
      </x:c>
      <x:c r="X429" s="34" t="n">
        <x:v>0.1</x:v>
      </x:c>
      <x:c r="Y429" s="34" t="n">
        <x:v>0.0001</x:v>
      </x:c>
      <x:c r="Z429" s="30" t="str">
        <x:f>IF(AND(D429="TRADING",I429&lt;&gt;"",L429&lt;&gt;"",M429&lt;&gt;"",N429&lt;&gt;"",O429&lt;&gt;""),"Yes","No")</x:f>
        <x:v>No</x:v>
      </x:c>
      <x:c r="AA429" s="39" t="str">
        <x:v>https://developers.binance.com/en/docs/catalog/core-trading-spot-trading/api/rest-api</x:v>
      </x:c>
    </x:row>
    <x:row r="430">
      <x:c r="A430" s="30" t="str">
        <x:v>NULSUSDT</x:v>
      </x:c>
      <x:c r="B430" s="30" t="str">
        <x:v>NULS</x:v>
      </x:c>
      <x:c r="C430" s="30" t="str">
        <x:v>USDT</x:v>
      </x:c>
      <x:c r="D430" s="30" t="str">
        <x:v>BREAK</x:v>
      </x:c>
      <x:c r="E430" s="31" t="b">
        <x:v>1</x:v>
      </x:c>
      <x:c r="F430" s="32" t="n">
        <x:v>43304</x:v>
      </x:c>
      <x:c r="G430" s="32" t="n">
        <x:v>43304.999999988424</x:v>
      </x:c>
      <x:c r="H430" s="33" t="n">
        <x:f>IF(F430="","",('Summary'!$B$5-F430)/365.25)</x:f>
        <x:v>8.030150558027227</x:v>
      </x:c>
      <x:c r="I430" s="34" t="n">
        <x:v>0.0258</x:v>
      </x:c>
      <x:c r="J430" s="35" t="n">
        <x:v>-0.07194</x:v>
      </x:c>
      <x:c r="K430" s="36" t="n">
        <x:v>6282246</x:v>
      </x:c>
      <x:c r="L430" s="36" t="n">
        <x:v>158334.2691</x:v>
      </x:c>
      <x:c r="M430" s="37" t="n">
        <x:v>4001</x:v>
      </x:c>
      <x:c r="N430" s="34" t="n">
        <x:v>0</x:v>
      </x:c>
      <x:c r="O430" s="34" t="n">
        <x:v>0</x:v>
      </x:c>
      <x:c r="P430" s="38" t="str">
        <x:f>IF(OR(N430="",O430="",N430=0,O430=0),"",(O430-N430)/((O430+N430)/2))</x:f>
      </x:c>
      <x:c r="Q430" s="34" t="n">
        <x:v>0.02520345</x:v>
      </x:c>
      <x:c r="R430" s="34" t="n">
        <x:v>0.0289</x:v>
      </x:c>
      <x:c r="S430" s="34" t="n">
        <x:v>0.0227</x:v>
      </x:c>
      <x:c r="T430" s="32" t="n">
        <x:v>46209.26112309028</x:v>
      </x:c>
      <x:c r="U430" s="32" t="n">
        <x:v>46210.26112309028</x:v>
      </x:c>
      <x:c r="V430" s="34" t="n">
        <x:v>5</x:v>
      </x:c>
      <x:c r="W430" s="34" t="n">
        <x:v>1</x:v>
      </x:c>
      <x:c r="X430" s="34" t="n">
        <x:v>1</x:v>
      </x:c>
      <x:c r="Y430" s="34" t="n">
        <x:v>0.0001</x:v>
      </x:c>
      <x:c r="Z430" s="30" t="str">
        <x:f>IF(AND(D430="TRADING",I430&lt;&gt;"",L430&lt;&gt;"",M430&lt;&gt;"",N430&lt;&gt;"",O430&lt;&gt;""),"Yes","No")</x:f>
        <x:v>No</x:v>
      </x:c>
      <x:c r="AA430" s="39" t="str">
        <x:v>https://developers.binance.com/en/docs/catalog/core-trading-spot-trading/api/rest-api</x:v>
      </x:c>
    </x:row>
    <x:row r="431">
      <x:c r="A431" s="30" t="str">
        <x:v>NUUSDT</x:v>
      </x:c>
      <x:c r="B431" s="30" t="str">
        <x:v>NU</x:v>
      </x:c>
      <x:c r="C431" s="30" t="str">
        <x:v>USDT</x:v>
      </x:c>
      <x:c r="D431" s="30" t="str">
        <x:v>BREAK</x:v>
      </x:c>
      <x:c r="E431" s="31" t="b">
        <x:v>1</x:v>
      </x:c>
      <x:c r="F431" s="32" t="n">
        <x:v>44351</x:v>
      </x:c>
      <x:c r="G431" s="32" t="n">
        <x:v>44351.999999988424</x:v>
      </x:c>
      <x:c r="H431" s="33" t="n">
        <x:f>IF(F431="","",('Summary'!$B$5-F431)/365.25)</x:f>
        <x:v>5.163620783899918</x:v>
      </x:c>
      <x:c r="I431" s="34" t="n">
        <x:v>0</x:v>
      </x:c>
      <x:c r="J431" s="35" t="n">
        <x:v>0</x:v>
      </x:c>
      <x:c r="K431" s="36" t="n">
        <x:v>0</x:v>
      </x:c>
      <x:c r="L431" s="36" t="n">
        <x:v>0</x:v>
      </x:c>
      <x:c r="M431" s="37" t="n">
        <x:v>0</x:v>
      </x:c>
      <x:c r="N431" s="34" t="n">
        <x:v>0</x:v>
      </x:c>
      <x:c r="O431" s="34" t="n">
        <x:v>0</x:v>
      </x:c>
      <x:c r="P431" s="38" t="str">
        <x:f>IF(OR(N431="",O431="",N431=0,O431=0),"",(O431-N431)/((O431+N431)/2))</x:f>
      </x:c>
      <x:c r="Q431" s="34" t="n">
        <x:v>0</x:v>
      </x:c>
      <x:c r="R431" s="34" t="n">
        <x:v>0</x:v>
      </x:c>
      <x:c r="S431" s="34" t="n">
        <x:v>0</x:v>
      </x:c>
      <x:c r="T431" s="32" t="n">
        <x:v>46209.26112309028</x:v>
      </x:c>
      <x:c r="U431" s="32" t="n">
        <x:v>46210.26112309028</x:v>
      </x:c>
      <x:c r="V431" s="34" t="n">
        <x:v>10</x:v>
      </x:c>
      <x:c r="W431" s="34" t="n">
        <x:v>1</x:v>
      </x:c>
      <x:c r="X431" s="34" t="n">
        <x:v>1</x:v>
      </x:c>
      <x:c r="Y431" s="34" t="n">
        <x:v>0.0001</x:v>
      </x:c>
      <x:c r="Z431" s="30" t="str">
        <x:f>IF(AND(D431="TRADING",I431&lt;&gt;"",L431&lt;&gt;"",M431&lt;&gt;"",N431&lt;&gt;"",O431&lt;&gt;""),"Yes","No")</x:f>
        <x:v>No</x:v>
      </x:c>
      <x:c r="AA431" s="39" t="str">
        <x:v>https://developers.binance.com/en/docs/catalog/core-trading-spot-trading/api/rest-api</x:v>
      </x:c>
    </x:row>
    <x:row r="432">
      <x:c r="A432" s="30" t="str">
        <x:v>NVDABUSDT</x:v>
      </x:c>
      <x:c r="B432" s="30" t="str">
        <x:v>NVDAB</x:v>
      </x:c>
      <x:c r="C432" s="30" t="str">
        <x:v>USDT</x:v>
      </x:c>
      <x:c r="D432" s="30" t="str">
        <x:v>TRADING</x:v>
      </x:c>
      <x:c r="E432" s="31" t="b">
        <x:v>1</x:v>
      </x:c>
      <x:c r="F432" s="32" t="n">
        <x:v>46184</x:v>
      </x:c>
      <x:c r="G432" s="32" t="n">
        <x:v>46184.999999988424</x:v>
      </x:c>
      <x:c r="H432" s="33" t="n">
        <x:f>IF(F432="","",('Summary'!$B$5-F432)/365.25)</x:f>
        <x:v>0.14514029108677606</x:v>
      </x:c>
      <x:c r="I432" s="34" t="n">
        <x:v>201.82</x:v>
      </x:c>
      <x:c r="J432" s="35" t="n">
        <x:v>0.012490000000000001</x:v>
      </x:c>
      <x:c r="K432" s="36" t="n">
        <x:v>8006.098</x:v>
      </x:c>
      <x:c r="L432" s="36" t="n">
        <x:v>1604179.92629</x:v>
      </x:c>
      <x:c r="M432" s="37" t="n">
        <x:v>11266</x:v>
      </x:c>
      <x:c r="N432" s="34" t="n">
        <x:v>201.68</x:v>
      </x:c>
      <x:c r="O432" s="34" t="n">
        <x:v>201.82</x:v>
      </x:c>
      <x:c r="P432" s="38" t="n">
        <x:f>IF(OR(N432="",O432="",N432=0,O432=0),"",(O432-N432)/((O432+N432)/2))</x:f>
        <x:v>0.0006939281288722991</x:v>
      </x:c>
      <x:c r="Q432" s="34" t="n">
        <x:v>200.36975894</x:v>
      </x:c>
      <x:c r="R432" s="34" t="n">
        <x:v>201.9</x:v>
      </x:c>
      <x:c r="S432" s="34" t="n">
        <x:v>198.23</x:v>
      </x:c>
      <x:c r="T432" s="32" t="n">
        <x:v>46236.01246097222</x:v>
      </x:c>
      <x:c r="U432" s="32" t="n">
        <x:v>46237.01246097222</x:v>
      </x:c>
      <x:c r="V432" s="34" t="n">
        <x:v>5</x:v>
      </x:c>
      <x:c r="W432" s="34" t="n">
        <x:v>0.001</x:v>
      </x:c>
      <x:c r="X432" s="34" t="n">
        <x:v>0.001</x:v>
      </x:c>
      <x:c r="Y432" s="34" t="n">
        <x:v>0.01</x:v>
      </x:c>
      <x:c r="Z432" s="30" t="str">
        <x:f>IF(AND(D432="TRADING",I432&lt;&gt;"",L432&lt;&gt;"",M432&lt;&gt;"",N432&lt;&gt;"",O432&lt;&gt;""),"Yes","No")</x:f>
        <x:v>Yes</x:v>
      </x:c>
      <x:c r="AA432" s="39" t="str">
        <x:v>https://developers.binance.com/en/docs/catalog/core-trading-spot-trading/api/rest-api</x:v>
      </x:c>
    </x:row>
    <x:row r="433">
      <x:c r="A433" s="30" t="str">
        <x:v>NXPCUSDT</x:v>
      </x:c>
      <x:c r="B433" s="30" t="str">
        <x:v>NXPC</x:v>
      </x:c>
      <x:c r="C433" s="30" t="str">
        <x:v>USDT</x:v>
      </x:c>
      <x:c r="D433" s="30" t="str">
        <x:v>TRADING</x:v>
      </x:c>
      <x:c r="E433" s="31" t="b">
        <x:v>1</x:v>
      </x:c>
      <x:c r="F433" s="32" t="n">
        <x:v>45792</x:v>
      </x:c>
      <x:c r="G433" s="32" t="n">
        <x:v>45792.999999988424</x:v>
      </x:c>
      <x:c r="H433" s="33" t="n">
        <x:f>IF(F433="","",('Summary'!$B$5-F433)/365.25)</x:f>
        <x:v>1.2183777996425598</x:v>
      </x:c>
      <x:c r="I433" s="34" t="n">
        <x:v>0.2413</x:v>
      </x:c>
      <x:c r="J433" s="35" t="n">
        <x:v>-0.02426</x:v>
      </x:c>
      <x:c r="K433" s="36" t="n">
        <x:v>680737.9</x:v>
      </x:c>
      <x:c r="L433" s="36" t="n">
        <x:v>167150.65475</x:v>
      </x:c>
      <x:c r="M433" s="37" t="n">
        <x:v>4330</x:v>
      </x:c>
      <x:c r="N433" s="34" t="n">
        <x:v>0.2412</x:v>
      </x:c>
      <x:c r="O433" s="34" t="n">
        <x:v>0.2414</x:v>
      </x:c>
      <x:c r="P433" s="38" t="n">
        <x:f>IF(OR(N433="",O433="",N433=0,O433=0),"",(O433-N433)/((O433+N433)/2))</x:f>
        <x:v>0.0008288437629507075</x:v>
      </x:c>
      <x:c r="Q433" s="34" t="n">
        <x:v>0.24554334</x:v>
      </x:c>
      <x:c r="R433" s="34" t="n">
        <x:v>0.2509</x:v>
      </x:c>
      <x:c r="S433" s="34" t="n">
        <x:v>0.2402</x:v>
      </x:c>
      <x:c r="T433" s="32" t="n">
        <x:v>46236.01222842593</x:v>
      </x:c>
      <x:c r="U433" s="32" t="n">
        <x:v>46237.01222842593</x:v>
      </x:c>
      <x:c r="V433" s="34" t="n">
        <x:v>5</x:v>
      </x:c>
      <x:c r="W433" s="34" t="n">
        <x:v>0.1</x:v>
      </x:c>
      <x:c r="X433" s="34" t="n">
        <x:v>0.1</x:v>
      </x:c>
      <x:c r="Y433" s="34" t="n">
        <x:v>0.0001</x:v>
      </x:c>
      <x:c r="Z433" s="30" t="str">
        <x:f>IF(AND(D433="TRADING",I433&lt;&gt;"",L433&lt;&gt;"",M433&lt;&gt;"",N433&lt;&gt;"",O433&lt;&gt;""),"Yes","No")</x:f>
        <x:v>Yes</x:v>
      </x:c>
      <x:c r="AA433" s="39" t="str">
        <x:v>https://developers.binance.com/en/docs/catalog/core-trading-spot-trading/api/rest-api</x:v>
      </x:c>
    </x:row>
    <x:row r="434">
      <x:c r="A434" s="30" t="str">
        <x:v>OAXUSDT</x:v>
      </x:c>
      <x:c r="B434" s="30" t="str">
        <x:v>OAX</x:v>
      </x:c>
      <x:c r="C434" s="30" t="str">
        <x:v>USDT</x:v>
      </x:c>
      <x:c r="D434" s="30" t="str">
        <x:v>BREAK</x:v>
      </x:c>
      <x:c r="E434" s="31" t="b">
        <x:v>1</x:v>
      </x:c>
      <x:c r="F434" s="32" t="n">
        <x:v>45009</x:v>
      </x:c>
      <x:c r="G434" s="32" t="n">
        <x:v>45009.999999988424</x:v>
      </x:c>
      <x:c r="H434" s="33" t="n">
        <x:f>IF(F434="","",('Summary'!$B$5-F434)/365.25)</x:f>
        <x:v>3.362114965966995</x:v>
      </x:c>
      <x:c r="I434" s="34" t="n">
        <x:v>0.0358</x:v>
      </x:c>
      <x:c r="J434" s="35" t="n">
        <x:v>-0.21491</x:v>
      </x:c>
      <x:c r="K434" s="36" t="n">
        <x:v>4783896</x:v>
      </x:c>
      <x:c r="L434" s="36" t="n">
        <x:v>202253.7149</x:v>
      </x:c>
      <x:c r="M434" s="37" t="n">
        <x:v>4001</x:v>
      </x:c>
      <x:c r="N434" s="34" t="n">
        <x:v>0</x:v>
      </x:c>
      <x:c r="O434" s="34" t="n">
        <x:v>0</x:v>
      </x:c>
      <x:c r="P434" s="38" t="str">
        <x:f>IF(OR(N434="",O434="",N434=0,O434=0),"",(O434-N434)/((O434+N434)/2))</x:f>
      </x:c>
      <x:c r="Q434" s="34" t="n">
        <x:v>0.04227803</x:v>
      </x:c>
      <x:c r="R434" s="34" t="n">
        <x:v>0.0489</x:v>
      </x:c>
      <x:c r="S434" s="34" t="n">
        <x:v>0.0356</x:v>
      </x:c>
      <x:c r="T434" s="32" t="n">
        <x:v>46209.26112309028</x:v>
      </x:c>
      <x:c r="U434" s="32" t="n">
        <x:v>46210.26112309028</x:v>
      </x:c>
      <x:c r="V434" s="34" t="n">
        <x:v>1</x:v>
      </x:c>
      <x:c r="W434" s="34" t="n">
        <x:v>1</x:v>
      </x:c>
      <x:c r="X434" s="34" t="n">
        <x:v>1</x:v>
      </x:c>
      <x:c r="Y434" s="34" t="n">
        <x:v>0.0001</x:v>
      </x:c>
      <x:c r="Z434" s="30" t="str">
        <x:f>IF(AND(D434="TRADING",I434&lt;&gt;"",L434&lt;&gt;"",M434&lt;&gt;"",N434&lt;&gt;"",O434&lt;&gt;""),"Yes","No")</x:f>
        <x:v>No</x:v>
      </x:c>
      <x:c r="AA434" s="39" t="str">
        <x:v>https://developers.binance.com/en/docs/catalog/core-trading-spot-trading/api/rest-api</x:v>
      </x:c>
    </x:row>
    <x:row r="435">
      <x:c r="A435" s="30" t="str">
        <x:v>OCEANUSDT</x:v>
      </x:c>
      <x:c r="B435" s="30" t="str">
        <x:v>OCEAN</x:v>
      </x:c>
      <x:c r="C435" s="30" t="str">
        <x:v>USDT</x:v>
      </x:c>
      <x:c r="D435" s="30" t="str">
        <x:v>BREAK</x:v>
      </x:c>
      <x:c r="E435" s="31" t="b">
        <x:v>1</x:v>
      </x:c>
      <x:c r="F435" s="32" t="n">
        <x:v>44062</x:v>
      </x:c>
      <x:c r="G435" s="32" t="n">
        <x:v>44062.999999988424</x:v>
      </x:c>
      <x:c r="H435" s="33" t="n">
        <x:f>IF(F435="","",('Summary'!$B$5-F435)/365.25)</x:f>
        <x:v>5.954859661381095</x:v>
      </x:c>
      <x:c r="I435" s="34" t="n">
        <x:v>0.6123</x:v>
      </x:c>
      <x:c r="J435" s="35" t="n">
        <x:v>-0.01194</x:v>
      </x:c>
      <x:c r="K435" s="36" t="n">
        <x:v>646661</x:v>
      </x:c>
      <x:c r="L435" s="36" t="n">
        <x:v>397142.0297</x:v>
      </x:c>
      <x:c r="M435" s="37" t="n">
        <x:v>4001</x:v>
      </x:c>
      <x:c r="N435" s="34" t="n">
        <x:v>0</x:v>
      </x:c>
      <x:c r="O435" s="34" t="n">
        <x:v>0</x:v>
      </x:c>
      <x:c r="P435" s="38" t="str">
        <x:f>IF(OR(N435="",O435="",N435=0,O435=0),"",(O435-N435)/((O435+N435)/2))</x:f>
      </x:c>
      <x:c r="Q435" s="34" t="n">
        <x:v>0.61414254</x:v>
      </x:c>
      <x:c r="R435" s="34" t="n">
        <x:v>0.6219</x:v>
      </x:c>
      <x:c r="S435" s="34" t="n">
        <x:v>0.6103</x:v>
      </x:c>
      <x:c r="T435" s="32" t="n">
        <x:v>46209.26112309028</x:v>
      </x:c>
      <x:c r="U435" s="32" t="n">
        <x:v>46210.26112309028</x:v>
      </x:c>
      <x:c r="V435" s="34" t="n">
        <x:v>5</x:v>
      </x:c>
      <x:c r="W435" s="34" t="n">
        <x:v>1</x:v>
      </x:c>
      <x:c r="X435" s="34" t="n">
        <x:v>1</x:v>
      </x:c>
      <x:c r="Y435" s="34" t="n">
        <x:v>0.0001</x:v>
      </x:c>
      <x:c r="Z435" s="30" t="str">
        <x:f>IF(AND(D435="TRADING",I435&lt;&gt;"",L435&lt;&gt;"",M435&lt;&gt;"",N435&lt;&gt;"",O435&lt;&gt;""),"Yes","No")</x:f>
        <x:v>No</x:v>
      </x:c>
      <x:c r="AA435" s="39" t="str">
        <x:v>https://developers.binance.com/en/docs/catalog/core-trading-spot-trading/api/rest-api</x:v>
      </x:c>
    </x:row>
    <x:row r="436">
      <x:c r="A436" s="30" t="str">
        <x:v>OGNUSDT</x:v>
      </x:c>
      <x:c r="B436" s="30" t="str">
        <x:v>OGN</x:v>
      </x:c>
      <x:c r="C436" s="30" t="str">
        <x:v>USDT</x:v>
      </x:c>
      <x:c r="D436" s="30" t="str">
        <x:v>TRADING</x:v>
      </x:c>
      <x:c r="E436" s="31" t="b">
        <x:v>1</x:v>
      </x:c>
      <x:c r="F436" s="32" t="n">
        <x:v>43839</x:v>
      </x:c>
      <x:c r="G436" s="32" t="n">
        <x:v>43839.999999988424</x:v>
      </x:c>
      <x:c r="H436" s="33" t="n">
        <x:f>IF(F436="","",('Summary'!$B$5-F436)/365.25)</x:f>
        <x:v>6.565400386911554</x:v>
      </x:c>
      <x:c r="I436" s="34" t="n">
        <x:v>0.01499</x:v>
      </x:c>
      <x:c r="J436" s="35" t="n">
        <x:v>-0.02218</x:v>
      </x:c>
      <x:c r="K436" s="36" t="n">
        <x:v>35408932</x:v>
      </x:c>
      <x:c r="L436" s="36" t="n">
        <x:v>533625.93525</x:v>
      </x:c>
      <x:c r="M436" s="37" t="n">
        <x:v>3816</x:v>
      </x:c>
      <x:c r="N436" s="34" t="n">
        <x:v>0.01499</x:v>
      </x:c>
      <x:c r="O436" s="34" t="n">
        <x:v>0.015</x:v>
      </x:c>
      <x:c r="P436" s="38" t="n">
        <x:f>IF(OR(N436="",O436="",N436=0,O436=0),"",(O436-N436)/((O436+N436)/2))</x:f>
        <x:v>0.0006668889629876354</x:v>
      </x:c>
      <x:c r="Q436" s="34" t="n">
        <x:v>0.01507038</x:v>
      </x:c>
      <x:c r="R436" s="34" t="n">
        <x:v>0.01538</x:v>
      </x:c>
      <x:c r="S436" s="34" t="n">
        <x:v>0.01479</x:v>
      </x:c>
      <x:c r="T436" s="32" t="n">
        <x:v>46236.01090114583</x:v>
      </x:c>
      <x:c r="U436" s="32" t="n">
        <x:v>46237.01090114583</x:v>
      </x:c>
      <x:c r="V436" s="34" t="n">
        <x:v>5</x:v>
      </x:c>
      <x:c r="W436" s="34" t="n">
        <x:v>1</x:v>
      </x:c>
      <x:c r="X436" s="34" t="n">
        <x:v>1</x:v>
      </x:c>
      <x:c r="Y436" s="34" t="n">
        <x:v>0.00001</x:v>
      </x:c>
      <x:c r="Z436" s="30" t="str">
        <x:f>IF(AND(D436="TRADING",I436&lt;&gt;"",L436&lt;&gt;"",M436&lt;&gt;"",N436&lt;&gt;"",O436&lt;&gt;""),"Yes","No")</x:f>
        <x:v>Yes</x:v>
      </x:c>
      <x:c r="AA436" s="39" t="str">
        <x:v>https://developers.binance.com/en/docs/catalog/core-trading-spot-trading/api/rest-api</x:v>
      </x:c>
    </x:row>
    <x:row r="437">
      <x:c r="A437" s="30" t="str">
        <x:v>OGUSDT</x:v>
      </x:c>
      <x:c r="B437" s="30" t="str">
        <x:v>OG</x:v>
      </x:c>
      <x:c r="C437" s="30" t="str">
        <x:v>USDT</x:v>
      </x:c>
      <x:c r="D437" s="30" t="str">
        <x:v>TRADING</x:v>
      </x:c>
      <x:c r="E437" s="31" t="b">
        <x:v>1</x:v>
      </x:c>
      <x:c r="F437" s="32" t="n">
        <x:v>44195</x:v>
      </x:c>
      <x:c r="G437" s="32" t="n">
        <x:v>44195.999999988424</x:v>
      </x:c>
      <x:c r="H437" s="33" t="n">
        <x:f>IF(F437="","",('Summary'!$B$5-F437)/365.25)</x:f>
        <x:v>5.590725506692525</x:v>
      </x:c>
      <x:c r="I437" s="34" t="n">
        <x:v>2.511</x:v>
      </x:c>
      <x:c r="J437" s="35" t="n">
        <x:v>-0.00199</x:v>
      </x:c>
      <x:c r="K437" s="36" t="n">
        <x:v>47857.3</x:v>
      </x:c>
      <x:c r="L437" s="36" t="n">
        <x:v>120519.6176</x:v>
      </x:c>
      <x:c r="M437" s="37" t="n">
        <x:v>1850</x:v>
      </x:c>
      <x:c r="N437" s="34" t="n">
        <x:v>2.51</x:v>
      </x:c>
      <x:c r="O437" s="34" t="n">
        <x:v>2.511</x:v>
      </x:c>
      <x:c r="P437" s="38" t="n">
        <x:f>IF(OR(N437="",O437="",N437=0,O437=0),"",(O437-N437)/((O437+N437)/2))</x:f>
        <x:v>0.0003983270264888803</x:v>
      </x:c>
      <x:c r="Q437" s="34" t="n">
        <x:v>2.5183121</x:v>
      </x:c>
      <x:c r="R437" s="34" t="n">
        <x:v>2.55</x:v>
      </x:c>
      <x:c r="S437" s="34" t="n">
        <x:v>2.499</x:v>
      </x:c>
      <x:c r="T437" s="32" t="n">
        <x:v>46236.01228962963</x:v>
      </x:c>
      <x:c r="U437" s="32" t="n">
        <x:v>46237.01228962963</x:v>
      </x:c>
      <x:c r="V437" s="34" t="n">
        <x:v>5</x:v>
      </x:c>
      <x:c r="W437" s="34" t="n">
        <x:v>0.1</x:v>
      </x:c>
      <x:c r="X437" s="34" t="n">
        <x:v>0.1</x:v>
      </x:c>
      <x:c r="Y437" s="34" t="n">
        <x:v>0.001</x:v>
      </x:c>
      <x:c r="Z437" s="30" t="str">
        <x:f>IF(AND(D437="TRADING",I437&lt;&gt;"",L437&lt;&gt;"",M437&lt;&gt;"",N437&lt;&gt;"",O437&lt;&gt;""),"Yes","No")</x:f>
        <x:v>Yes</x:v>
      </x:c>
      <x:c r="AA437" s="39" t="str">
        <x:v>https://developers.binance.com/en/docs/catalog/core-trading-spot-trading/api/rest-api</x:v>
      </x:c>
    </x:row>
    <x:row r="438">
      <x:c r="A438" s="30" t="str">
        <x:v>OMGUSDT</x:v>
      </x:c>
      <x:c r="B438" s="30" t="str">
        <x:v>OMG</x:v>
      </x:c>
      <x:c r="C438" s="30" t="str">
        <x:v>USDT</x:v>
      </x:c>
      <x:c r="D438" s="30" t="str">
        <x:v>BREAK</x:v>
      </x:c>
      <x:c r="E438" s="31" t="b">
        <x:v>1</x:v>
      </x:c>
      <x:c r="F438" s="32" t="n">
        <x:v>43558</x:v>
      </x:c>
      <x:c r="G438" s="32" t="n">
        <x:v>43558.999999988424</x:v>
      </x:c>
      <x:c r="H438" s="33" t="n">
        <x:f>IF(F438="","",('Summary'!$B$5-F438)/365.25)</x:f>
        <x:v>7.334736458095674</x:v>
      </x:c>
      <x:c r="I438" s="34" t="n">
        <x:v>0.383</x:v>
      </x:c>
      <x:c r="J438" s="35" t="n">
        <x:v>-0.00777</x:v>
      </x:c>
      <x:c r="K438" s="36" t="n">
        <x:v>1799285</x:v>
      </x:c>
      <x:c r="L438" s="36" t="n">
        <x:v>683758.0092</x:v>
      </x:c>
      <x:c r="M438" s="37" t="n">
        <x:v>4001</x:v>
      </x:c>
      <x:c r="N438" s="34" t="n">
        <x:v>0</x:v>
      </x:c>
      <x:c r="O438" s="34" t="n">
        <x:v>0</x:v>
      </x:c>
      <x:c r="P438" s="38" t="str">
        <x:f>IF(OR(N438="",O438="",N438=0,O438=0),"",(O438-N438)/((O438+N438)/2))</x:f>
      </x:c>
      <x:c r="Q438" s="34" t="n">
        <x:v>0.38001651</x:v>
      </x:c>
      <x:c r="R438" s="34" t="n">
        <x:v>0.387</x:v>
      </x:c>
      <x:c r="S438" s="34" t="n">
        <x:v>0.37</x:v>
      </x:c>
      <x:c r="T438" s="32" t="n">
        <x:v>46209.26112309028</x:v>
      </x:c>
      <x:c r="U438" s="32" t="n">
        <x:v>46210.26112309028</x:v>
      </x:c>
      <x:c r="V438" s="34" t="n">
        <x:v>5</x:v>
      </x:c>
      <x:c r="W438" s="34" t="n">
        <x:v>0.1</x:v>
      </x:c>
      <x:c r="X438" s="34" t="n">
        <x:v>0.1</x:v>
      </x:c>
      <x:c r="Y438" s="34" t="n">
        <x:v>0.001</x:v>
      </x:c>
      <x:c r="Z438" s="30" t="str">
        <x:f>IF(AND(D438="TRADING",I438&lt;&gt;"",L438&lt;&gt;"",M438&lt;&gt;"",N438&lt;&gt;"",O438&lt;&gt;""),"Yes","No")</x:f>
        <x:v>No</x:v>
      </x:c>
      <x:c r="AA438" s="39" t="str">
        <x:v>https://developers.binance.com/en/docs/catalog/core-trading-spot-trading/api/rest-api</x:v>
      </x:c>
    </x:row>
    <x:row r="439">
      <x:c r="A439" s="30" t="str">
        <x:v>OMNIUSDT</x:v>
      </x:c>
      <x:c r="B439" s="30" t="str">
        <x:v>OMNI</x:v>
      </x:c>
      <x:c r="C439" s="30" t="str">
        <x:v>USDT</x:v>
      </x:c>
      <x:c r="D439" s="30" t="str">
        <x:v>BREAK</x:v>
      </x:c>
      <x:c r="E439" s="31" t="b">
        <x:v>1</x:v>
      </x:c>
      <x:c r="F439" s="32" t="n">
        <x:v>45399</x:v>
      </x:c>
      <x:c r="G439" s="32" t="n">
        <x:v>45399.999999988424</x:v>
      </x:c>
      <x:c r="H439" s="33" t="n">
        <x:f>IF(F439="","",('Summary'!$B$5-F439)/365.25)</x:f>
        <x:v>2.2943531589854755</x:v>
      </x:c>
      <x:c r="I439" s="34" t="n">
        <x:v>3.88</x:v>
      </x:c>
      <x:c r="J439" s="35" t="n">
        <x:v>-0.06506</x:v>
      </x:c>
      <x:c r="K439" s="36" t="n">
        <x:v>281147.77</x:v>
      </x:c>
      <x:c r="L439" s="36" t="n">
        <x:v>1105809.5996</x:v>
      </x:c>
      <x:c r="M439" s="37" t="n">
        <x:v>4001</x:v>
      </x:c>
      <x:c r="N439" s="34" t="n">
        <x:v>0</x:v>
      </x:c>
      <x:c r="O439" s="34" t="n">
        <x:v>0</x:v>
      </x:c>
      <x:c r="P439" s="38" t="str">
        <x:f>IF(OR(N439="",O439="",N439=0,O439=0),"",(O439-N439)/((O439+N439)/2))</x:f>
      </x:c>
      <x:c r="Q439" s="34" t="n">
        <x:v>3.93319712</x:v>
      </x:c>
      <x:c r="R439" s="34" t="n">
        <x:v>4.17</x:v>
      </x:c>
      <x:c r="S439" s="34" t="n">
        <x:v>3.82</x:v>
      </x:c>
      <x:c r="T439" s="32" t="n">
        <x:v>46209.26112309028</x:v>
      </x:c>
      <x:c r="U439" s="32" t="n">
        <x:v>46210.26112309028</x:v>
      </x:c>
      <x:c r="V439" s="34" t="n">
        <x:v>5</x:v>
      </x:c>
      <x:c r="W439" s="34" t="n">
        <x:v>0.01</x:v>
      </x:c>
      <x:c r="X439" s="34" t="n">
        <x:v>0.01</x:v>
      </x:c>
      <x:c r="Y439" s="34" t="n">
        <x:v>0.01</x:v>
      </x:c>
      <x:c r="Z439" s="30" t="str">
        <x:f>IF(AND(D439="TRADING",I439&lt;&gt;"",L439&lt;&gt;"",M439&lt;&gt;"",N439&lt;&gt;"",O439&lt;&gt;""),"Yes","No")</x:f>
        <x:v>No</x:v>
      </x:c>
      <x:c r="AA439" s="39" t="str">
        <x:v>https://developers.binance.com/en/docs/catalog/core-trading-spot-trading/api/rest-api</x:v>
      </x:c>
    </x:row>
    <x:row r="440">
      <x:c r="A440" s="30" t="str">
        <x:v>OMUSDT</x:v>
      </x:c>
      <x:c r="B440" s="30" t="str">
        <x:v>OM</x:v>
      </x:c>
      <x:c r="C440" s="30" t="str">
        <x:v>USDT</x:v>
      </x:c>
      <x:c r="D440" s="30" t="str">
        <x:v>BREAK</x:v>
      </x:c>
      <x:c r="E440" s="31" t="b">
        <x:v>1</x:v>
      </x:c>
      <x:c r="F440" s="32" t="n">
        <x:v>44263</x:v>
      </x:c>
      <x:c r="G440" s="32" t="n">
        <x:v>44263.999999988424</x:v>
      </x:c>
      <x:c r="H440" s="33" t="n">
        <x:f>IF(F440="","",('Summary'!$B$5-F440)/365.25)</x:f>
        <x:v>5.404551653167543</x:v>
      </x:c>
      <x:c r="I440" s="34" t="n">
        <x:v>0.0669</x:v>
      </x:c>
      <x:c r="J440" s="35" t="n">
        <x:v>-0.05106</x:v>
      </x:c>
      <x:c r="K440" s="36" t="n">
        <x:v>8174967.2</x:v>
      </x:c>
      <x:c r="L440" s="36" t="n">
        <x:v>570825.51308</x:v>
      </x:c>
      <x:c r="M440" s="37" t="n">
        <x:v>4001</x:v>
      </x:c>
      <x:c r="N440" s="34" t="n">
        <x:v>0</x:v>
      </x:c>
      <x:c r="O440" s="34" t="n">
        <x:v>0</x:v>
      </x:c>
      <x:c r="P440" s="38" t="str">
        <x:f>IF(OR(N440="",O440="",N440=0,O440=0),"",(O440-N440)/((O440+N440)/2))</x:f>
      </x:c>
      <x:c r="Q440" s="34" t="n">
        <x:v>0.06982603</x:v>
      </x:c>
      <x:c r="R440" s="34" t="n">
        <x:v>0.0724</x:v>
      </x:c>
      <x:c r="S440" s="34" t="n">
        <x:v>0.066</x:v>
      </x:c>
      <x:c r="T440" s="32" t="n">
        <x:v>46209.26112309028</x:v>
      </x:c>
      <x:c r="U440" s="32" t="n">
        <x:v>46210.26112309028</x:v>
      </x:c>
      <x:c r="V440" s="34" t="n">
        <x:v>5</x:v>
      </x:c>
      <x:c r="W440" s="34" t="n">
        <x:v>0.1</x:v>
      </x:c>
      <x:c r="X440" s="34" t="n">
        <x:v>0.1</x:v>
      </x:c>
      <x:c r="Y440" s="34" t="n">
        <x:v>0.0001</x:v>
      </x:c>
      <x:c r="Z440" s="30" t="str">
        <x:f>IF(AND(D440="TRADING",I440&lt;&gt;"",L440&lt;&gt;"",M440&lt;&gt;"",N440&lt;&gt;"",O440&lt;&gt;""),"Yes","No")</x:f>
        <x:v>No</x:v>
      </x:c>
      <x:c r="AA440" s="39" t="str">
        <x:v>https://developers.binance.com/en/docs/catalog/core-trading-spot-trading/api/rest-api</x:v>
      </x:c>
    </x:row>
    <x:row r="441">
      <x:c r="A441" s="30" t="str">
        <x:v>ONDOUSDT</x:v>
      </x:c>
      <x:c r="B441" s="30" t="str">
        <x:v>ONDO</x:v>
      </x:c>
      <x:c r="C441" s="30" t="str">
        <x:v>USDT</x:v>
      </x:c>
      <x:c r="D441" s="30" t="str">
        <x:v>TRADING</x:v>
      </x:c>
      <x:c r="E441" s="31" t="b">
        <x:v>1</x:v>
      </x:c>
      <x:c r="F441" s="32" t="n">
        <x:v>45758</x:v>
      </x:c>
      <x:c r="G441" s="32" t="n">
        <x:v>45758.999999988424</x:v>
      </x:c>
      <x:c r="H441" s="33" t="n">
        <x:f>IF(F441="","",('Summary'!$B$5-F441)/365.25)</x:f>
        <x:v>1.3114647264050512</x:v>
      </x:c>
      <x:c r="I441" s="34" t="n">
        <x:v>0.3734</x:v>
      </x:c>
      <x:c r="J441" s="35" t="n">
        <x:v>-0.0202</x:v>
      </x:c>
      <x:c r="K441" s="36" t="n">
        <x:v>23601113.4</x:v>
      </x:c>
      <x:c r="L441" s="36" t="n">
        <x:v>9125255.51344</x:v>
      </x:c>
      <x:c r="M441" s="37" t="n">
        <x:v>61848</x:v>
      </x:c>
      <x:c r="N441" s="34" t="n">
        <x:v>0.3735</x:v>
      </x:c>
      <x:c r="O441" s="34" t="n">
        <x:v>0.3736</x:v>
      </x:c>
      <x:c r="P441" s="38" t="n">
        <x:f>IF(OR(N441="",O441="",N441=0,O441=0),"",(O441-N441)/((O441+N441)/2))</x:f>
        <x:v>0.000267701780216809</x:v>
      </x:c>
      <x:c r="Q441" s="34" t="n">
        <x:v>0.38664513</x:v>
      </x:c>
      <x:c r="R441" s="34" t="n">
        <x:v>0.3966</x:v>
      </x:c>
      <x:c r="S441" s="34" t="n">
        <x:v>0.3722</x:v>
      </x:c>
      <x:c r="T441" s="32" t="n">
        <x:v>46236.01248923611</x:v>
      </x:c>
      <x:c r="U441" s="32" t="n">
        <x:v>46237.01248923611</x:v>
      </x:c>
      <x:c r="V441" s="34" t="n">
        <x:v>5</x:v>
      </x:c>
      <x:c r="W441" s="34" t="n">
        <x:v>0.1</x:v>
      </x:c>
      <x:c r="X441" s="34" t="n">
        <x:v>0.1</x:v>
      </x:c>
      <x:c r="Y441" s="34" t="n">
        <x:v>0.0001</x:v>
      </x:c>
      <x:c r="Z441" s="30" t="str">
        <x:f>IF(AND(D441="TRADING",I441&lt;&gt;"",L441&lt;&gt;"",M441&lt;&gt;"",N441&lt;&gt;"",O441&lt;&gt;""),"Yes","No")</x:f>
        <x:v>Yes</x:v>
      </x:c>
      <x:c r="AA441" s="39" t="str">
        <x:v>https://developers.binance.com/en/docs/catalog/core-trading-spot-trading/api/rest-api</x:v>
      </x:c>
    </x:row>
    <x:row r="442">
      <x:c r="A442" s="30" t="str">
        <x:v>ONEUSDT</x:v>
      </x:c>
      <x:c r="B442" s="30" t="str">
        <x:v>ONE</x:v>
      </x:c>
      <x:c r="C442" s="30" t="str">
        <x:v>USDT</x:v>
      </x:c>
      <x:c r="D442" s="30" t="str">
        <x:v>TRADING</x:v>
      </x:c>
      <x:c r="E442" s="31" t="b">
        <x:v>1</x:v>
      </x:c>
      <x:c r="F442" s="32" t="n">
        <x:v>43617</x:v>
      </x:c>
      <x:c r="G442" s="32" t="n">
        <x:v>43617.999999988424</x:v>
      </x:c>
      <x:c r="H442" s="33" t="n">
        <x:f>IF(F442="","",('Summary'!$B$5-F442)/365.25)</x:f>
        <x:v>7.17320326165488</x:v>
      </x:c>
      <x:c r="I442" s="34" t="n">
        <x:v>0.00121</x:v>
      </x:c>
      <x:c r="J442" s="35" t="n">
        <x:v>0.016810000000000002</x:v>
      </x:c>
      <x:c r="K442" s="36" t="n">
        <x:v>147126907.6</x:v>
      </x:c>
      <x:c r="L442" s="36" t="n">
        <x:v>180525.228939</x:v>
      </x:c>
      <x:c r="M442" s="37" t="n">
        <x:v>1912</x:v>
      </x:c>
      <x:c r="N442" s="34" t="n">
        <x:v>0.00121</x:v>
      </x:c>
      <x:c r="O442" s="34" t="n">
        <x:v>0.00122</x:v>
      </x:c>
      <x:c r="P442" s="38" t="n">
        <x:f>IF(OR(N442="",O442="",N442=0,O442=0),"",(O442-N442)/((O442+N442)/2))</x:f>
        <x:v>0.00823045267489714</x:v>
      </x:c>
      <x:c r="Q442" s="34" t="n">
        <x:v>0.001227</x:v>
      </x:c>
      <x:c r="R442" s="34" t="n">
        <x:v>0.00126</x:v>
      </x:c>
      <x:c r="S442" s="34" t="n">
        <x:v>0.00118</x:v>
      </x:c>
      <x:c r="T442" s="32" t="n">
        <x:v>46236.01245381944</x:v>
      </x:c>
      <x:c r="U442" s="32" t="n">
        <x:v>46237.01245381944</x:v>
      </x:c>
      <x:c r="V442" s="34" t="n">
        <x:v>5</x:v>
      </x:c>
      <x:c r="W442" s="34" t="n">
        <x:v>0.1</x:v>
      </x:c>
      <x:c r="X442" s="34" t="n">
        <x:v>0.1</x:v>
      </x:c>
      <x:c r="Y442" s="34" t="n">
        <x:v>0.00001</x:v>
      </x:c>
      <x:c r="Z442" s="30" t="str">
        <x:f>IF(AND(D442="TRADING",I442&lt;&gt;"",L442&lt;&gt;"",M442&lt;&gt;"",N442&lt;&gt;"",O442&lt;&gt;""),"Yes","No")</x:f>
        <x:v>Yes</x:v>
      </x:c>
      <x:c r="AA442" s="39" t="str">
        <x:v>https://developers.binance.com/en/docs/catalog/core-trading-spot-trading/api/rest-api</x:v>
      </x:c>
    </x:row>
    <x:row r="443">
      <x:c r="A443" s="30" t="str">
        <x:v>ONGUSDT</x:v>
      </x:c>
      <x:c r="B443" s="30" t="str">
        <x:v>ONG</x:v>
      </x:c>
      <x:c r="C443" s="30" t="str">
        <x:v>USDT</x:v>
      </x:c>
      <x:c r="D443" s="30" t="str">
        <x:v>TRADING</x:v>
      </x:c>
      <x:c r="E443" s="31" t="b">
        <x:v>1</x:v>
      </x:c>
      <x:c r="F443" s="32" t="n">
        <x:v>43512</x:v>
      </x:c>
      <x:c r="G443" s="32" t="n">
        <x:v>43512.999999988424</x:v>
      </x:c>
      <x:c r="H443" s="33" t="n">
        <x:f>IF(F443="","",('Summary'!$B$5-F443)/365.25)</x:f>
        <x:v>7.460677594303751</x:v>
      </x:c>
      <x:c r="I443" s="34" t="n">
        <x:v>0.04211</x:v>
      </x:c>
      <x:c r="J443" s="35" t="n">
        <x:v>0.0031</x:v>
      </x:c>
      <x:c r="K443" s="36" t="n">
        <x:v>630960</x:v>
      </x:c>
      <x:c r="L443" s="36" t="n">
        <x:v>26611.1186</x:v>
      </x:c>
      <x:c r="M443" s="37" t="n">
        <x:v>315</x:v>
      </x:c>
      <x:c r="N443" s="34" t="n">
        <x:v>0.04206</x:v>
      </x:c>
      <x:c r="O443" s="34" t="n">
        <x:v>0.04211</x:v>
      </x:c>
      <x:c r="P443" s="38" t="n">
        <x:f>IF(OR(N443="",O443="",N443=0,O443=0),"",(O443-N443)/((O443+N443)/2))</x:f>
        <x:v>0.00118807175953431</x:v>
      </x:c>
      <x:c r="Q443" s="34" t="n">
        <x:v>0.0421756</x:v>
      </x:c>
      <x:c r="R443" s="34" t="n">
        <x:v>0.04245</x:v>
      </x:c>
      <x:c r="S443" s="34" t="n">
        <x:v>0.04185</x:v>
      </x:c>
      <x:c r="T443" s="32" t="n">
        <x:v>46236.01245388889</x:v>
      </x:c>
      <x:c r="U443" s="32" t="n">
        <x:v>46237.01245388889</x:v>
      </x:c>
      <x:c r="V443" s="34" t="n">
        <x:v>5</x:v>
      </x:c>
      <x:c r="W443" s="34" t="n">
        <x:v>1</x:v>
      </x:c>
      <x:c r="X443" s="34" t="n">
        <x:v>1</x:v>
      </x:c>
      <x:c r="Y443" s="34" t="n">
        <x:v>0.00001</x:v>
      </x:c>
      <x:c r="Z443" s="30" t="str">
        <x:f>IF(AND(D443="TRADING",I443&lt;&gt;"",L443&lt;&gt;"",M443&lt;&gt;"",N443&lt;&gt;"",O443&lt;&gt;""),"Yes","No")</x:f>
        <x:v>Yes</x:v>
      </x:c>
      <x:c r="AA443" s="39" t="str">
        <x:v>https://developers.binance.com/en/docs/catalog/core-trading-spot-trading/api/rest-api</x:v>
      </x:c>
    </x:row>
    <x:row r="444">
      <x:c r="A444" s="30" t="str">
        <x:v>ONTUSDT</x:v>
      </x:c>
      <x:c r="B444" s="30" t="str">
        <x:v>ONT</x:v>
      </x:c>
      <x:c r="C444" s="30" t="str">
        <x:v>USDT</x:v>
      </x:c>
      <x:c r="D444" s="30" t="str">
        <x:v>TRADING</x:v>
      </x:c>
      <x:c r="E444" s="31" t="b">
        <x:v>1</x:v>
      </x:c>
      <x:c r="F444" s="32" t="n">
        <x:v>43259</x:v>
      </x:c>
      <x:c r="G444" s="32" t="n">
        <x:v>43259.999999988424</x:v>
      </x:c>
      <x:c r="H444" s="33" t="n">
        <x:f>IF(F444="","",('Summary'!$B$5-F444)/365.25)</x:f>
        <x:v>8.153353843448173</x:v>
      </x:c>
      <x:c r="I444" s="34" t="n">
        <x:v>0.03754</x:v>
      </x:c>
      <x:c r="J444" s="35" t="n">
        <x:v>0.00321</x:v>
      </x:c>
      <x:c r="K444" s="36" t="n">
        <x:v>1706805</x:v>
      </x:c>
      <x:c r="L444" s="36" t="n">
        <x:v>64228.4474</x:v>
      </x:c>
      <x:c r="M444" s="37" t="n">
        <x:v>1069</x:v>
      </x:c>
      <x:c r="N444" s="34" t="n">
        <x:v>0.03756</x:v>
      </x:c>
      <x:c r="O444" s="34" t="n">
        <x:v>0.03758</x:v>
      </x:c>
      <x:c r="P444" s="38" t="n">
        <x:f>IF(OR(N444="",O444="",N444=0,O444=0),"",(O444-N444)/((O444+N444)/2))</x:f>
        <x:v>0.0005323396326856317</x:v>
      </x:c>
      <x:c r="Q444" s="34" t="n">
        <x:v>0.03763081</x:v>
      </x:c>
      <x:c r="R444" s="34" t="n">
        <x:v>0.03784</x:v>
      </x:c>
      <x:c r="S444" s="34" t="n">
        <x:v>0.03727</x:v>
      </x:c>
      <x:c r="T444" s="32" t="n">
        <x:v>46236.012476145836</x:v>
      </x:c>
      <x:c r="U444" s="32" t="n">
        <x:v>46237.012476145836</x:v>
      </x:c>
      <x:c r="V444" s="34" t="n">
        <x:v>5</x:v>
      </x:c>
      <x:c r="W444" s="34" t="n">
        <x:v>1</x:v>
      </x:c>
      <x:c r="X444" s="34" t="n">
        <x:v>1</x:v>
      </x:c>
      <x:c r="Y444" s="34" t="n">
        <x:v>0.00001</x:v>
      </x:c>
      <x:c r="Z444" s="30" t="str">
        <x:f>IF(AND(D444="TRADING",I444&lt;&gt;"",L444&lt;&gt;"",M444&lt;&gt;"",N444&lt;&gt;"",O444&lt;&gt;""),"Yes","No")</x:f>
        <x:v>Yes</x:v>
      </x:c>
      <x:c r="AA444" s="39" t="str">
        <x:v>https://developers.binance.com/en/docs/catalog/core-trading-spot-trading/api/rest-api</x:v>
      </x:c>
    </x:row>
    <x:row r="445">
      <x:c r="A445" s="30" t="str">
        <x:v>OOKIUSDT</x:v>
      </x:c>
      <x:c r="B445" s="30" t="str">
        <x:v>OOKI</x:v>
      </x:c>
      <x:c r="C445" s="30" t="str">
        <x:v>USDT</x:v>
      </x:c>
      <x:c r="D445" s="30" t="str">
        <x:v>BREAK</x:v>
      </x:c>
      <x:c r="E445" s="31" t="b">
        <x:v>1</x:v>
      </x:c>
      <x:c r="F445" s="32" t="n">
        <x:v>44554</x:v>
      </x:c>
      <x:c r="G445" s="32" t="n">
        <x:v>44554.999999988424</x:v>
      </x:c>
      <x:c r="H445" s="33" t="n">
        <x:f>IF(F445="","",('Summary'!$B$5-F445)/365.25)</x:f>
        <x:v>4.607837074112101</x:v>
      </x:c>
      <x:c r="I445" s="34" t="n">
        <x:v>0.000119</x:v>
      </x:c>
      <x:c r="J445" s="35" t="n">
        <x:v>-0.24684</x:v>
      </x:c>
      <x:c r="K445" s="36" t="n">
        <x:v>5406517123</x:v>
      </x:c>
      <x:c r="L445" s="36" t="n">
        <x:v>712370.498025</x:v>
      </x:c>
      <x:c r="M445" s="37" t="n">
        <x:v>4001</x:v>
      </x:c>
      <x:c r="N445" s="34" t="n">
        <x:v>0</x:v>
      </x:c>
      <x:c r="O445" s="34" t="n">
        <x:v>0</x:v>
      </x:c>
      <x:c r="P445" s="38" t="str">
        <x:f>IF(OR(N445="",O445="",N445=0,O445=0),"",(O445-N445)/((O445+N445)/2))</x:f>
      </x:c>
      <x:c r="Q445" s="34" t="n">
        <x:v>0.00013176</x:v>
      </x:c>
      <x:c r="R445" s="34" t="n">
        <x:v>0.000163</x:v>
      </x:c>
      <x:c r="S445" s="34" t="n">
        <x:v>0.000116</x:v>
      </x:c>
      <x:c r="T445" s="32" t="n">
        <x:v>46209.26112309028</x:v>
      </x:c>
      <x:c r="U445" s="32" t="n">
        <x:v>46210.26112309028</x:v>
      </x:c>
      <x:c r="V445" s="34" t="n">
        <x:v>5</x:v>
      </x:c>
      <x:c r="W445" s="34" t="n">
        <x:v>1</x:v>
      </x:c>
      <x:c r="X445" s="34" t="n">
        <x:v>1</x:v>
      </x:c>
      <x:c r="Y445" s="34" t="n">
        <x:v>0.000001</x:v>
      </x:c>
      <x:c r="Z445" s="30" t="str">
        <x:f>IF(AND(D445="TRADING",I445&lt;&gt;"",L445&lt;&gt;"",M445&lt;&gt;"",N445&lt;&gt;"",O445&lt;&gt;""),"Yes","No")</x:f>
        <x:v>No</x:v>
      </x:c>
      <x:c r="AA445" s="39" t="str">
        <x:v>https://developers.binance.com/en/docs/catalog/core-trading-spot-trading/api/rest-api</x:v>
      </x:c>
    </x:row>
    <x:row r="446">
      <x:c r="A446" s="30" t="str">
        <x:v>OPENUSDT</x:v>
      </x:c>
      <x:c r="B446" s="30" t="str">
        <x:v>OPEN</x:v>
      </x:c>
      <x:c r="C446" s="30" t="str">
        <x:v>USDT</x:v>
      </x:c>
      <x:c r="D446" s="30" t="str">
        <x:v>TRADING</x:v>
      </x:c>
      <x:c r="E446" s="31" t="b">
        <x:v>1</x:v>
      </x:c>
      <x:c r="F446" s="32" t="n">
        <x:v>45908</x:v>
      </x:c>
      <x:c r="G446" s="32" t="n">
        <x:v>45908.999999988424</x:v>
      </x:c>
      <x:c r="H446" s="33" t="n">
        <x:f>IF(F446="","",('Summary'!$B$5-F446)/365.25)</x:f>
        <x:v>0.900787108335236</x:v>
      </x:c>
      <x:c r="I446" s="34" t="n">
        <x:v>0.1799</x:v>
      </x:c>
      <x:c r="J446" s="35" t="n">
        <x:v>0.00503</x:v>
      </x:c>
      <x:c r="K446" s="36" t="n">
        <x:v>2420175.6</x:v>
      </x:c>
      <x:c r="L446" s="36" t="n">
        <x:v>431636.86523</x:v>
      </x:c>
      <x:c r="M446" s="37" t="n">
        <x:v>11150</x:v>
      </x:c>
      <x:c r="N446" s="34" t="n">
        <x:v>0.1798</x:v>
      </x:c>
      <x:c r="O446" s="34" t="n">
        <x:v>0.1799</x:v>
      </x:c>
      <x:c r="P446" s="38" t="n">
        <x:f>IF(OR(N446="",O446="",N446=0,O446=0),"",(O446-N446)/((O446+N446)/2))</x:f>
        <x:v>0.0005560189046428509</x:v>
      </x:c>
      <x:c r="Q446" s="34" t="n">
        <x:v>0.1783494</x:v>
      </x:c>
      <x:c r="R446" s="34" t="n">
        <x:v>0.182</x:v>
      </x:c>
      <x:c r="S446" s="34" t="n">
        <x:v>0.1745</x:v>
      </x:c>
      <x:c r="T446" s="32" t="n">
        <x:v>46236.010742743056</x:v>
      </x:c>
      <x:c r="U446" s="32" t="n">
        <x:v>46237.010742743056</x:v>
      </x:c>
      <x:c r="V446" s="34" t="n">
        <x:v>5</x:v>
      </x:c>
      <x:c r="W446" s="34" t="n">
        <x:v>0.1</x:v>
      </x:c>
      <x:c r="X446" s="34" t="n">
        <x:v>0.1</x:v>
      </x:c>
      <x:c r="Y446" s="34" t="n">
        <x:v>0.0001</x:v>
      </x:c>
      <x:c r="Z446" s="30" t="str">
        <x:f>IF(AND(D446="TRADING",I446&lt;&gt;"",L446&lt;&gt;"",M446&lt;&gt;"",N446&lt;&gt;"",O446&lt;&gt;""),"Yes","No")</x:f>
        <x:v>Yes</x:v>
      </x:c>
      <x:c r="AA446" s="39" t="str">
        <x:v>https://developers.binance.com/en/docs/catalog/core-trading-spot-trading/api/rest-api</x:v>
      </x:c>
    </x:row>
    <x:row r="447">
      <x:c r="A447" s="30" t="str">
        <x:v>OPGUSDT</x:v>
      </x:c>
      <x:c r="B447" s="30" t="str">
        <x:v>OPG</x:v>
      </x:c>
      <x:c r="C447" s="30" t="str">
        <x:v>USDT</x:v>
      </x:c>
      <x:c r="D447" s="30" t="str">
        <x:v>TRADING</x:v>
      </x:c>
      <x:c r="E447" s="31" t="b">
        <x:v>1</x:v>
      </x:c>
      <x:c r="F447" s="32" t="n">
        <x:v>46164</x:v>
      </x:c>
      <x:c r="G447" s="32" t="n">
        <x:v>46164.999999988424</x:v>
      </x:c>
      <x:c r="H447" s="33" t="n">
        <x:f>IF(F447="","",('Summary'!$B$5-F447)/365.25)</x:f>
        <x:v>0.19989730682941811</x:v>
      </x:c>
      <x:c r="I447" s="34" t="n">
        <x:v>0.0904</x:v>
      </x:c>
      <x:c r="J447" s="35" t="n">
        <x:v>-0.06321</x:v>
      </x:c>
      <x:c r="K447" s="36" t="n">
        <x:v>5999798.7</x:v>
      </x:c>
      <x:c r="L447" s="36" t="n">
        <x:v>558452.02154</x:v>
      </x:c>
      <x:c r="M447" s="37" t="n">
        <x:v>4368</x:v>
      </x:c>
      <x:c r="N447" s="34" t="n">
        <x:v>0.0903</x:v>
      </x:c>
      <x:c r="O447" s="34" t="n">
        <x:v>0.0904</x:v>
      </x:c>
      <x:c r="P447" s="38" t="n">
        <x:f>IF(OR(N447="",O447="",N447=0,O447=0),"",(O447-N447)/((O447+N447)/2))</x:f>
        <x:v>0.0011068068622024237</x:v>
      </x:c>
      <x:c r="Q447" s="34" t="n">
        <x:v>0.09307846</x:v>
      </x:c>
      <x:c r="R447" s="34" t="n">
        <x:v>0.0965</x:v>
      </x:c>
      <x:c r="S447" s="34" t="n">
        <x:v>0.0897</x:v>
      </x:c>
      <x:c r="T447" s="32" t="n">
        <x:v>46236.011756631946</x:v>
      </x:c>
      <x:c r="U447" s="32" t="n">
        <x:v>46237.011756631946</x:v>
      </x:c>
      <x:c r="V447" s="34" t="n">
        <x:v>5</x:v>
      </x:c>
      <x:c r="W447" s="34" t="n">
        <x:v>0.1</x:v>
      </x:c>
      <x:c r="X447" s="34" t="n">
        <x:v>0.1</x:v>
      </x:c>
      <x:c r="Y447" s="34" t="n">
        <x:v>0.0001</x:v>
      </x:c>
      <x:c r="Z447" s="30" t="str">
        <x:f>IF(AND(D447="TRADING",I447&lt;&gt;"",L447&lt;&gt;"",M447&lt;&gt;"",N447&lt;&gt;"",O447&lt;&gt;""),"Yes","No")</x:f>
        <x:v>Yes</x:v>
      </x:c>
      <x:c r="AA447" s="39" t="str">
        <x:v>https://developers.binance.com/en/docs/catalog/core-trading-spot-trading/api/rest-api</x:v>
      </x:c>
    </x:row>
    <x:row r="448">
      <x:c r="A448" s="30" t="str">
        <x:v>OPNUSDT</x:v>
      </x:c>
      <x:c r="B448" s="30" t="str">
        <x:v>OPN</x:v>
      </x:c>
      <x:c r="C448" s="30" t="str">
        <x:v>USDT</x:v>
      </x:c>
      <x:c r="D448" s="30" t="str">
        <x:v>TRADING</x:v>
      </x:c>
      <x:c r="E448" s="31" t="b">
        <x:v>1</x:v>
      </x:c>
      <x:c r="F448" s="32" t="n">
        <x:v>46086</x:v>
      </x:c>
      <x:c r="G448" s="32" t="n">
        <x:v>46086.999999988424</x:v>
      </x:c>
      <x:c r="H448" s="33" t="n">
        <x:f>IF(F448="","",('Summary'!$B$5-F448)/365.25)</x:f>
        <x:v>0.413449668225722</x:v>
      </x:c>
      <x:c r="I448" s="34" t="n">
        <x:v>0.0483</x:v>
      </x:c>
      <x:c r="J448" s="35" t="n">
        <x:v>0.02331</x:v>
      </x:c>
      <x:c r="K448" s="36" t="n">
        <x:v>9767858.5</x:v>
      </x:c>
      <x:c r="L448" s="36" t="n">
        <x:v>471949.81487</x:v>
      </x:c>
      <x:c r="M448" s="37" t="n">
        <x:v>7446</x:v>
      </x:c>
      <x:c r="N448" s="34" t="n">
        <x:v>0.0483</x:v>
      </x:c>
      <x:c r="O448" s="34" t="n">
        <x:v>0.0484</x:v>
      </x:c>
      <x:c r="P448" s="38" t="n">
        <x:f>IF(OR(N448="",O448="",N448=0,O448=0),"",(O448-N448)/((O448+N448)/2))</x:f>
        <x:v>0.0020682523267837832</x:v>
      </x:c>
      <x:c r="Q448" s="34" t="n">
        <x:v>0.04831661</x:v>
      </x:c>
      <x:c r="R448" s="34" t="n">
        <x:v>0.0494</x:v>
      </x:c>
      <x:c r="S448" s="34" t="n">
        <x:v>0.0466</x:v>
      </x:c>
      <x:c r="T448" s="32" t="n">
        <x:v>46236.01246773148</x:v>
      </x:c>
      <x:c r="U448" s="32" t="n">
        <x:v>46237.01246773148</x:v>
      </x:c>
      <x:c r="V448" s="34" t="n">
        <x:v>5</x:v>
      </x:c>
      <x:c r="W448" s="34" t="n">
        <x:v>0.1</x:v>
      </x:c>
      <x:c r="X448" s="34" t="n">
        <x:v>0.1</x:v>
      </x:c>
      <x:c r="Y448" s="34" t="n">
        <x:v>0.0001</x:v>
      </x:c>
      <x:c r="Z448" s="30" t="str">
        <x:f>IF(AND(D448="TRADING",I448&lt;&gt;"",L448&lt;&gt;"",M448&lt;&gt;"",N448&lt;&gt;"",O448&lt;&gt;""),"Yes","No")</x:f>
        <x:v>Yes</x:v>
      </x:c>
      <x:c r="AA448" s="39" t="str">
        <x:v>https://developers.binance.com/en/docs/catalog/core-trading-spot-trading/api/rest-api</x:v>
      </x:c>
    </x:row>
    <x:row r="449">
      <x:c r="A449" s="30" t="str">
        <x:v>OPUSDT</x:v>
      </x:c>
      <x:c r="B449" s="30" t="str">
        <x:v>OP</x:v>
      </x:c>
      <x:c r="C449" s="30" t="str">
        <x:v>USDT</x:v>
      </x:c>
      <x:c r="D449" s="30" t="str">
        <x:v>TRADING</x:v>
      </x:c>
      <x:c r="E449" s="31" t="b">
        <x:v>1</x:v>
      </x:c>
      <x:c r="F449" s="32" t="n">
        <x:v>44713</x:v>
      </x:c>
      <x:c r="G449" s="32" t="n">
        <x:v>44713.999999988424</x:v>
      </x:c>
      <x:c r="H449" s="33" t="n">
        <x:f>IF(F449="","",('Summary'!$B$5-F449)/365.25)</x:f>
        <x:v>4.172518798958097</x:v>
      </x:c>
      <x:c r="I449" s="34" t="n">
        <x:v>0.0865</x:v>
      </x:c>
      <x:c r="J449" s="35" t="n">
        <x:v>0.03966</x:v>
      </x:c>
      <x:c r="K449" s="36" t="n">
        <x:v>18970289.76</x:v>
      </x:c>
      <x:c r="L449" s="36" t="n">
        <x:v>1624166.689741</x:v>
      </x:c>
      <x:c r="M449" s="37" t="n">
        <x:v>10350</x:v>
      </x:c>
      <x:c r="N449" s="34" t="n">
        <x:v>0.0864</x:v>
      </x:c>
      <x:c r="O449" s="34" t="n">
        <x:v>0.0865</x:v>
      </x:c>
      <x:c r="P449" s="38" t="n">
        <x:f>IF(OR(N449="",O449="",N449=0,O449=0),"",(O449-N449)/((O449+N449)/2))</x:f>
        <x:v>0.0011567379988431346</x:v>
      </x:c>
      <x:c r="Q449" s="34" t="n">
        <x:v>0.08561634</x:v>
      </x:c>
      <x:c r="R449" s="34" t="n">
        <x:v>0.0879</x:v>
      </x:c>
      <x:c r="S449" s="34" t="n">
        <x:v>0.0829</x:v>
      </x:c>
      <x:c r="T449" s="32" t="n">
        <x:v>46236.01248052083</x:v>
      </x:c>
      <x:c r="U449" s="32" t="n">
        <x:v>46237.01248052083</x:v>
      </x:c>
      <x:c r="V449" s="34" t="n">
        <x:v>5</x:v>
      </x:c>
      <x:c r="W449" s="34" t="n">
        <x:v>0.01</x:v>
      </x:c>
      <x:c r="X449" s="34" t="n">
        <x:v>0.01</x:v>
      </x:c>
      <x:c r="Y449" s="34" t="n">
        <x:v>0.0001</x:v>
      </x:c>
      <x:c r="Z449" s="30" t="str">
        <x:f>IF(AND(D449="TRADING",I449&lt;&gt;"",L449&lt;&gt;"",M449&lt;&gt;"",N449&lt;&gt;"",O449&lt;&gt;""),"Yes","No")</x:f>
        <x:v>Yes</x:v>
      </x:c>
      <x:c r="AA449" s="39" t="str">
        <x:v>https://developers.binance.com/en/docs/catalog/core-trading-spot-trading/api/rest-api</x:v>
      </x:c>
    </x:row>
    <x:row r="450">
      <x:c r="A450" s="30" t="str">
        <x:v>ORCAUSDT</x:v>
      </x:c>
      <x:c r="B450" s="30" t="str">
        <x:v>ORCA</x:v>
      </x:c>
      <x:c r="C450" s="30" t="str">
        <x:v>USDT</x:v>
      </x:c>
      <x:c r="D450" s="30" t="str">
        <x:v>TRADING</x:v>
      </x:c>
      <x:c r="E450" s="31" t="b">
        <x:v>1</x:v>
      </x:c>
      <x:c r="F450" s="32" t="n">
        <x:v>45632</x:v>
      </x:c>
      <x:c r="G450" s="32" t="n">
        <x:v>45632.999999988424</x:v>
      </x:c>
      <x:c r="H450" s="33" t="n">
        <x:f>IF(F450="","",('Summary'!$B$5-F450)/365.25)</x:f>
        <x:v>1.656433925583696</x:v>
      </x:c>
      <x:c r="I450" s="34" t="n">
        <x:v>1.088</x:v>
      </x:c>
      <x:c r="J450" s="35" t="n">
        <x:v>-0.010009999999999998</x:v>
      </x:c>
      <x:c r="K450" s="36" t="n">
        <x:v>172802.64</x:v>
      </x:c>
      <x:c r="L450" s="36" t="n">
        <x:v>190427.78394</x:v>
      </x:c>
      <x:c r="M450" s="37" t="n">
        <x:v>2423</x:v>
      </x:c>
      <x:c r="N450" s="34" t="n">
        <x:v>1.088</x:v>
      </x:c>
      <x:c r="O450" s="34" t="n">
        <x:v>1.089</x:v>
      </x:c>
      <x:c r="P450" s="38" t="n">
        <x:f>IF(OR(N450="",O450="",N450=0,O450=0),"",(O450-N450)/((O450+N450)/2))</x:f>
        <x:v>0.0009186954524574092</x:v>
      </x:c>
      <x:c r="Q450" s="34" t="n">
        <x:v>1.1019958</x:v>
      </x:c>
      <x:c r="R450" s="34" t="n">
        <x:v>1.119</x:v>
      </x:c>
      <x:c r="S450" s="34" t="n">
        <x:v>1.088</x:v>
      </x:c>
      <x:c r="T450" s="32" t="n">
        <x:v>46236.01247638889</x:v>
      </x:c>
      <x:c r="U450" s="32" t="n">
        <x:v>46237.01247638889</x:v>
      </x:c>
      <x:c r="V450" s="34" t="n">
        <x:v>5</x:v>
      </x:c>
      <x:c r="W450" s="34" t="n">
        <x:v>0.01</x:v>
      </x:c>
      <x:c r="X450" s="34" t="n">
        <x:v>0.01</x:v>
      </x:c>
      <x:c r="Y450" s="34" t="n">
        <x:v>0.001</x:v>
      </x:c>
      <x:c r="Z450" s="30" t="str">
        <x:f>IF(AND(D450="TRADING",I450&lt;&gt;"",L450&lt;&gt;"",M450&lt;&gt;"",N450&lt;&gt;"",O450&lt;&gt;""),"Yes","No")</x:f>
        <x:v>Yes</x:v>
      </x:c>
      <x:c r="AA450" s="39" t="str">
        <x:v>https://developers.binance.com/en/docs/catalog/core-trading-spot-trading/api/rest-api</x:v>
      </x:c>
    </x:row>
    <x:row r="451">
      <x:c r="A451" s="30" t="str">
        <x:v>ORCLBUSDT</x:v>
      </x:c>
      <x:c r="B451" s="30" t="str">
        <x:v>ORCLB</x:v>
      </x:c>
      <x:c r="C451" s="30" t="str">
        <x:v>USDT</x:v>
      </x:c>
      <x:c r="D451" s="30" t="str">
        <x:v>TRADING</x:v>
      </x:c>
      <x:c r="E451" s="31" t="b">
        <x:v>1</x:v>
      </x:c>
      <x:c r="F451" s="32" t="n">
        <x:v>46225</x:v>
      </x:c>
      <x:c r="G451" s="32" t="n">
        <x:v>46225.999999988424</x:v>
      </x:c>
      <x:c r="H451" s="33" t="n">
        <x:f>IF(F451="","",('Summary'!$B$5-F451)/365.25)</x:f>
        <x:v>0.03288840881435992</x:v>
      </x:c>
      <x:c r="I451" s="34" t="n">
        <x:v>132.13</x:v>
      </x:c>
      <x:c r="J451" s="35" t="n">
        <x:v>0.02031</x:v>
      </x:c>
      <x:c r="K451" s="36" t="n">
        <x:v>336.894</x:v>
      </x:c>
      <x:c r="L451" s="36" t="n">
        <x:v>44153.05412</x:v>
      </x:c>
      <x:c r="M451" s="37" t="n">
        <x:v>1591</x:v>
      </x:c>
      <x:c r="N451" s="34" t="n">
        <x:v>132.03</x:v>
      </x:c>
      <x:c r="O451" s="34" t="n">
        <x:v>132.25</x:v>
      </x:c>
      <x:c r="P451" s="38" t="n">
        <x:f>IF(OR(N451="",O451="",N451=0,O451=0),"",(O451-N451)/((O451+N451)/2))</x:f>
        <x:v>0.0016649008627213477</x:v>
      </x:c>
      <x:c r="Q451" s="34" t="n">
        <x:v>131.05918811</x:v>
      </x:c>
      <x:c r="R451" s="34" t="n">
        <x:v>132.42</x:v>
      </x:c>
      <x:c r="S451" s="34" t="n">
        <x:v>129.45</x:v>
      </x:c>
      <x:c r="T451" s="32" t="n">
        <x:v>46236.01246748843</x:v>
      </x:c>
      <x:c r="U451" s="32" t="n">
        <x:v>46237.01246748843</x:v>
      </x:c>
      <x:c r="V451" s="34" t="n">
        <x:v>5</x:v>
      </x:c>
      <x:c r="W451" s="34" t="n">
        <x:v>0.001</x:v>
      </x:c>
      <x:c r="X451" s="34" t="n">
        <x:v>0.001</x:v>
      </x:c>
      <x:c r="Y451" s="34" t="n">
        <x:v>0.01</x:v>
      </x:c>
      <x:c r="Z451" s="30" t="str">
        <x:f>IF(AND(D451="TRADING",I451&lt;&gt;"",L451&lt;&gt;"",M451&lt;&gt;"",N451&lt;&gt;"",O451&lt;&gt;""),"Yes","No")</x:f>
        <x:v>Yes</x:v>
      </x:c>
      <x:c r="AA451" s="39" t="str">
        <x:v>https://developers.binance.com/en/docs/catalog/core-trading-spot-trading/api/rest-api</x:v>
      </x:c>
    </x:row>
    <x:row r="452">
      <x:c r="A452" s="30" t="str">
        <x:v>ORDIUSDT</x:v>
      </x:c>
      <x:c r="B452" s="30" t="str">
        <x:v>ORDI</x:v>
      </x:c>
      <x:c r="C452" s="30" t="str">
        <x:v>USDT</x:v>
      </x:c>
      <x:c r="D452" s="30" t="str">
        <x:v>TRADING</x:v>
      </x:c>
      <x:c r="E452" s="31" t="b">
        <x:v>1</x:v>
      </x:c>
      <x:c r="F452" s="32" t="n">
        <x:v>45237</x:v>
      </x:c>
      <x:c r="G452" s="32" t="n">
        <x:v>45237.999999988424</x:v>
      </x:c>
      <x:c r="H452" s="33" t="n">
        <x:f>IF(F452="","",('Summary'!$B$5-F452)/365.25)</x:f>
        <x:v>2.737884986500876</x:v>
      </x:c>
      <x:c r="I452" s="34" t="n">
        <x:v>3.559</x:v>
      </x:c>
      <x:c r="J452" s="35" t="n">
        <x:v>-0.023330000000000004</x:v>
      </x:c>
      <x:c r="K452" s="36" t="n">
        <x:v>815951.18</x:v>
      </x:c>
      <x:c r="L452" s="36" t="n">
        <x:v>2946223.54063</x:v>
      </x:c>
      <x:c r="M452" s="37" t="n">
        <x:v>35465</x:v>
      </x:c>
      <x:c r="N452" s="34" t="n">
        <x:v>3.558</x:v>
      </x:c>
      <x:c r="O452" s="34" t="n">
        <x:v>3.559</x:v>
      </x:c>
      <x:c r="P452" s="38" t="n">
        <x:f>IF(OR(N452="",O452="",N452=0,O452=0),"",(O452-N452)/((O452+N452)/2))</x:f>
        <x:v>0.00028101728256297144</x:v>
      </x:c>
      <x:c r="Q452" s="34" t="n">
        <x:v>3.61078409</x:v>
      </x:c>
      <x:c r="R452" s="34" t="n">
        <x:v>3.756</x:v>
      </x:c>
      <x:c r="S452" s="34" t="n">
        <x:v>3.493</x:v>
      </x:c>
      <x:c r="T452" s="32" t="n">
        <x:v>46236.01247858796</x:v>
      </x:c>
      <x:c r="U452" s="32" t="n">
        <x:v>46237.01247858796</x:v>
      </x:c>
      <x:c r="V452" s="34" t="n">
        <x:v>5</x:v>
      </x:c>
      <x:c r="W452" s="34" t="n">
        <x:v>0.01</x:v>
      </x:c>
      <x:c r="X452" s="34" t="n">
        <x:v>0.01</x:v>
      </x:c>
      <x:c r="Y452" s="34" t="n">
        <x:v>0.001</x:v>
      </x:c>
      <x:c r="Z452" s="30" t="str">
        <x:f>IF(AND(D452="TRADING",I452&lt;&gt;"",L452&lt;&gt;"",M452&lt;&gt;"",N452&lt;&gt;"",O452&lt;&gt;""),"Yes","No")</x:f>
        <x:v>Yes</x:v>
      </x:c>
      <x:c r="AA452" s="39" t="str">
        <x:v>https://developers.binance.com/en/docs/catalog/core-trading-spot-trading/api/rest-api</x:v>
      </x:c>
    </x:row>
    <x:row r="453">
      <x:c r="A453" s="30" t="str">
        <x:v>ORNUSDT</x:v>
      </x:c>
      <x:c r="B453" s="30" t="str">
        <x:v>ORN</x:v>
      </x:c>
      <x:c r="C453" s="30" t="str">
        <x:v>USDT</x:v>
      </x:c>
      <x:c r="D453" s="30" t="str">
        <x:v>BREAK</x:v>
      </x:c>
      <x:c r="E453" s="31" t="b">
        <x:v>1</x:v>
      </x:c>
      <x:c r="F453" s="32" t="n">
        <x:v>44104</x:v>
      </x:c>
      <x:c r="G453" s="32" t="n">
        <x:v>44104.999999988424</x:v>
      </x:c>
      <x:c r="H453" s="33" t="n">
        <x:f>IF(F453="","",('Summary'!$B$5-F453)/365.25)</x:f>
        <x:v>5.839869928321547</x:v>
      </x:c>
      <x:c r="I453" s="34" t="n">
        <x:v>1.053</x:v>
      </x:c>
      <x:c r="J453" s="35" t="n">
        <x:v>0.01641</x:v>
      </x:c>
      <x:c r="K453" s="36" t="n">
        <x:v>477794</x:v>
      </x:c>
      <x:c r="L453" s="36" t="n">
        <x:v>495531.1276</x:v>
      </x:c>
      <x:c r="M453" s="37" t="n">
        <x:v>4001</x:v>
      </x:c>
      <x:c r="N453" s="34" t="n">
        <x:v>0</x:v>
      </x:c>
      <x:c r="O453" s="34" t="n">
        <x:v>0</x:v>
      </x:c>
      <x:c r="P453" s="38" t="str">
        <x:f>IF(OR(N453="",O453="",N453=0,O453=0),"",(O453-N453)/((O453+N453)/2))</x:f>
      </x:c>
      <x:c r="Q453" s="34" t="n">
        <x:v>1.03712296</x:v>
      </x:c>
      <x:c r="R453" s="34" t="n">
        <x:v>1.06</x:v>
      </x:c>
      <x:c r="S453" s="34" t="n">
        <x:v>1.022</x:v>
      </x:c>
      <x:c r="T453" s="32" t="n">
        <x:v>46209.26112309028</x:v>
      </x:c>
      <x:c r="U453" s="32" t="n">
        <x:v>46210.26112309028</x:v>
      </x:c>
      <x:c r="V453" s="34" t="n">
        <x:v>5</x:v>
      </x:c>
      <x:c r="W453" s="34" t="n">
        <x:v>0.1</x:v>
      </x:c>
      <x:c r="X453" s="34" t="n">
        <x:v>0.1</x:v>
      </x:c>
      <x:c r="Y453" s="34" t="n">
        <x:v>0.001</x:v>
      </x:c>
      <x:c r="Z453" s="30" t="str">
        <x:f>IF(AND(D453="TRADING",I453&lt;&gt;"",L453&lt;&gt;"",M453&lt;&gt;"",N453&lt;&gt;"",O453&lt;&gt;""),"Yes","No")</x:f>
        <x:v>No</x:v>
      </x:c>
      <x:c r="AA453" s="39" t="str">
        <x:v>https://developers.binance.com/en/docs/catalog/core-trading-spot-trading/api/rest-api</x:v>
      </x:c>
    </x:row>
    <x:row r="454">
      <x:c r="A454" s="30" t="str">
        <x:v>OSMOUSDT</x:v>
      </x:c>
      <x:c r="B454" s="30" t="str">
        <x:v>OSMO</x:v>
      </x:c>
      <x:c r="C454" s="30" t="str">
        <x:v>USDT</x:v>
      </x:c>
      <x:c r="D454" s="30" t="str">
        <x:v>TRADING</x:v>
      </x:c>
      <x:c r="E454" s="31" t="b">
        <x:v>1</x:v>
      </x:c>
      <x:c r="F454" s="32" t="n">
        <x:v>44862</x:v>
      </x:c>
      <x:c r="G454" s="32" t="n">
        <x:v>44862.999999988424</x:v>
      </x:c>
      <x:c r="H454" s="33" t="n">
        <x:f>IF(F454="","",('Summary'!$B$5-F454)/365.25)</x:f>
        <x:v>3.764579031675414</x:v>
      </x:c>
      <x:c r="I454" s="34" t="n">
        <x:v>0.0274</x:v>
      </x:c>
      <x:c r="J454" s="35" t="n">
        <x:v>0.00366</x:v>
      </x:c>
      <x:c r="K454" s="36" t="n">
        <x:v>3499235.15</x:v>
      </x:c>
      <x:c r="L454" s="36" t="n">
        <x:v>95548.941676</x:v>
      </x:c>
      <x:c r="M454" s="37" t="n">
        <x:v>1865</x:v>
      </x:c>
      <x:c r="N454" s="34" t="n">
        <x:v>0.0273</x:v>
      </x:c>
      <x:c r="O454" s="34" t="n">
        <x:v>0.0274</x:v>
      </x:c>
      <x:c r="P454" s="38" t="n">
        <x:f>IF(OR(N454="",O454="",N454=0,O454=0),"",(O454-N454)/((O454+N454)/2))</x:f>
        <x:v>0.003656307129798881</x:v>
      </x:c>
      <x:c r="Q454" s="34" t="n">
        <x:v>0.02730566</x:v>
      </x:c>
      <x:c r="R454" s="34" t="n">
        <x:v>0.0276</x:v>
      </x:c>
      <x:c r="S454" s="34" t="n">
        <x:v>0.027</x:v>
      </x:c>
      <x:c r="T454" s="32" t="n">
        <x:v>46236.011850462965</x:v>
      </x:c>
      <x:c r="U454" s="32" t="n">
        <x:v>46237.011850462965</x:v>
      </x:c>
      <x:c r="V454" s="34" t="n">
        <x:v>5</x:v>
      </x:c>
      <x:c r="W454" s="34" t="n">
        <x:v>0.01</x:v>
      </x:c>
      <x:c r="X454" s="34" t="n">
        <x:v>0.01</x:v>
      </x:c>
      <x:c r="Y454" s="34" t="n">
        <x:v>0.0001</x:v>
      </x:c>
      <x:c r="Z454" s="30" t="str">
        <x:f>IF(AND(D454="TRADING",I454&lt;&gt;"",L454&lt;&gt;"",M454&lt;&gt;"",N454&lt;&gt;"",O454&lt;&gt;""),"Yes","No")</x:f>
        <x:v>Yes</x:v>
      </x:c>
      <x:c r="AA454" s="39" t="str">
        <x:v>https://developers.binance.com/en/docs/catalog/core-trading-spot-trading/api/rest-api</x:v>
      </x:c>
    </x:row>
    <x:row r="455">
      <x:c r="A455" s="30" t="str">
        <x:v>OXTUSDT</x:v>
      </x:c>
      <x:c r="B455" s="30" t="str">
        <x:v>OXT</x:v>
      </x:c>
      <x:c r="C455" s="30" t="str">
        <x:v>USDT</x:v>
      </x:c>
      <x:c r="D455" s="30" t="str">
        <x:v>BREAK</x:v>
      </x:c>
      <x:c r="E455" s="31" t="b">
        <x:v>1</x:v>
      </x:c>
      <x:c r="F455" s="32" t="n">
        <x:v>44095</x:v>
      </x:c>
      <x:c r="G455" s="32" t="n">
        <x:v>44095.999999988424</x:v>
      </x:c>
      <x:c r="H455" s="33" t="n">
        <x:f>IF(F455="","",('Summary'!$B$5-F455)/365.25)</x:f>
        <x:v>5.8645105854057356</x:v>
      </x:c>
      <x:c r="I455" s="34" t="n">
        <x:v>0.0094</x:v>
      </x:c>
      <x:c r="J455" s="35" t="n">
        <x:v>-0.040819999999999995</x:v>
      </x:c>
      <x:c r="K455" s="36" t="n">
        <x:v>64824189</x:v>
      </x:c>
      <x:c r="L455" s="36" t="n">
        <x:v>646795.506</x:v>
      </x:c>
      <x:c r="M455" s="37" t="n">
        <x:v>8754</x:v>
      </x:c>
      <x:c r="N455" s="34" t="n">
        <x:v>0</x:v>
      </x:c>
      <x:c r="O455" s="34" t="n">
        <x:v>0</x:v>
      </x:c>
      <x:c r="P455" s="38" t="str">
        <x:f>IF(OR(N455="",O455="",N455=0,O455=0),"",(O455-N455)/((O455+N455)/2))</x:f>
      </x:c>
      <x:c r="Q455" s="34" t="n">
        <x:v>0.00997769</x:v>
      </x:c>
      <x:c r="R455" s="34" t="n">
        <x:v>0.0124</x:v>
      </x:c>
      <x:c r="S455" s="34" t="n">
        <x:v>0.0092</x:v>
      </x:c>
      <x:c r="T455" s="32" t="n">
        <x:v>46209.26112309028</x:v>
      </x:c>
      <x:c r="U455" s="32" t="n">
        <x:v>46210.26112309028</x:v>
      </x:c>
      <x:c r="V455" s="34" t="n">
        <x:v>5</x:v>
      </x:c>
      <x:c r="W455" s="34" t="n">
        <x:v>1</x:v>
      </x:c>
      <x:c r="X455" s="34" t="n">
        <x:v>1</x:v>
      </x:c>
      <x:c r="Y455" s="34" t="n">
        <x:v>0.0001</x:v>
      </x:c>
      <x:c r="Z455" s="30" t="str">
        <x:f>IF(AND(D455="TRADING",I455&lt;&gt;"",L455&lt;&gt;"",M455&lt;&gt;"",N455&lt;&gt;"",O455&lt;&gt;""),"Yes","No")</x:f>
        <x:v>No</x:v>
      </x:c>
      <x:c r="AA455" s="39" t="str">
        <x:v>https://developers.binance.com/en/docs/catalog/core-trading-spot-trading/api/rest-api</x:v>
      </x:c>
    </x:row>
    <x:row r="456">
      <x:c r="A456" s="30" t="str">
        <x:v>PARTIUSDT</x:v>
      </x:c>
      <x:c r="B456" s="30" t="str">
        <x:v>PARTI</x:v>
      </x:c>
      <x:c r="C456" s="30" t="str">
        <x:v>USDT</x:v>
      </x:c>
      <x:c r="D456" s="30" t="str">
        <x:v>TRADING</x:v>
      </x:c>
      <x:c r="E456" s="31" t="b">
        <x:v>1</x:v>
      </x:c>
      <x:c r="F456" s="32" t="n">
        <x:v>45741</x:v>
      </x:c>
      <x:c r="G456" s="32" t="n">
        <x:v>45741.999999988424</x:v>
      </x:c>
      <x:c r="H456" s="33" t="n">
        <x:f>IF(F456="","",('Summary'!$B$5-F456)/365.25)</x:f>
        <x:v>1.358008189786297</x:v>
      </x:c>
      <x:c r="I456" s="34" t="n">
        <x:v>0.0244</x:v>
      </x:c>
      <x:c r="J456" s="35" t="n">
        <x:v>0.0041199999999999995</x:v>
      </x:c>
      <x:c r="K456" s="36" t="n">
        <x:v>33355988.3</x:v>
      </x:c>
      <x:c r="L456" s="36" t="n">
        <x:v>802520.48957</x:v>
      </x:c>
      <x:c r="M456" s="37" t="n">
        <x:v>10391</x:v>
      </x:c>
      <x:c r="N456" s="34" t="n">
        <x:v>0.0243</x:v>
      </x:c>
      <x:c r="O456" s="34" t="n">
        <x:v>0.0244</x:v>
      </x:c>
      <x:c r="P456" s="38" t="n">
        <x:f>IF(OR(N456="",O456="",N456=0,O456=0),"",(O456-N456)/((O456+N456)/2))</x:f>
        <x:v>0.004106776180698269</x:v>
      </x:c>
      <x:c r="Q456" s="34" t="n">
        <x:v>0.02405926</x:v>
      </x:c>
      <x:c r="R456" s="34" t="n">
        <x:v>0.0247</x:v>
      </x:c>
      <x:c r="S456" s="34" t="n">
        <x:v>0.0234</x:v>
      </x:c>
      <x:c r="T456" s="32" t="n">
        <x:v>46236.0124533912</x:v>
      </x:c>
      <x:c r="U456" s="32" t="n">
        <x:v>46237.0124533912</x:v>
      </x:c>
      <x:c r="V456" s="34" t="n">
        <x:v>5</x:v>
      </x:c>
      <x:c r="W456" s="34" t="n">
        <x:v>0.1</x:v>
      </x:c>
      <x:c r="X456" s="34" t="n">
        <x:v>0.1</x:v>
      </x:c>
      <x:c r="Y456" s="34" t="n">
        <x:v>0.0001</x:v>
      </x:c>
      <x:c r="Z456" s="30" t="str">
        <x:f>IF(AND(D456="TRADING",I456&lt;&gt;"",L456&lt;&gt;"",M456&lt;&gt;"",N456&lt;&gt;"",O456&lt;&gt;""),"Yes","No")</x:f>
        <x:v>Yes</x:v>
      </x:c>
      <x:c r="AA456" s="39" t="str">
        <x:v>https://developers.binance.com/en/docs/catalog/core-trading-spot-trading/api/rest-api</x:v>
      </x:c>
    </x:row>
    <x:row r="457">
      <x:c r="A457" s="30" t="str">
        <x:v>PAXGUSDT</x:v>
      </x:c>
      <x:c r="B457" s="30" t="str">
        <x:v>PAXG</x:v>
      </x:c>
      <x:c r="C457" s="30" t="str">
        <x:v>USDT</x:v>
      </x:c>
      <x:c r="D457" s="30" t="str">
        <x:v>TRADING</x:v>
      </x:c>
      <x:c r="E457" s="31" t="b">
        <x:v>1</x:v>
      </x:c>
      <x:c r="F457" s="32" t="n">
        <x:v>44071</x:v>
      </x:c>
      <x:c r="G457" s="32" t="n">
        <x:v>44071.999999988424</x:v>
      </x:c>
      <x:c r="H457" s="33" t="n">
        <x:f>IF(F457="","",('Summary'!$B$5-F457)/365.25)</x:f>
        <x:v>5.930219004296906</x:v>
      </x:c>
      <x:c r="I457" s="34" t="n">
        <x:v>4067.95</x:v>
      </x:c>
      <x:c r="J457" s="35" t="n">
        <x:v>0.00464</x:v>
      </x:c>
      <x:c r="K457" s="36" t="n">
        <x:v>1412.3895</x:v>
      </x:c>
      <x:c r="L457" s="36" t="n">
        <x:v>5739751.118874</x:v>
      </x:c>
      <x:c r="M457" s="37" t="n">
        <x:v>12180</x:v>
      </x:c>
      <x:c r="N457" s="34" t="n">
        <x:v>4067.94</x:v>
      </x:c>
      <x:c r="O457" s="34" t="n">
        <x:v>4067.95</x:v>
      </x:c>
      <x:c r="P457" s="38" t="n">
        <x:f>IF(OR(N457="",O457="",N457=0,O457=0),"",(O457-N457)/((O457+N457)/2))</x:f>
        <x:v>0.0000024582436585950726</x:v>
      </x:c>
      <x:c r="Q457" s="34" t="n">
        <x:v>4063.85853114</x:v>
      </x:c>
      <x:c r="R457" s="34" t="n">
        <x:v>4082.88</x:v>
      </x:c>
      <x:c r="S457" s="34" t="n">
        <x:v>4049.16</x:v>
      </x:c>
      <x:c r="T457" s="32" t="n">
        <x:v>46236.01246302083</x:v>
      </x:c>
      <x:c r="U457" s="32" t="n">
        <x:v>46237.01246302083</x:v>
      </x:c>
      <x:c r="V457" s="34" t="n">
        <x:v>5</x:v>
      </x:c>
      <x:c r="W457" s="34" t="n">
        <x:v>0.0001</x:v>
      </x:c>
      <x:c r="X457" s="34" t="n">
        <x:v>0.0001</x:v>
      </x:c>
      <x:c r="Y457" s="34" t="n">
        <x:v>0.01</x:v>
      </x:c>
      <x:c r="Z457" s="30" t="str">
        <x:f>IF(AND(D457="TRADING",I457&lt;&gt;"",L457&lt;&gt;"",M457&lt;&gt;"",N457&lt;&gt;"",O457&lt;&gt;""),"Yes","No")</x:f>
        <x:v>Yes</x:v>
      </x:c>
      <x:c r="AA457" s="39" t="str">
        <x:v>https://developers.binance.com/en/docs/catalog/core-trading-spot-trading/api/rest-api</x:v>
      </x:c>
    </x:row>
    <x:row r="458">
      <x:c r="A458" s="30" t="str">
        <x:v>PAXUSDT</x:v>
      </x:c>
      <x:c r="B458" s="30" t="str">
        <x:v>PAX</x:v>
      </x:c>
      <x:c r="C458" s="30" t="str">
        <x:v>USDT</x:v>
      </x:c>
      <x:c r="D458" s="30" t="str">
        <x:v>BREAK</x:v>
      </x:c>
      <x:c r="E458" s="31" t="b">
        <x:v>1</x:v>
      </x:c>
      <x:c r="F458" s="32" t="n">
        <x:v>43377</x:v>
      </x:c>
      <x:c r="G458" s="32" t="n">
        <x:v>43377.999999988424</x:v>
      </x:c>
      <x:c r="H458" s="33" t="n">
        <x:f>IF(F458="","",('Summary'!$B$5-F458)/365.25)</x:f>
        <x:v>7.830287450566584</x:v>
      </x:c>
      <x:c r="I458" s="34" t="n">
        <x:v>0</x:v>
      </x:c>
      <x:c r="J458" s="35" t="n">
        <x:v>0</x:v>
      </x:c>
      <x:c r="K458" s="36" t="n">
        <x:v>0</x:v>
      </x:c>
      <x:c r="L458" s="36" t="n">
        <x:v>0</x:v>
      </x:c>
      <x:c r="M458" s="37" t="n">
        <x:v>0</x:v>
      </x:c>
      <x:c r="N458" s="34" t="n">
        <x:v>0</x:v>
      </x:c>
      <x:c r="O458" s="34" t="n">
        <x:v>0</x:v>
      </x:c>
      <x:c r="P458" s="38" t="str">
        <x:f>IF(OR(N458="",O458="",N458=0,O458=0),"",(O458-N458)/((O458+N458)/2))</x:f>
      </x:c>
      <x:c r="Q458" s="34" t="n">
        <x:v>0</x:v>
      </x:c>
      <x:c r="R458" s="34" t="n">
        <x:v>0</x:v>
      </x:c>
      <x:c r="S458" s="34" t="n">
        <x:v>0</x:v>
      </x:c>
      <x:c r="T458" s="32" t="n">
        <x:v>46209.26112309028</x:v>
      </x:c>
      <x:c r="U458" s="32" t="n">
        <x:v>46210.26112309028</x:v>
      </x:c>
      <x:c r="V458" s="34" t="n">
        <x:v>10</x:v>
      </x:c>
      <x:c r="W458" s="34" t="n">
        <x:v>0.01</x:v>
      </x:c>
      <x:c r="X458" s="34" t="n">
        <x:v>0.01</x:v>
      </x:c>
      <x:c r="Y458" s="34" t="n">
        <x:v>0.0001</x:v>
      </x:c>
      <x:c r="Z458" s="30" t="str">
        <x:f>IF(AND(D458="TRADING",I458&lt;&gt;"",L458&lt;&gt;"",M458&lt;&gt;"",N458&lt;&gt;"",O458&lt;&gt;""),"Yes","No")</x:f>
        <x:v>No</x:v>
      </x:c>
      <x:c r="AA458" s="39" t="str">
        <x:v>https://developers.binance.com/en/docs/catalog/core-trading-spot-trading/api/rest-api</x:v>
      </x:c>
    </x:row>
    <x:row r="459">
      <x:c r="A459" s="30" t="str">
        <x:v>PDAUSDT</x:v>
      </x:c>
      <x:c r="B459" s="30" t="str">
        <x:v>PDA</x:v>
      </x:c>
      <x:c r="C459" s="30" t="str">
        <x:v>USDT</x:v>
      </x:c>
      <x:c r="D459" s="30" t="str">
        <x:v>BREAK</x:v>
      </x:c>
      <x:c r="E459" s="31" t="b">
        <x:v>1</x:v>
      </x:c>
      <x:c r="F459" s="32" t="n">
        <x:v>45352</x:v>
      </x:c>
      <x:c r="G459" s="32" t="n">
        <x:v>45352.999999988424</x:v>
      </x:c>
      <x:c r="H459" s="33" t="n">
        <x:f>IF(F459="","",('Summary'!$B$5-F459)/365.25)</x:f>
        <x:v>2.4230321459806845</x:v>
      </x:c>
      <x:c r="I459" s="34" t="n">
        <x:v>0.00977</x:v>
      </x:c>
      <x:c r="J459" s="35" t="n">
        <x:v>-0.057859999999999995</x:v>
      </x:c>
      <x:c r="K459" s="36" t="n">
        <x:v>52449576.3</x:v>
      </x:c>
      <x:c r="L459" s="36" t="n">
        <x:v>533148.086122</x:v>
      </x:c>
      <x:c r="M459" s="37" t="n">
        <x:v>4001</x:v>
      </x:c>
      <x:c r="N459" s="34" t="n">
        <x:v>0</x:v>
      </x:c>
      <x:c r="O459" s="34" t="n">
        <x:v>0</x:v>
      </x:c>
      <x:c r="P459" s="38" t="str">
        <x:f>IF(OR(N459="",O459="",N459=0,O459=0),"",(O459-N459)/((O459+N459)/2))</x:f>
      </x:c>
      <x:c r="Q459" s="34" t="n">
        <x:v>0.01016496</x:v>
      </x:c>
      <x:c r="R459" s="34" t="n">
        <x:v>0.0118</x:v>
      </x:c>
      <x:c r="S459" s="34" t="n">
        <x:v>0.0085</x:v>
      </x:c>
      <x:c r="T459" s="32" t="n">
        <x:v>46209.26112309028</x:v>
      </x:c>
      <x:c r="U459" s="32" t="n">
        <x:v>46210.26112309028</x:v>
      </x:c>
      <x:c r="V459" s="34" t="n">
        <x:v>5</x:v>
      </x:c>
      <x:c r="W459" s="34" t="n">
        <x:v>0.1</x:v>
      </x:c>
      <x:c r="X459" s="34" t="n">
        <x:v>0.1</x:v>
      </x:c>
      <x:c r="Y459" s="34" t="n">
        <x:v>0.00001</x:v>
      </x:c>
      <x:c r="Z459" s="30" t="str">
        <x:f>IF(AND(D459="TRADING",I459&lt;&gt;"",L459&lt;&gt;"",M459&lt;&gt;"",N459&lt;&gt;"",O459&lt;&gt;""),"Yes","No")</x:f>
        <x:v>No</x:v>
      </x:c>
      <x:c r="AA459" s="39" t="str">
        <x:v>https://developers.binance.com/en/docs/catalog/core-trading-spot-trading/api/rest-api</x:v>
      </x:c>
    </x:row>
    <x:row r="460">
      <x:c r="A460" s="30" t="str">
        <x:v>PENDLEUSDT</x:v>
      </x:c>
      <x:c r="B460" s="30" t="str">
        <x:v>PENDLE</x:v>
      </x:c>
      <x:c r="C460" s="30" t="str">
        <x:v>USDT</x:v>
      </x:c>
      <x:c r="D460" s="30" t="str">
        <x:v>TRADING</x:v>
      </x:c>
      <x:c r="E460" s="31" t="b">
        <x:v>1</x:v>
      </x:c>
      <x:c r="F460" s="32" t="n">
        <x:v>45110</x:v>
      </x:c>
      <x:c r="G460" s="32" t="n">
        <x:v>45110.999999988424</x:v>
      </x:c>
      <x:c r="H460" s="33" t="n">
        <x:f>IF(F460="","",('Summary'!$B$5-F460)/365.25)</x:f>
        <x:v>3.085592036466653</x:v>
      </x:c>
      <x:c r="I460" s="34" t="n">
        <x:v>1.383</x:v>
      </x:c>
      <x:c r="J460" s="35" t="n">
        <x:v>-0.00575</x:v>
      </x:c>
      <x:c r="K460" s="36" t="n">
        <x:v>698995.8</x:v>
      </x:c>
      <x:c r="L460" s="36" t="n">
        <x:v>968863.9615</x:v>
      </x:c>
      <x:c r="M460" s="37" t="n">
        <x:v>10165</x:v>
      </x:c>
      <x:c r="N460" s="34" t="n">
        <x:v>1.381</x:v>
      </x:c>
      <x:c r="O460" s="34" t="n">
        <x:v>1.382</x:v>
      </x:c>
      <x:c r="P460" s="38" t="n">
        <x:f>IF(OR(N460="",O460="",N460=0,O460=0),"",(O460-N460)/((O460+N460)/2))</x:f>
        <x:v>0.0007238508867172565</x:v>
      </x:c>
      <x:c r="Q460" s="34" t="n">
        <x:v>1.3860798</x:v>
      </x:c>
      <x:c r="R460" s="34" t="n">
        <x:v>1.415</x:v>
      </x:c>
      <x:c r="S460" s="34" t="n">
        <x:v>1.364</x:v>
      </x:c>
      <x:c r="T460" s="32" t="n">
        <x:v>46236.01247872685</x:v>
      </x:c>
      <x:c r="U460" s="32" t="n">
        <x:v>46237.01247872685</x:v>
      </x:c>
      <x:c r="V460" s="34" t="n">
        <x:v>5</x:v>
      </x:c>
      <x:c r="W460" s="34" t="n">
        <x:v>0.1</x:v>
      </x:c>
      <x:c r="X460" s="34" t="n">
        <x:v>0.1</x:v>
      </x:c>
      <x:c r="Y460" s="34" t="n">
        <x:v>0.001</x:v>
      </x:c>
      <x:c r="Z460" s="30" t="str">
        <x:f>IF(AND(D460="TRADING",I460&lt;&gt;"",L460&lt;&gt;"",M460&lt;&gt;"",N460&lt;&gt;"",O460&lt;&gt;""),"Yes","No")</x:f>
        <x:v>Yes</x:v>
      </x:c>
      <x:c r="AA460" s="39" t="str">
        <x:v>https://developers.binance.com/en/docs/catalog/core-trading-spot-trading/api/rest-api</x:v>
      </x:c>
    </x:row>
    <x:row r="461">
      <x:c r="A461" s="30" t="str">
        <x:v>PENGUUSDT</x:v>
      </x:c>
      <x:c r="B461" s="30" t="str">
        <x:v>PENGU</x:v>
      </x:c>
      <x:c r="C461" s="30" t="str">
        <x:v>USDT</x:v>
      </x:c>
      <x:c r="D461" s="30" t="str">
        <x:v>TRADING</x:v>
      </x:c>
      <x:c r="E461" s="31" t="b">
        <x:v>1</x:v>
      </x:c>
      <x:c r="F461" s="32" t="n">
        <x:v>45643</x:v>
      </x:c>
      <x:c r="G461" s="32" t="n">
        <x:v>45643.999999988424</x:v>
      </x:c>
      <x:c r="H461" s="33" t="n">
        <x:f>IF(F461="","",('Summary'!$B$5-F461)/365.25)</x:f>
        <x:v>1.626317566925243</x:v>
      </x:c>
      <x:c r="I461" s="34" t="n">
        <x:v>0.006139</x:v>
      </x:c>
      <x:c r="J461" s="35" t="n">
        <x:v>0.03107</x:v>
      </x:c>
      <x:c r="K461" s="36" t="n">
        <x:v>872178941</x:v>
      </x:c>
      <x:c r="L461" s="36" t="n">
        <x:v>5364902.988046</x:v>
      </x:c>
      <x:c r="M461" s="37" t="n">
        <x:v>91078</x:v>
      </x:c>
      <x:c r="N461" s="34" t="n">
        <x:v>0.006139</x:v>
      </x:c>
      <x:c r="O461" s="34" t="n">
        <x:v>0.00614</x:v>
      </x:c>
      <x:c r="P461" s="38" t="n">
        <x:f>IF(OR(N461="",O461="",N461=0,O461=0),"",(O461-N461)/((O461+N461)/2))</x:f>
        <x:v>0.00016287971333158488</x:v>
      </x:c>
      <x:c r="Q461" s="34" t="n">
        <x:v>0.00615115</x:v>
      </x:c>
      <x:c r="R461" s="34" t="n">
        <x:v>0.006276</x:v>
      </x:c>
      <x:c r="S461" s="34" t="n">
        <x:v>0.005954</x:v>
      </x:c>
      <x:c r="T461" s="32" t="n">
        <x:v>46236.01248582176</x:v>
      </x:c>
      <x:c r="U461" s="32" t="n">
        <x:v>46237.01248582176</x:v>
      </x:c>
      <x:c r="V461" s="34" t="n">
        <x:v>1</x:v>
      </x:c>
      <x:c r="W461" s="34" t="n">
        <x:v>1</x:v>
      </x:c>
      <x:c r="X461" s="34" t="n">
        <x:v>1</x:v>
      </x:c>
      <x:c r="Y461" s="34" t="n">
        <x:v>0.000001</x:v>
      </x:c>
      <x:c r="Z461" s="30" t="str">
        <x:f>IF(AND(D461="TRADING",I461&lt;&gt;"",L461&lt;&gt;"",M461&lt;&gt;"",N461&lt;&gt;"",O461&lt;&gt;""),"Yes","No")</x:f>
        <x:v>Yes</x:v>
      </x:c>
      <x:c r="AA461" s="39" t="str">
        <x:v>https://developers.binance.com/en/docs/catalog/core-trading-spot-trading/api/rest-api</x:v>
      </x:c>
    </x:row>
    <x:row r="462">
      <x:c r="A462" s="30" t="str">
        <x:v>PEOPLEUSDT</x:v>
      </x:c>
      <x:c r="B462" s="30" t="str">
        <x:v>PEOPLE</x:v>
      </x:c>
      <x:c r="C462" s="30" t="str">
        <x:v>USDT</x:v>
      </x:c>
      <x:c r="D462" s="30" t="str">
        <x:v>TRADING</x:v>
      </x:c>
      <x:c r="E462" s="31" t="b">
        <x:v>1</x:v>
      </x:c>
      <x:c r="F462" s="32" t="n">
        <x:v>44553</x:v>
      </x:c>
      <x:c r="G462" s="32" t="n">
        <x:v>44553.999999988424</x:v>
      </x:c>
      <x:c r="H462" s="33" t="n">
        <x:f>IF(F462="","",('Summary'!$B$5-F462)/365.25)</x:f>
        <x:v>4.610574924899233</x:v>
      </x:c>
      <x:c r="I462" s="34" t="n">
        <x:v>0.00698</x:v>
      </x:c>
      <x:c r="J462" s="35" t="n">
        <x:v>0.0755</x:v>
      </x:c>
      <x:c r="K462" s="36" t="n">
        <x:v>202331896.1</x:v>
      </x:c>
      <x:c r="L462" s="36" t="n">
        <x:v>1430553.426282</x:v>
      </x:c>
      <x:c r="M462" s="37" t="n">
        <x:v>25123</x:v>
      </x:c>
      <x:c r="N462" s="34" t="n">
        <x:v>0.00699</x:v>
      </x:c>
      <x:c r="O462" s="34" t="n">
        <x:v>0.007</x:v>
      </x:c>
      <x:c r="P462" s="38" t="n">
        <x:f>IF(OR(N462="",O462="",N462=0,O462=0),"",(O462-N462)/((O462+N462)/2))</x:f>
        <x:v>0.0014295925661187221</x:v>
      </x:c>
      <x:c r="Q462" s="34" t="n">
        <x:v>0.00707033</x:v>
      </x:c>
      <x:c r="R462" s="34" t="n">
        <x:v>0.00744</x:v>
      </x:c>
      <x:c r="S462" s="34" t="n">
        <x:v>0.00649</x:v>
      </x:c>
      <x:c r="T462" s="32" t="n">
        <x:v>46236.01235954861</x:v>
      </x:c>
      <x:c r="U462" s="32" t="n">
        <x:v>46237.01235954861</x:v>
      </x:c>
      <x:c r="V462" s="34" t="n">
        <x:v>1</x:v>
      </x:c>
      <x:c r="W462" s="34" t="n">
        <x:v>0.1</x:v>
      </x:c>
      <x:c r="X462" s="34" t="n">
        <x:v>0.1</x:v>
      </x:c>
      <x:c r="Y462" s="34" t="n">
        <x:v>0.00001</x:v>
      </x:c>
      <x:c r="Z462" s="30" t="str">
        <x:f>IF(AND(D462="TRADING",I462&lt;&gt;"",L462&lt;&gt;"",M462&lt;&gt;"",N462&lt;&gt;"",O462&lt;&gt;""),"Yes","No")</x:f>
        <x:v>Yes</x:v>
      </x:c>
      <x:c r="AA462" s="39" t="str">
        <x:v>https://developers.binance.com/en/docs/catalog/core-trading-spot-trading/api/rest-api</x:v>
      </x:c>
    </x:row>
    <x:row r="463">
      <x:c r="A463" s="30" t="str">
        <x:v>PEPEUSDT</x:v>
      </x:c>
      <x:c r="B463" s="30" t="str">
        <x:v>PEPE</x:v>
      </x:c>
      <x:c r="C463" s="30" t="str">
        <x:v>USDT</x:v>
      </x:c>
      <x:c r="D463" s="30" t="str">
        <x:v>TRADING</x:v>
      </x:c>
      <x:c r="E463" s="31" t="b">
        <x:v>1</x:v>
      </x:c>
      <x:c r="F463" s="32" t="n">
        <x:v>45051</x:v>
      </x:c>
      <x:c r="G463" s="32" t="n">
        <x:v>45051.999999988424</x:v>
      </x:c>
      <x:c r="H463" s="33" t="n">
        <x:f>IF(F463="","",('Summary'!$B$5-F463)/365.25)</x:f>
        <x:v>3.2471252329074467</x:v>
      </x:c>
      <x:c r="I463" s="34" t="n">
        <x:v>0.0000029</x:v>
      </x:c>
      <x:c r="J463" s="35" t="n">
        <x:v>0.03943</x:v>
      </x:c>
      <x:c r="K463" s="36" t="n">
        <x:v>5552002960187</x:v>
      </x:c>
      <x:c r="L463" s="36" t="n">
        <x:v>16074369.86358642</x:v>
      </x:c>
      <x:c r="M463" s="37" t="n">
        <x:v>53100</x:v>
      </x:c>
      <x:c r="N463" s="34" t="n">
        <x:v>0.00000289</x:v>
      </x:c>
      <x:c r="O463" s="34" t="n">
        <x:v>0.0000029</x:v>
      </x:c>
      <x:c r="P463" s="38" t="n">
        <x:f>IF(OR(N463="",O463="",N463=0,O463=0),"",(O463-N463)/((O463+N463)/2))</x:f>
        <x:v>0.003454231433506158</x:v>
      </x:c>
      <x:c r="Q463" s="34" t="n">
        <x:v>0.0000029</x:v>
      </x:c>
      <x:c r="R463" s="34" t="n">
        <x:v>0.00000297</x:v>
      </x:c>
      <x:c r="S463" s="34" t="n">
        <x:v>0.00000278</x:v>
      </x:c>
      <x:c r="T463" s="32" t="n">
        <x:v>46236.01248858796</x:v>
      </x:c>
      <x:c r="U463" s="32" t="n">
        <x:v>46237.01248858796</x:v>
      </x:c>
      <x:c r="V463" s="34" t="n">
        <x:v>1</x:v>
      </x:c>
      <x:c r="W463" s="34" t="n">
        <x:v>1</x:v>
      </x:c>
      <x:c r="X463" s="34" t="n">
        <x:v>1</x:v>
      </x:c>
      <x:c r="Y463" s="34" t="n">
        <x:v>1e-8</x:v>
      </x:c>
      <x:c r="Z463" s="30" t="str">
        <x:f>IF(AND(D463="TRADING",I463&lt;&gt;"",L463&lt;&gt;"",M463&lt;&gt;"",N463&lt;&gt;"",O463&lt;&gt;""),"Yes","No")</x:f>
        <x:v>Yes</x:v>
      </x:c>
      <x:c r="AA463" s="39" t="str">
        <x:v>https://developers.binance.com/en/docs/catalog/core-trading-spot-trading/api/rest-api</x:v>
      </x:c>
    </x:row>
    <x:row r="464">
      <x:c r="A464" s="30" t="str">
        <x:v>PERLUSDT</x:v>
      </x:c>
      <x:c r="B464" s="30" t="str">
        <x:v>PERL</x:v>
      </x:c>
      <x:c r="C464" s="30" t="str">
        <x:v>USDT</x:v>
      </x:c>
      <x:c r="D464" s="30" t="str">
        <x:v>BREAK</x:v>
      </x:c>
      <x:c r="E464" s="31" t="b">
        <x:v>1</x:v>
      </x:c>
      <x:c r="F464" s="32" t="n">
        <x:v>43703</x:v>
      </x:c>
      <x:c r="G464" s="32" t="n">
        <x:v>43703.999999988424</x:v>
      </x:c>
      <x:c r="H464" s="33" t="n">
        <x:f>IF(F464="","",('Summary'!$B$5-F464)/365.25)</x:f>
        <x:v>6.9377480939615195</x:v>
      </x:c>
      <x:c r="I464" s="34" t="n">
        <x:v>0.0046</x:v>
      </x:c>
      <x:c r="J464" s="35" t="n">
        <x:v>-0.20553000000000002</x:v>
      </x:c>
      <x:c r="K464" s="36" t="n">
        <x:v>67198312.8</x:v>
      </x:c>
      <x:c r="L464" s="36" t="n">
        <x:v>359284.384562</x:v>
      </x:c>
      <x:c r="M464" s="37" t="n">
        <x:v>4001</x:v>
      </x:c>
      <x:c r="N464" s="34" t="n">
        <x:v>0</x:v>
      </x:c>
      <x:c r="O464" s="34" t="n">
        <x:v>0</x:v>
      </x:c>
      <x:c r="P464" s="38" t="str">
        <x:f>IF(OR(N464="",O464="",N464=0,O464=0),"",(O464-N464)/((O464+N464)/2))</x:f>
      </x:c>
      <x:c r="Q464" s="34" t="n">
        <x:v>0.00534663</x:v>
      </x:c>
      <x:c r="R464" s="34" t="n">
        <x:v>0.00585</x:v>
      </x:c>
      <x:c r="S464" s="34" t="n">
        <x:v>0.00453</x:v>
      </x:c>
      <x:c r="T464" s="32" t="n">
        <x:v>46209.26112309028</x:v>
      </x:c>
      <x:c r="U464" s="32" t="n">
        <x:v>46210.26112309028</x:v>
      </x:c>
      <x:c r="V464" s="34" t="n">
        <x:v>5</x:v>
      </x:c>
      <x:c r="W464" s="34" t="n">
        <x:v>0.1</x:v>
      </x:c>
      <x:c r="X464" s="34" t="n">
        <x:v>0.1</x:v>
      </x:c>
      <x:c r="Y464" s="34" t="n">
        <x:v>0.00001</x:v>
      </x:c>
      <x:c r="Z464" s="30" t="str">
        <x:f>IF(AND(D464="TRADING",I464&lt;&gt;"",L464&lt;&gt;"",M464&lt;&gt;"",N464&lt;&gt;"",O464&lt;&gt;""),"Yes","No")</x:f>
        <x:v>No</x:v>
      </x:c>
      <x:c r="AA464" s="39" t="str">
        <x:v>https://developers.binance.com/en/docs/catalog/core-trading-spot-trading/api/rest-api</x:v>
      </x:c>
    </x:row>
    <x:row r="465">
      <x:c r="A465" s="30" t="str">
        <x:v>PERPUSDT</x:v>
      </x:c>
      <x:c r="B465" s="30" t="str">
        <x:v>PERP</x:v>
      </x:c>
      <x:c r="C465" s="30" t="str">
        <x:v>USDT</x:v>
      </x:c>
      <x:c r="D465" s="30" t="str">
        <x:v>BREAK</x:v>
      </x:c>
      <x:c r="E465" s="31" t="b">
        <x:v>1</x:v>
      </x:c>
      <x:c r="F465" s="32" t="n">
        <x:v>44274</x:v>
      </x:c>
      <x:c r="G465" s="32" t="n">
        <x:v>44274.999999988424</x:v>
      </x:c>
      <x:c r="H465" s="33" t="n">
        <x:f>IF(F465="","",('Summary'!$B$5-F465)/365.25)</x:f>
        <x:v>5.374435294509089</x:v>
      </x:c>
      <x:c r="I465" s="34" t="n">
        <x:v>0.125</x:v>
      </x:c>
      <x:c r="J465" s="35" t="n">
        <x:v>0.046900000000000004</x:v>
      </x:c>
      <x:c r="K465" s="36" t="n">
        <x:v>774608.56</x:v>
      </x:c>
      <x:c r="L465" s="36" t="n">
        <x:v>95210.092318</x:v>
      </x:c>
      <x:c r="M465" s="37" t="n">
        <x:v>4001</x:v>
      </x:c>
      <x:c r="N465" s="34" t="n">
        <x:v>0</x:v>
      </x:c>
      <x:c r="O465" s="34" t="n">
        <x:v>0</x:v>
      </x:c>
      <x:c r="P465" s="38" t="str">
        <x:f>IF(OR(N465="",O465="",N465=0,O465=0),"",(O465-N465)/((O465+N465)/2))</x:f>
      </x:c>
      <x:c r="Q465" s="34" t="n">
        <x:v>0.12291381</x:v>
      </x:c>
      <x:c r="R465" s="34" t="n">
        <x:v>0.1273</x:v>
      </x:c>
      <x:c r="S465" s="34" t="n">
        <x:v>0.1188</x:v>
      </x:c>
      <x:c r="T465" s="32" t="n">
        <x:v>46209.26112309028</x:v>
      </x:c>
      <x:c r="U465" s="32" t="n">
        <x:v>46210.26112309028</x:v>
      </x:c>
      <x:c r="V465" s="34" t="n">
        <x:v>5</x:v>
      </x:c>
      <x:c r="W465" s="34" t="n">
        <x:v>0.01</x:v>
      </x:c>
      <x:c r="X465" s="34" t="n">
        <x:v>0.01</x:v>
      </x:c>
      <x:c r="Y465" s="34" t="n">
        <x:v>0.0001</x:v>
      </x:c>
      <x:c r="Z465" s="30" t="str">
        <x:f>IF(AND(D465="TRADING",I465&lt;&gt;"",L465&lt;&gt;"",M465&lt;&gt;"",N465&lt;&gt;"",O465&lt;&gt;""),"Yes","No")</x:f>
        <x:v>No</x:v>
      </x:c>
      <x:c r="AA465" s="39" t="str">
        <x:v>https://developers.binance.com/en/docs/catalog/core-trading-spot-trading/api/rest-api</x:v>
      </x:c>
    </x:row>
    <x:row r="466">
      <x:c r="A466" s="30" t="str">
        <x:v>PHAUSDT</x:v>
      </x:c>
      <x:c r="B466" s="30" t="str">
        <x:v>PHA</x:v>
      </x:c>
      <x:c r="C466" s="30" t="str">
        <x:v>USDT</x:v>
      </x:c>
      <x:c r="D466" s="30" t="str">
        <x:v>TRADING</x:v>
      </x:c>
      <x:c r="E466" s="31" t="b">
        <x:v>1</x:v>
      </x:c>
      <x:c r="F466" s="32" t="n">
        <x:v>44372</x:v>
      </x:c>
      <x:c r="G466" s="32" t="n">
        <x:v>44372.999999988424</x:v>
      </x:c>
      <x:c r="H466" s="33" t="n">
        <x:f>IF(F466="","",('Summary'!$B$5-F466)/365.25)</x:f>
        <x:v>5.106125917370144</x:v>
      </x:c>
      <x:c r="I466" s="34" t="n">
        <x:v>0.02</x:v>
      </x:c>
      <x:c r="J466" s="35" t="n">
        <x:v>0.020409999999999998</x:v>
      </x:c>
      <x:c r="K466" s="36" t="n">
        <x:v>12700963</x:v>
      </x:c>
      <x:c r="L466" s="36" t="n">
        <x:v>252757.0919</x:v>
      </x:c>
      <x:c r="M466" s="37" t="n">
        <x:v>1853</x:v>
      </x:c>
      <x:c r="N466" s="34" t="n">
        <x:v>0.0199</x:v>
      </x:c>
      <x:c r="O466" s="34" t="n">
        <x:v>0.02</x:v>
      </x:c>
      <x:c r="P466" s="38" t="n">
        <x:f>IF(OR(N466="",O466="",N466=0,O466=0),"",(O466-N466)/((O466+N466)/2))</x:f>
        <x:v>0.005012531328320771</x:v>
      </x:c>
      <x:c r="Q466" s="34" t="n">
        <x:v>0.01990062</x:v>
      </x:c>
      <x:c r="R466" s="34" t="n">
        <x:v>0.0203</x:v>
      </x:c>
      <x:c r="S466" s="34" t="n">
        <x:v>0.0196</x:v>
      </x:c>
      <x:c r="T466" s="32" t="n">
        <x:v>46236.01233199074</x:v>
      </x:c>
      <x:c r="U466" s="32" t="n">
        <x:v>46237.01233199074</x:v>
      </x:c>
      <x:c r="V466" s="34" t="n">
        <x:v>5</x:v>
      </x:c>
      <x:c r="W466" s="34" t="n">
        <x:v>1</x:v>
      </x:c>
      <x:c r="X466" s="34" t="n">
        <x:v>1</x:v>
      </x:c>
      <x:c r="Y466" s="34" t="n">
        <x:v>0.0001</x:v>
      </x:c>
      <x:c r="Z466" s="30" t="str">
        <x:f>IF(AND(D466="TRADING",I466&lt;&gt;"",L466&lt;&gt;"",M466&lt;&gt;"",N466&lt;&gt;"",O466&lt;&gt;""),"Yes","No")</x:f>
        <x:v>Yes</x:v>
      </x:c>
      <x:c r="AA466" s="39" t="str">
        <x:v>https://developers.binance.com/en/docs/catalog/core-trading-spot-trading/api/rest-api</x:v>
      </x:c>
    </x:row>
    <x:row r="467">
      <x:c r="A467" s="30" t="str">
        <x:v>PHBUSDT</x:v>
      </x:c>
      <x:c r="B467" s="30" t="str">
        <x:v>PHB</x:v>
      </x:c>
      <x:c r="C467" s="30" t="str">
        <x:v>USDT</x:v>
      </x:c>
      <x:c r="D467" s="30" t="str">
        <x:v>BREAK</x:v>
      </x:c>
      <x:c r="E467" s="31" t="b">
        <x:v>1</x:v>
      </x:c>
      <x:c r="F467" s="32" t="n">
        <x:v>44883</x:v>
      </x:c>
      <x:c r="G467" s="32" t="n">
        <x:v>44883.999999988424</x:v>
      </x:c>
      <x:c r="H467" s="33" t="n">
        <x:f>IF(F467="","",('Summary'!$B$5-F467)/365.25)</x:f>
        <x:v>3.70708416514564</x:v>
      </x:c>
      <x:c r="I467" s="34" t="n">
        <x:v>0.015</x:v>
      </x:c>
      <x:c r="J467" s="35" t="n">
        <x:v>-0.69388</x:v>
      </x:c>
      <x:c r="K467" s="36" t="n">
        <x:v>41607805.8</x:v>
      </x:c>
      <x:c r="L467" s="36" t="n">
        <x:v>1466449.0997</x:v>
      </x:c>
      <x:c r="M467" s="37" t="n">
        <x:v>14792</x:v>
      </x:c>
      <x:c r="N467" s="34" t="n">
        <x:v>0</x:v>
      </x:c>
      <x:c r="O467" s="34" t="n">
        <x:v>0</x:v>
      </x:c>
      <x:c r="P467" s="38" t="str">
        <x:f>IF(OR(N467="",O467="",N467=0,O467=0),"",(O467-N467)/((O467+N467)/2))</x:f>
      </x:c>
      <x:c r="Q467" s="34" t="n">
        <x:v>0.03524457</x:v>
      </x:c>
      <x:c r="R467" s="34" t="n">
        <x:v>0.059</x:v>
      </x:c>
      <x:c r="S467" s="34" t="n">
        <x:v>0.015</x:v>
      </x:c>
      <x:c r="T467" s="32" t="n">
        <x:v>46209.26112309028</x:v>
      </x:c>
      <x:c r="U467" s="32" t="n">
        <x:v>46210.26112309028</x:v>
      </x:c>
      <x:c r="V467" s="34" t="n">
        <x:v>5</x:v>
      </x:c>
      <x:c r="W467" s="34" t="n">
        <x:v>0.1</x:v>
      </x:c>
      <x:c r="X467" s="34" t="n">
        <x:v>0.1</x:v>
      </x:c>
      <x:c r="Y467" s="34" t="n">
        <x:v>0.001</x:v>
      </x:c>
      <x:c r="Z467" s="30" t="str">
        <x:f>IF(AND(D467="TRADING",I467&lt;&gt;"",L467&lt;&gt;"",M467&lt;&gt;"",N467&lt;&gt;"",O467&lt;&gt;""),"Yes","No")</x:f>
        <x:v>No</x:v>
      </x:c>
      <x:c r="AA467" s="39" t="str">
        <x:v>https://developers.binance.com/en/docs/catalog/core-trading-spot-trading/api/rest-api</x:v>
      </x:c>
    </x:row>
    <x:row r="468">
      <x:c r="A468" s="30" t="str">
        <x:v>PIVXUSDT</x:v>
      </x:c>
      <x:c r="B468" s="30" t="str">
        <x:v>PIVX</x:v>
      </x:c>
      <x:c r="C468" s="30" t="str">
        <x:v>USDT</x:v>
      </x:c>
      <x:c r="D468" s="30" t="str">
        <x:v>TRADING</x:v>
      </x:c>
      <x:c r="E468" s="31" t="b">
        <x:v>1</x:v>
      </x:c>
      <x:c r="F468" s="32" t="n">
        <x:v>45246</x:v>
      </x:c>
      <x:c r="G468" s="32" t="n">
        <x:v>45246.999999988424</x:v>
      </x:c>
      <x:c r="H468" s="33" t="n">
        <x:f>IF(F468="","",('Summary'!$B$5-F468)/365.25)</x:f>
        <x:v>2.7132443294166873</x:v>
      </x:c>
      <x:c r="I468" s="34" t="n">
        <x:v>0.0329</x:v>
      </x:c>
      <x:c r="J468" s="35" t="n">
        <x:v>0.0030499999999999998</x:v>
      </x:c>
      <x:c r="K468" s="36" t="n">
        <x:v>3401157</x:v>
      </x:c>
      <x:c r="L468" s="36" t="n">
        <x:v>111519.8168</x:v>
      </x:c>
      <x:c r="M468" s="37" t="n">
        <x:v>1892</x:v>
      </x:c>
      <x:c r="N468" s="34" t="n">
        <x:v>0.0327</x:v>
      </x:c>
      <x:c r="O468" s="34" t="n">
        <x:v>0.0329</x:v>
      </x:c>
      <x:c r="P468" s="38" t="n">
        <x:f>IF(OR(N468="",O468="",N468=0,O468=0),"",(O468-N468)/((O468+N468)/2))</x:f>
        <x:v>0.00609756097560972</x:v>
      </x:c>
      <x:c r="Q468" s="34" t="n">
        <x:v>0.03278879</x:v>
      </x:c>
      <x:c r="R468" s="34" t="n">
        <x:v>0.0331</x:v>
      </x:c>
      <x:c r="S468" s="34" t="n">
        <x:v>0.0325</x:v>
      </x:c>
      <x:c r="T468" s="32" t="n">
        <x:v>46236.012479108795</x:v>
      </x:c>
      <x:c r="U468" s="32" t="n">
        <x:v>46237.012479108795</x:v>
      </x:c>
      <x:c r="V468" s="34" t="n">
        <x:v>5</x:v>
      </x:c>
      <x:c r="W468" s="34" t="n">
        <x:v>1</x:v>
      </x:c>
      <x:c r="X468" s="34" t="n">
        <x:v>1</x:v>
      </x:c>
      <x:c r="Y468" s="34" t="n">
        <x:v>0.0001</x:v>
      </x:c>
      <x:c r="Z468" s="30" t="str">
        <x:f>IF(AND(D468="TRADING",I468&lt;&gt;"",L468&lt;&gt;"",M468&lt;&gt;"",N468&lt;&gt;"",O468&lt;&gt;""),"Yes","No")</x:f>
        <x:v>Yes</x:v>
      </x:c>
      <x:c r="AA468" s="39" t="str">
        <x:v>https://developers.binance.com/en/docs/catalog/core-trading-spot-trading/api/rest-api</x:v>
      </x:c>
    </x:row>
    <x:row r="469">
      <x:c r="A469" s="30" t="str">
        <x:v>PIXELUSDT</x:v>
      </x:c>
      <x:c r="B469" s="30" t="str">
        <x:v>PIXEL</x:v>
      </x:c>
      <x:c r="C469" s="30" t="str">
        <x:v>USDT</x:v>
      </x:c>
      <x:c r="D469" s="30" t="str">
        <x:v>TRADING</x:v>
      </x:c>
      <x:c r="E469" s="31" t="b">
        <x:v>1</x:v>
      </x:c>
      <x:c r="F469" s="32" t="n">
        <x:v>45341</x:v>
      </x:c>
      <x:c r="G469" s="32" t="n">
        <x:v>45341.999999988424</x:v>
      </x:c>
      <x:c r="H469" s="33" t="n">
        <x:f>IF(F469="","",('Summary'!$B$5-F469)/365.25)</x:f>
        <x:v>2.4531485046391373</x:v>
      </x:c>
      <x:c r="I469" s="34" t="n">
        <x:v>0.00408</x:v>
      </x:c>
      <x:c r="J469" s="35" t="n">
        <x:v>0.02</x:v>
      </x:c>
      <x:c r="K469" s="36" t="n">
        <x:v>83927525.9</x:v>
      </x:c>
      <x:c r="L469" s="36" t="n">
        <x:v>338559.018361</x:v>
      </x:c>
      <x:c r="M469" s="37" t="n">
        <x:v>5778</x:v>
      </x:c>
      <x:c r="N469" s="34" t="n">
        <x:v>0.00407</x:v>
      </x:c>
      <x:c r="O469" s="34" t="n">
        <x:v>0.00408</x:v>
      </x:c>
      <x:c r="P469" s="38" t="n">
        <x:f>IF(OR(N469="",O469="",N469=0,O469=0),"",(O469-N469)/((O469+N469)/2))</x:f>
        <x:v>0.002453987730061462</x:v>
      </x:c>
      <x:c r="Q469" s="34" t="n">
        <x:v>0.00403394</x:v>
      </x:c>
      <x:c r="R469" s="34" t="n">
        <x:v>0.00416</x:v>
      </x:c>
      <x:c r="S469" s="34" t="n">
        <x:v>0.00392</x:v>
      </x:c>
      <x:c r="T469" s="32" t="n">
        <x:v>46236.01222674768</x:v>
      </x:c>
      <x:c r="U469" s="32" t="n">
        <x:v>46237.01222674768</x:v>
      </x:c>
      <x:c r="V469" s="34" t="n">
        <x:v>5</x:v>
      </x:c>
      <x:c r="W469" s="34" t="n">
        <x:v>0.1</x:v>
      </x:c>
      <x:c r="X469" s="34" t="n">
        <x:v>0.1</x:v>
      </x:c>
      <x:c r="Y469" s="34" t="n">
        <x:v>0.00001</x:v>
      </x:c>
      <x:c r="Z469" s="30" t="str">
        <x:f>IF(AND(D469="TRADING",I469&lt;&gt;"",L469&lt;&gt;"",M469&lt;&gt;"",N469&lt;&gt;"",O469&lt;&gt;""),"Yes","No")</x:f>
        <x:v>Yes</x:v>
      </x:c>
      <x:c r="AA469" s="39" t="str">
        <x:v>https://developers.binance.com/en/docs/catalog/core-trading-spot-trading/api/rest-api</x:v>
      </x:c>
    </x:row>
    <x:row r="470">
      <x:c r="A470" s="30" t="str">
        <x:v>PLAUSDT</x:v>
      </x:c>
      <x:c r="B470" s="30" t="str">
        <x:v>PLA</x:v>
      </x:c>
      <x:c r="C470" s="30" t="str">
        <x:v>USDT</x:v>
      </x:c>
      <x:c r="D470" s="30" t="str">
        <x:v>BREAK</x:v>
      </x:c>
      <x:c r="E470" s="31" t="b">
        <x:v>1</x:v>
      </x:c>
      <x:c r="F470" s="32" t="n">
        <x:v>44523</x:v>
      </x:c>
      <x:c r="G470" s="32" t="n">
        <x:v>44523.999999988424</x:v>
      </x:c>
      <x:c r="H470" s="33" t="n">
        <x:f>IF(F470="","",('Summary'!$B$5-F470)/365.25)</x:f>
        <x:v>4.692710448513196</x:v>
      </x:c>
      <x:c r="I470" s="34" t="n">
        <x:v>0.2347</x:v>
      </x:c>
      <x:c r="J470" s="35" t="n">
        <x:v>0.05531</x:v>
      </x:c>
      <x:c r="K470" s="36" t="n">
        <x:v>3506608.82</x:v>
      </x:c>
      <x:c r="L470" s="36" t="n">
        <x:v>802650.287482</x:v>
      </x:c>
      <x:c r="M470" s="37" t="n">
        <x:v>4001</x:v>
      </x:c>
      <x:c r="N470" s="34" t="n">
        <x:v>0</x:v>
      </x:c>
      <x:c r="O470" s="34" t="n">
        <x:v>0</x:v>
      </x:c>
      <x:c r="P470" s="38" t="str">
        <x:f>IF(OR(N470="",O470="",N470=0,O470=0),"",(O470-N470)/((O470+N470)/2))</x:f>
      </x:c>
      <x:c r="Q470" s="34" t="n">
        <x:v>0.22889644</x:v>
      </x:c>
      <x:c r="R470" s="34" t="n">
        <x:v>0.238</x:v>
      </x:c>
      <x:c r="S470" s="34" t="n">
        <x:v>0.222</x:v>
      </x:c>
      <x:c r="T470" s="32" t="n">
        <x:v>46209.26112309028</x:v>
      </x:c>
      <x:c r="U470" s="32" t="n">
        <x:v>46210.26112309028</x:v>
      </x:c>
      <x:c r="V470" s="34" t="n">
        <x:v>5</x:v>
      </x:c>
      <x:c r="W470" s="34" t="n">
        <x:v>0.01</x:v>
      </x:c>
      <x:c r="X470" s="34" t="n">
        <x:v>0.01</x:v>
      </x:c>
      <x:c r="Y470" s="34" t="n">
        <x:v>0.0001</x:v>
      </x:c>
      <x:c r="Z470" s="30" t="str">
        <x:f>IF(AND(D470="TRADING",I470&lt;&gt;"",L470&lt;&gt;"",M470&lt;&gt;"",N470&lt;&gt;"",O470&lt;&gt;""),"Yes","No")</x:f>
        <x:v>No</x:v>
      </x:c>
      <x:c r="AA470" s="39" t="str">
        <x:v>https://developers.binance.com/en/docs/catalog/core-trading-spot-trading/api/rest-api</x:v>
      </x:c>
    </x:row>
    <x:row r="471">
      <x:c r="A471" s="30" t="str">
        <x:v>PLTRBUSDT</x:v>
      </x:c>
      <x:c r="B471" s="30" t="str">
        <x:v>PLTRB</x:v>
      </x:c>
      <x:c r="C471" s="30" t="str">
        <x:v>USDT</x:v>
      </x:c>
      <x:c r="D471" s="30" t="str">
        <x:v>TRADING</x:v>
      </x:c>
      <x:c r="E471" s="31" t="b">
        <x:v>1</x:v>
      </x:c>
      <x:c r="F471" s="32" t="n">
        <x:v>46203</x:v>
      </x:c>
      <x:c r="G471" s="32" t="n">
        <x:v>46203.999999988424</x:v>
      </x:c>
      <x:c r="H471" s="33" t="n">
        <x:f>IF(F471="","",('Summary'!$B$5-F471)/365.25)</x:f>
        <x:v>0.09312112613126615</x:v>
      </x:c>
      <x:c r="I471" s="34" t="n">
        <x:v>125.21</x:v>
      </x:c>
      <x:c r="J471" s="35" t="n">
        <x:v>0.01459</x:v>
      </x:c>
      <x:c r="K471" s="36" t="n">
        <x:v>546.751</x:v>
      </x:c>
      <x:c r="L471" s="36" t="n">
        <x:v>68023.64418</x:v>
      </x:c>
      <x:c r="M471" s="37" t="n">
        <x:v>2060</x:v>
      </x:c>
      <x:c r="N471" s="34" t="n">
        <x:v>125.21</x:v>
      </x:c>
      <x:c r="O471" s="34" t="n">
        <x:v>125.26</x:v>
      </x:c>
      <x:c r="P471" s="38" t="n">
        <x:f>IF(OR(N471="",O471="",N471=0,O471=0),"",(O471-N471)/((O471+N471)/2))</x:f>
        <x:v>0.0003992494111072094</x:v>
      </x:c>
      <x:c r="Q471" s="34" t="n">
        <x:v>124.41430227</x:v>
      </x:c>
      <x:c r="R471" s="34" t="n">
        <x:v>126.42</x:v>
      </x:c>
      <x:c r="S471" s="34" t="n">
        <x:v>123.35</x:v>
      </x:c>
      <x:c r="T471" s="32" t="n">
        <x:v>46236.01248431713</x:v>
      </x:c>
      <x:c r="U471" s="32" t="n">
        <x:v>46237.01248431713</x:v>
      </x:c>
      <x:c r="V471" s="34" t="n">
        <x:v>5</x:v>
      </x:c>
      <x:c r="W471" s="34" t="n">
        <x:v>0.001</x:v>
      </x:c>
      <x:c r="X471" s="34" t="n">
        <x:v>0.001</x:v>
      </x:c>
      <x:c r="Y471" s="34" t="n">
        <x:v>0.01</x:v>
      </x:c>
      <x:c r="Z471" s="30" t="str">
        <x:f>IF(AND(D471="TRADING",I471&lt;&gt;"",L471&lt;&gt;"",M471&lt;&gt;"",N471&lt;&gt;"",O471&lt;&gt;""),"Yes","No")</x:f>
        <x:v>Yes</x:v>
      </x:c>
      <x:c r="AA471" s="39" t="str">
        <x:v>https://developers.binance.com/en/docs/catalog/core-trading-spot-trading/api/rest-api</x:v>
      </x:c>
    </x:row>
    <x:row r="472">
      <x:c r="A472" s="30" t="str">
        <x:v>PLUMEUSDT</x:v>
      </x:c>
      <x:c r="B472" s="30" t="str">
        <x:v>PLUME</x:v>
      </x:c>
      <x:c r="C472" s="30" t="str">
        <x:v>USDT</x:v>
      </x:c>
      <x:c r="D472" s="30" t="str">
        <x:v>TRADING</x:v>
      </x:c>
      <x:c r="E472" s="31" t="b">
        <x:v>1</x:v>
      </x:c>
      <x:c r="F472" s="32" t="n">
        <x:v>45887</x:v>
      </x:c>
      <x:c r="G472" s="32" t="n">
        <x:v>45887.999999988424</x:v>
      </x:c>
      <x:c r="H472" s="33" t="n">
        <x:f>IF(F472="","",('Summary'!$B$5-F472)/365.25)</x:f>
        <x:v>0.9582819748650102</x:v>
      </x:c>
      <x:c r="I472" s="34" t="n">
        <x:v>0.01078</x:v>
      </x:c>
      <x:c r="J472" s="35" t="n">
        <x:v>-0.011009999999999999</x:v>
      </x:c>
      <x:c r="K472" s="36" t="n">
        <x:v>58624963</x:v>
      </x:c>
      <x:c r="L472" s="36" t="n">
        <x:v>647385.37352</x:v>
      </x:c>
      <x:c r="M472" s="37" t="n">
        <x:v>6369</x:v>
      </x:c>
      <x:c r="N472" s="34" t="n">
        <x:v>0.01077</x:v>
      </x:c>
      <x:c r="O472" s="34" t="n">
        <x:v>0.01078</x:v>
      </x:c>
      <x:c r="P472" s="38" t="n">
        <x:f>IF(OR(N472="",O472="",N472=0,O472=0),"",(O472-N472)/((O472+N472)/2))</x:f>
        <x:v>0.0009280742459396373</x:v>
      </x:c>
      <x:c r="Q472" s="34" t="n">
        <x:v>0.01104283</x:v>
      </x:c>
      <x:c r="R472" s="34" t="n">
        <x:v>0.01136</x:v>
      </x:c>
      <x:c r="S472" s="34" t="n">
        <x:v>0.01075</x:v>
      </x:c>
      <x:c r="T472" s="32" t="n">
        <x:v>46236.01247771991</x:v>
      </x:c>
      <x:c r="U472" s="32" t="n">
        <x:v>46237.01247771991</x:v>
      </x:c>
      <x:c r="V472" s="34" t="n">
        <x:v>5</x:v>
      </x:c>
      <x:c r="W472" s="34" t="n">
        <x:v>1</x:v>
      </x:c>
      <x:c r="X472" s="34" t="n">
        <x:v>1</x:v>
      </x:c>
      <x:c r="Y472" s="34" t="n">
        <x:v>0.00001</x:v>
      </x:c>
      <x:c r="Z472" s="30" t="str">
        <x:f>IF(AND(D472="TRADING",I472&lt;&gt;"",L472&lt;&gt;"",M472&lt;&gt;"",N472&lt;&gt;"",O472&lt;&gt;""),"Yes","No")</x:f>
        <x:v>Yes</x:v>
      </x:c>
      <x:c r="AA472" s="39" t="str">
        <x:v>https://developers.binance.com/en/docs/catalog/core-trading-spot-trading/api/rest-api</x:v>
      </x:c>
    </x:row>
    <x:row r="473">
      <x:c r="A473" s="30" t="str">
        <x:v>PNTUSDT</x:v>
      </x:c>
      <x:c r="B473" s="30" t="str">
        <x:v>PNT</x:v>
      </x:c>
      <x:c r="C473" s="30" t="str">
        <x:v>USDT</x:v>
      </x:c>
      <x:c r="D473" s="30" t="str">
        <x:v>BREAK</x:v>
      </x:c>
      <x:c r="E473" s="31" t="b">
        <x:v>1</x:v>
      </x:c>
      <x:c r="F473" s="32" t="n">
        <x:v>44004</x:v>
      </x:c>
      <x:c r="G473" s="32" t="n">
        <x:v>44004.999999988424</x:v>
      </x:c>
      <x:c r="H473" s="33" t="n">
        <x:f>IF(F473="","",('Summary'!$B$5-F473)/365.25)</x:f>
        <x:v>6.113655007034757</x:v>
      </x:c>
      <x:c r="I473" s="34" t="n">
        <x:v>0.035</x:v>
      </x:c>
      <x:c r="J473" s="35" t="n">
        <x:v>0.45228</x:v>
      </x:c>
      <x:c r="K473" s="36" t="n">
        <x:v>10778397</x:v>
      </x:c>
      <x:c r="L473" s="36" t="n">
        <x:v>261845.0621</x:v>
      </x:c>
      <x:c r="M473" s="37" t="n">
        <x:v>4001</x:v>
      </x:c>
      <x:c r="N473" s="34" t="n">
        <x:v>0</x:v>
      </x:c>
      <x:c r="O473" s="34" t="n">
        <x:v>0</x:v>
      </x:c>
      <x:c r="P473" s="38" t="str">
        <x:f>IF(OR(N473="",O473="",N473=0,O473=0),"",(O473-N473)/((O473+N473)/2))</x:f>
      </x:c>
      <x:c r="Q473" s="34" t="n">
        <x:v>0.02429351</x:v>
      </x:c>
      <x:c r="R473" s="34" t="n">
        <x:v>0.035</x:v>
      </x:c>
      <x:c r="S473" s="34" t="n">
        <x:v>0.0215</x:v>
      </x:c>
      <x:c r="T473" s="32" t="n">
        <x:v>46209.26112309028</x:v>
      </x:c>
      <x:c r="U473" s="32" t="n">
        <x:v>46210.26112309028</x:v>
      </x:c>
      <x:c r="V473" s="34" t="n">
        <x:v>5</x:v>
      </x:c>
      <x:c r="W473" s="34" t="n">
        <x:v>1</x:v>
      </x:c>
      <x:c r="X473" s="34" t="n">
        <x:v>1</x:v>
      </x:c>
      <x:c r="Y473" s="34" t="n">
        <x:v>0.0001</x:v>
      </x:c>
      <x:c r="Z473" s="30" t="str">
        <x:f>IF(AND(D473="TRADING",I473&lt;&gt;"",L473&lt;&gt;"",M473&lt;&gt;"",N473&lt;&gt;"",O473&lt;&gt;""),"Yes","No")</x:f>
        <x:v>No</x:v>
      </x:c>
      <x:c r="AA473" s="39" t="str">
        <x:v>https://developers.binance.com/en/docs/catalog/core-trading-spot-trading/api/rest-api</x:v>
      </x:c>
    </x:row>
    <x:row r="474">
      <x:c r="A474" s="30" t="str">
        <x:v>PNUTUSDT</x:v>
      </x:c>
      <x:c r="B474" s="30" t="str">
        <x:v>PNUT</x:v>
      </x:c>
      <x:c r="C474" s="30" t="str">
        <x:v>USDT</x:v>
      </x:c>
      <x:c r="D474" s="30" t="str">
        <x:v>TRADING</x:v>
      </x:c>
      <x:c r="E474" s="31" t="b">
        <x:v>1</x:v>
      </x:c>
      <x:c r="F474" s="32" t="n">
        <x:v>45607</x:v>
      </x:c>
      <x:c r="G474" s="32" t="n">
        <x:v>45607.999999988424</x:v>
      </x:c>
      <x:c r="H474" s="33" t="n">
        <x:f>IF(F474="","",('Summary'!$B$5-F474)/365.25)</x:f>
        <x:v>1.7248801952619985</x:v>
      </x:c>
      <x:c r="I474" s="34" t="n">
        <x:v>0.0395</x:v>
      </x:c>
      <x:c r="J474" s="35" t="n">
        <x:v>0.01023</x:v>
      </x:c>
      <x:c r="K474" s="36" t="n">
        <x:v>13939655.4</x:v>
      </x:c>
      <x:c r="L474" s="36" t="n">
        <x:v>552473.79378</x:v>
      </x:c>
      <x:c r="M474" s="37" t="n">
        <x:v>6181</x:v>
      </x:c>
      <x:c r="N474" s="34" t="n">
        <x:v>0.0394</x:v>
      </x:c>
      <x:c r="O474" s="34" t="n">
        <x:v>0.0395</x:v>
      </x:c>
      <x:c r="P474" s="38" t="n">
        <x:f>IF(OR(N474="",O474="",N474=0,O474=0),"",(O474-N474)/((O474+N474)/2))</x:f>
        <x:v>0.0025348542458809345</x:v>
      </x:c>
      <x:c r="Q474" s="34" t="n">
        <x:v>0.03963325</x:v>
      </x:c>
      <x:c r="R474" s="34" t="n">
        <x:v>0.0406</x:v>
      </x:c>
      <x:c r="S474" s="34" t="n">
        <x:v>0.039</x:v>
      </x:c>
      <x:c r="T474" s="32" t="n">
        <x:v>46236.012468796296</x:v>
      </x:c>
      <x:c r="U474" s="32" t="n">
        <x:v>46237.012468796296</x:v>
      </x:c>
      <x:c r="V474" s="34" t="n">
        <x:v>1</x:v>
      </x:c>
      <x:c r="W474" s="34" t="n">
        <x:v>0.1</x:v>
      </x:c>
      <x:c r="X474" s="34" t="n">
        <x:v>0.1</x:v>
      </x:c>
      <x:c r="Y474" s="34" t="n">
        <x:v>0.0001</x:v>
      </x:c>
      <x:c r="Z474" s="30" t="str">
        <x:f>IF(AND(D474="TRADING",I474&lt;&gt;"",L474&lt;&gt;"",M474&lt;&gt;"",N474&lt;&gt;"",O474&lt;&gt;""),"Yes","No")</x:f>
        <x:v>Yes</x:v>
      </x:c>
      <x:c r="AA474" s="39" t="str">
        <x:v>https://developers.binance.com/en/docs/catalog/core-trading-spot-trading/api/rest-api</x:v>
      </x:c>
    </x:row>
    <x:row r="475">
      <x:c r="A475" s="30" t="str">
        <x:v>POLSUSDT</x:v>
      </x:c>
      <x:c r="B475" s="30" t="str">
        <x:v>POLS</x:v>
      </x:c>
      <x:c r="C475" s="30" t="str">
        <x:v>USDT</x:v>
      </x:c>
      <x:c r="D475" s="30" t="str">
        <x:v>BREAK</x:v>
      </x:c>
      <x:c r="E475" s="31" t="b">
        <x:v>1</x:v>
      </x:c>
      <x:c r="F475" s="32" t="n">
        <x:v>44335</x:v>
      </x:c>
      <x:c r="G475" s="32" t="n">
        <x:v>44335.999999988424</x:v>
      </x:c>
      <x:c r="H475" s="33" t="n">
        <x:f>IF(F475="","",('Summary'!$B$5-F475)/365.25)</x:f>
        <x:v>5.207426396494031</x:v>
      </x:c>
      <x:c r="I475" s="34" t="n">
        <x:v>0.3079</x:v>
      </x:c>
      <x:c r="J475" s="35" t="n">
        <x:v>-0.02161</x:v>
      </x:c>
      <x:c r="K475" s="36" t="n">
        <x:v>917240.7</x:v>
      </x:c>
      <x:c r="L475" s="36" t="n">
        <x:v>285231.01397</x:v>
      </x:c>
      <x:c r="M475" s="37" t="n">
        <x:v>4001</x:v>
      </x:c>
      <x:c r="N475" s="34" t="n">
        <x:v>0</x:v>
      </x:c>
      <x:c r="O475" s="34" t="n">
        <x:v>0</x:v>
      </x:c>
      <x:c r="P475" s="38" t="str">
        <x:f>IF(OR(N475="",O475="",N475=0,O475=0),"",(O475-N475)/((O475+N475)/2))</x:f>
      </x:c>
      <x:c r="Q475" s="34" t="n">
        <x:v>0.31096637</x:v>
      </x:c>
      <x:c r="R475" s="34" t="n">
        <x:v>0.3191</x:v>
      </x:c>
      <x:c r="S475" s="34" t="n">
        <x:v>0.305</x:v>
      </x:c>
      <x:c r="T475" s="32" t="n">
        <x:v>46209.26112309028</x:v>
      </x:c>
      <x:c r="U475" s="32" t="n">
        <x:v>46210.26112309028</x:v>
      </x:c>
      <x:c r="V475" s="34" t="n">
        <x:v>5</x:v>
      </x:c>
      <x:c r="W475" s="34" t="n">
        <x:v>0.1</x:v>
      </x:c>
      <x:c r="X475" s="34" t="n">
        <x:v>0.1</x:v>
      </x:c>
      <x:c r="Y475" s="34" t="n">
        <x:v>0.0001</x:v>
      </x:c>
      <x:c r="Z475" s="30" t="str">
        <x:f>IF(AND(D475="TRADING",I475&lt;&gt;"",L475&lt;&gt;"",M475&lt;&gt;"",N475&lt;&gt;"",O475&lt;&gt;""),"Yes","No")</x:f>
        <x:v>No</x:v>
      </x:c>
      <x:c r="AA475" s="39" t="str">
        <x:v>https://developers.binance.com/en/docs/catalog/core-trading-spot-trading/api/rest-api</x:v>
      </x:c>
    </x:row>
    <x:row r="476">
      <x:c r="A476" s="30" t="str">
        <x:v>POLUSDT</x:v>
      </x:c>
      <x:c r="B476" s="30" t="str">
        <x:v>POL</x:v>
      </x:c>
      <x:c r="C476" s="30" t="str">
        <x:v>USDT</x:v>
      </x:c>
      <x:c r="D476" s="30" t="str">
        <x:v>TRADING</x:v>
      </x:c>
      <x:c r="E476" s="31" t="b">
        <x:v>1</x:v>
      </x:c>
      <x:c r="F476" s="32" t="n">
        <x:v>45548</x:v>
      </x:c>
      <x:c r="G476" s="32" t="n">
        <x:v>45548.999999988424</x:v>
      </x:c>
      <x:c r="H476" s="33" t="n">
        <x:f>IF(F476="","",('Summary'!$B$5-F476)/365.25)</x:f>
        <x:v>1.8864133917027925</x:v>
      </x:c>
      <x:c r="I476" s="34" t="n">
        <x:v>0.07279</x:v>
      </x:c>
      <x:c r="J476" s="35" t="n">
        <x:v>0.0121</x:v>
      </x:c>
      <x:c r="K476" s="36" t="n">
        <x:v>14473609.8</x:v>
      </x:c>
      <x:c r="L476" s="36" t="n">
        <x:v>1052556.809194</x:v>
      </x:c>
      <x:c r="M476" s="37" t="n">
        <x:v>19581</x:v>
      </x:c>
      <x:c r="N476" s="34" t="n">
        <x:v>0.07279</x:v>
      </x:c>
      <x:c r="O476" s="34" t="n">
        <x:v>0.0728</x:v>
      </x:c>
      <x:c r="P476" s="38" t="n">
        <x:f>IF(OR(N476="",O476="",N476=0,O476=0),"",(O476-N476)/((O476+N476)/2))</x:f>
        <x:v>0.00013737207225784738</x:v>
      </x:c>
      <x:c r="Q476" s="34" t="n">
        <x:v>0.07272248</x:v>
      </x:c>
      <x:c r="R476" s="34" t="n">
        <x:v>0.0733</x:v>
      </x:c>
      <x:c r="S476" s="34" t="n">
        <x:v>0.07187</x:v>
      </x:c>
      <x:c r="T476" s="32" t="n">
        <x:v>46236.012473773146</x:v>
      </x:c>
      <x:c r="U476" s="32" t="n">
        <x:v>46237.012473773146</x:v>
      </x:c>
      <x:c r="V476" s="34" t="n">
        <x:v>5</x:v>
      </x:c>
      <x:c r="W476" s="34" t="n">
        <x:v>0.1</x:v>
      </x:c>
      <x:c r="X476" s="34" t="n">
        <x:v>0.1</x:v>
      </x:c>
      <x:c r="Y476" s="34" t="n">
        <x:v>0.00001</x:v>
      </x:c>
      <x:c r="Z476" s="30" t="str">
        <x:f>IF(AND(D476="TRADING",I476&lt;&gt;"",L476&lt;&gt;"",M476&lt;&gt;"",N476&lt;&gt;"",O476&lt;&gt;""),"Yes","No")</x:f>
        <x:v>Yes</x:v>
      </x:c>
      <x:c r="AA476" s="39" t="str">
        <x:v>https://developers.binance.com/en/docs/catalog/core-trading-spot-trading/api/rest-api</x:v>
      </x:c>
    </x:row>
    <x:row r="477">
      <x:c r="A477" s="30" t="str">
        <x:v>POLYUSDT</x:v>
      </x:c>
      <x:c r="B477" s="30" t="str">
        <x:v>POLY</x:v>
      </x:c>
      <x:c r="C477" s="30" t="str">
        <x:v>USDT</x:v>
      </x:c>
      <x:c r="D477" s="30" t="str">
        <x:v>BREAK</x:v>
      </x:c>
      <x:c r="E477" s="31" t="b">
        <x:v>1</x:v>
      </x:c>
      <x:c r="F477" s="32" t="n">
        <x:v>44448</x:v>
      </x:c>
      <x:c r="G477" s="32" t="n">
        <x:v>44448.999999988424</x:v>
      </x:c>
      <x:c r="H477" s="33" t="n">
        <x:f>IF(F477="","",('Summary'!$B$5-F477)/365.25)</x:f>
        <x:v>4.898049257548104</x:v>
      </x:c>
      <x:c r="I477" s="34" t="n">
        <x:v>0.2696</x:v>
      </x:c>
      <x:c r="J477" s="35" t="n">
        <x:v>0.00522</x:v>
      </x:c>
      <x:c r="K477" s="36" t="n">
        <x:v>5552157.1</x:v>
      </x:c>
      <x:c r="L477" s="36" t="n">
        <x:v>1490337.78753</x:v>
      </x:c>
      <x:c r="M477" s="37" t="n">
        <x:v>4001</x:v>
      </x:c>
      <x:c r="N477" s="34" t="n">
        <x:v>0</x:v>
      </x:c>
      <x:c r="O477" s="34" t="n">
        <x:v>0</x:v>
      </x:c>
      <x:c r="P477" s="38" t="str">
        <x:f>IF(OR(N477="",O477="",N477=0,O477=0),"",(O477-N477)/((O477+N477)/2))</x:f>
      </x:c>
      <x:c r="Q477" s="34" t="n">
        <x:v>0.268425</x:v>
      </x:c>
      <x:c r="R477" s="34" t="n">
        <x:v>0.273</x:v>
      </x:c>
      <x:c r="S477" s="34" t="n">
        <x:v>0.2637</x:v>
      </x:c>
      <x:c r="T477" s="32" t="n">
        <x:v>46209.26112309028</x:v>
      </x:c>
      <x:c r="U477" s="32" t="n">
        <x:v>46210.26112309028</x:v>
      </x:c>
      <x:c r="V477" s="34" t="n">
        <x:v>10</x:v>
      </x:c>
      <x:c r="W477" s="34" t="n">
        <x:v>0.1</x:v>
      </x:c>
      <x:c r="X477" s="34" t="n">
        <x:v>0.1</x:v>
      </x:c>
      <x:c r="Y477" s="34" t="n">
        <x:v>0.0001</x:v>
      </x:c>
      <x:c r="Z477" s="30" t="str">
        <x:f>IF(AND(D477="TRADING",I477&lt;&gt;"",L477&lt;&gt;"",M477&lt;&gt;"",N477&lt;&gt;"",O477&lt;&gt;""),"Yes","No")</x:f>
        <x:v>No</x:v>
      </x:c>
      <x:c r="AA477" s="39" t="str">
        <x:v>https://developers.binance.com/en/docs/catalog/core-trading-spot-trading/api/rest-api</x:v>
      </x:c>
    </x:row>
    <x:row r="478">
      <x:c r="A478" s="30" t="str">
        <x:v>POLYXUSDT</x:v>
      </x:c>
      <x:c r="B478" s="30" t="str">
        <x:v>POLYX</x:v>
      </x:c>
      <x:c r="C478" s="30" t="str">
        <x:v>USDT</x:v>
      </x:c>
      <x:c r="D478" s="30" t="str">
        <x:v>TRADING</x:v>
      </x:c>
      <x:c r="E478" s="31" t="b">
        <x:v>1</x:v>
      </x:c>
      <x:c r="F478" s="32" t="n">
        <x:v>44851</x:v>
      </x:c>
      <x:c r="G478" s="32" t="n">
        <x:v>44851.999999988424</x:v>
      </x:c>
      <x:c r="H478" s="33" t="n">
        <x:f>IF(F478="","",('Summary'!$B$5-F478)/365.25)</x:f>
        <x:v>3.794695390333867</x:v>
      </x:c>
      <x:c r="I478" s="34" t="n">
        <x:v>0.0322</x:v>
      </x:c>
      <x:c r="J478" s="35" t="n">
        <x:v>-0.00617</x:v>
      </x:c>
      <x:c r="K478" s="36" t="n">
        <x:v>2164031.1</x:v>
      </x:c>
      <x:c r="L478" s="36" t="n">
        <x:v>70291.5702</x:v>
      </x:c>
      <x:c r="M478" s="37" t="n">
        <x:v>1095</x:v>
      </x:c>
      <x:c r="N478" s="34" t="n">
        <x:v>0.0321</x:v>
      </x:c>
      <x:c r="O478" s="34" t="n">
        <x:v>0.0322</x:v>
      </x:c>
      <x:c r="P478" s="38" t="n">
        <x:f>IF(OR(N478="",O478="",N478=0,O478=0),"",(O478-N478)/((O478+N478)/2))</x:f>
        <x:v>0.003110419906687492</x:v>
      </x:c>
      <x:c r="Q478" s="34" t="n">
        <x:v>0.03248177</x:v>
      </x:c>
      <x:c r="R478" s="34" t="n">
        <x:v>0.0329</x:v>
      </x:c>
      <x:c r="S478" s="34" t="n">
        <x:v>0.0321</x:v>
      </x:c>
      <x:c r="T478" s="32" t="n">
        <x:v>46236.01240730324</x:v>
      </x:c>
      <x:c r="U478" s="32" t="n">
        <x:v>46237.01240730324</x:v>
      </x:c>
      <x:c r="V478" s="34" t="n">
        <x:v>5</x:v>
      </x:c>
      <x:c r="W478" s="34" t="n">
        <x:v>0.1</x:v>
      </x:c>
      <x:c r="X478" s="34" t="n">
        <x:v>0.1</x:v>
      </x:c>
      <x:c r="Y478" s="34" t="n">
        <x:v>0.0001</x:v>
      </x:c>
      <x:c r="Z478" s="30" t="str">
        <x:f>IF(AND(D478="TRADING",I478&lt;&gt;"",L478&lt;&gt;"",M478&lt;&gt;"",N478&lt;&gt;"",O478&lt;&gt;""),"Yes","No")</x:f>
        <x:v>Yes</x:v>
      </x:c>
      <x:c r="AA478" s="39" t="str">
        <x:v>https://developers.binance.com/en/docs/catalog/core-trading-spot-trading/api/rest-api</x:v>
      </x:c>
    </x:row>
    <x:row r="479">
      <x:c r="A479" s="30" t="str">
        <x:v>PONDUSDT</x:v>
      </x:c>
      <x:c r="B479" s="30" t="str">
        <x:v>POND</x:v>
      </x:c>
      <x:c r="C479" s="30" t="str">
        <x:v>USDT</x:v>
      </x:c>
      <x:c r="D479" s="30" t="str">
        <x:v>BREAK</x:v>
      </x:c>
      <x:c r="E479" s="31" t="b">
        <x:v>1</x:v>
      </x:c>
      <x:c r="F479" s="32" t="n">
        <x:v>44264</x:v>
      </x:c>
      <x:c r="G479" s="32" t="n">
        <x:v>44264.999999988424</x:v>
      </x:c>
      <x:c r="H479" s="33" t="n">
        <x:f>IF(F479="","",('Summary'!$B$5-F479)/365.25)</x:f>
        <x:v>5.401813802380411</x:v>
      </x:c>
      <x:c r="I479" s="34" t="n">
        <x:v>0.00081</x:v>
      </x:c>
      <x:c r="J479" s="35" t="n">
        <x:v>-0.18181999999999998</x:v>
      </x:c>
      <x:c r="K479" s="36" t="n">
        <x:v>334870805</x:v>
      </x:c>
      <x:c r="L479" s="36" t="n">
        <x:v>293897.52588</x:v>
      </x:c>
      <x:c r="M479" s="37" t="n">
        <x:v>6002</x:v>
      </x:c>
      <x:c r="N479" s="34" t="n">
        <x:v>0</x:v>
      </x:c>
      <x:c r="O479" s="34" t="n">
        <x:v>0</x:v>
      </x:c>
      <x:c r="P479" s="38" t="str">
        <x:f>IF(OR(N479="",O479="",N479=0,O479=0),"",(O479-N479)/((O479+N479)/2))</x:f>
      </x:c>
      <x:c r="Q479" s="34" t="n">
        <x:v>0.00087764</x:v>
      </x:c>
      <x:c r="R479" s="34" t="n">
        <x:v>0.00101</x:v>
      </x:c>
      <x:c r="S479" s="34" t="n">
        <x:v>0.00076</x:v>
      </x:c>
      <x:c r="T479" s="32" t="n">
        <x:v>46212.12512711806</x:v>
      </x:c>
      <x:c r="U479" s="32" t="n">
        <x:v>46213.12512711806</x:v>
      </x:c>
      <x:c r="V479" s="34" t="n">
        <x:v>5</x:v>
      </x:c>
      <x:c r="W479" s="34" t="n">
        <x:v>1</x:v>
      </x:c>
      <x:c r="X479" s="34" t="n">
        <x:v>1</x:v>
      </x:c>
      <x:c r="Y479" s="34" t="n">
        <x:v>0.00001</x:v>
      </x:c>
      <x:c r="Z479" s="30" t="str">
        <x:f>IF(AND(D479="TRADING",I479&lt;&gt;"",L479&lt;&gt;"",M479&lt;&gt;"",N479&lt;&gt;"",O479&lt;&gt;""),"Yes","No")</x:f>
        <x:v>No</x:v>
      </x:c>
      <x:c r="AA479" s="39" t="str">
        <x:v>https://developers.binance.com/en/docs/catalog/core-trading-spot-trading/api/rest-api</x:v>
      </x:c>
    </x:row>
    <x:row r="480">
      <x:c r="A480" s="30" t="str">
        <x:v>PORTALUSDT</x:v>
      </x:c>
      <x:c r="B480" s="30" t="str">
        <x:v>PORTAL</x:v>
      </x:c>
      <x:c r="C480" s="30" t="str">
        <x:v>USDT</x:v>
      </x:c>
      <x:c r="D480" s="30" t="str">
        <x:v>TRADING</x:v>
      </x:c>
      <x:c r="E480" s="31" t="b">
        <x:v>1</x:v>
      </x:c>
      <x:c r="F480" s="32" t="n">
        <x:v>45351</x:v>
      </x:c>
      <x:c r="G480" s="32" t="n">
        <x:v>45351.999999988424</x:v>
      </x:c>
      <x:c r="H480" s="33" t="n">
        <x:f>IF(F480="","",('Summary'!$B$5-F480)/365.25)</x:f>
        <x:v>2.4257699967678166</x:v>
      </x:c>
      <x:c r="I480" s="34" t="n">
        <x:v>0.01043</x:v>
      </x:c>
      <x:c r="J480" s="35" t="n">
        <x:v>0.062119999999999995</x:v>
      </x:c>
      <x:c r="K480" s="36" t="n">
        <x:v>389346921.5</x:v>
      </x:c>
      <x:c r="L480" s="36" t="n">
        <x:v>4284095.259019</x:v>
      </x:c>
      <x:c r="M480" s="37" t="n">
        <x:v>83110</x:v>
      </x:c>
      <x:c r="N480" s="34" t="n">
        <x:v>0.01043</x:v>
      </x:c>
      <x:c r="O480" s="34" t="n">
        <x:v>0.01044</x:v>
      </x:c>
      <x:c r="P480" s="38" t="n">
        <x:f>IF(OR(N480="",O480="",N480=0,O480=0),"",(O480-N480)/((O480+N480)/2))</x:f>
        <x:v>0.0009583133684714512</x:v>
      </x:c>
      <x:c r="Q480" s="34" t="n">
        <x:v>0.01100329</x:v>
      </x:c>
      <x:c r="R480" s="34" t="n">
        <x:v>0.01196</x:v>
      </x:c>
      <x:c r="S480" s="34" t="n">
        <x:v>0.00978</x:v>
      </x:c>
      <x:c r="T480" s="32" t="n">
        <x:v>46236.01247064815</x:v>
      </x:c>
      <x:c r="U480" s="32" t="n">
        <x:v>46237.01247064815</x:v>
      </x:c>
      <x:c r="V480" s="34" t="n">
        <x:v>5</x:v>
      </x:c>
      <x:c r="W480" s="34" t="n">
        <x:v>0.1</x:v>
      </x:c>
      <x:c r="X480" s="34" t="n">
        <x:v>0.1</x:v>
      </x:c>
      <x:c r="Y480" s="34" t="n">
        <x:v>0.00001</x:v>
      </x:c>
      <x:c r="Z480" s="30" t="str">
        <x:f>IF(AND(D480="TRADING",I480&lt;&gt;"",L480&lt;&gt;"",M480&lt;&gt;"",N480&lt;&gt;"",O480&lt;&gt;""),"Yes","No")</x:f>
        <x:v>Yes</x:v>
      </x:c>
      <x:c r="AA480" s="39" t="str">
        <x:v>https://developers.binance.com/en/docs/catalog/core-trading-spot-trading/api/rest-api</x:v>
      </x:c>
    </x:row>
    <x:row r="481">
      <x:c r="A481" s="30" t="str">
        <x:v>PORTOUSDT</x:v>
      </x:c>
      <x:c r="B481" s="30" t="str">
        <x:v>PORTO</x:v>
      </x:c>
      <x:c r="C481" s="30" t="str">
        <x:v>USDT</x:v>
      </x:c>
      <x:c r="D481" s="30" t="str">
        <x:v>TRADING</x:v>
      </x:c>
      <x:c r="E481" s="31" t="b">
        <x:v>1</x:v>
      </x:c>
      <x:c r="F481" s="32" t="n">
        <x:v>44516</x:v>
      </x:c>
      <x:c r="G481" s="32" t="n">
        <x:v>44516.999999988424</x:v>
      </x:c>
      <x:c r="H481" s="33" t="n">
        <x:f>IF(F481="","",('Summary'!$B$5-F481)/365.25)</x:f>
        <x:v>4.711875404023121</x:v>
      </x:c>
      <x:c r="I481" s="34" t="n">
        <x:v>0.45</x:v>
      </x:c>
      <x:c r="J481" s="35" t="n">
        <x:v>0.01351</x:v>
      </x:c>
      <x:c r="K481" s="36" t="n">
        <x:v>488289.8</x:v>
      </x:c>
      <x:c r="L481" s="36" t="n">
        <x:v>217249.51236</x:v>
      </x:c>
      <x:c r="M481" s="37" t="n">
        <x:v>6251</x:v>
      </x:c>
      <x:c r="N481" s="34" t="n">
        <x:v>0.45</x:v>
      </x:c>
      <x:c r="O481" s="34" t="n">
        <x:v>0.451</x:v>
      </x:c>
      <x:c r="P481" s="38" t="n">
        <x:f>IF(OR(N481="",O481="",N481=0,O481=0),"",(O481-N481)/((O481+N481)/2))</x:f>
        <x:v>0.0022197558268590473</x:v>
      </x:c>
      <x:c r="Q481" s="34" t="n">
        <x:v>0.44491921</x:v>
      </x:c>
      <x:c r="R481" s="34" t="n">
        <x:v>0.455</x:v>
      </x:c>
      <x:c r="S481" s="34" t="n">
        <x:v>0.437</x:v>
      </x:c>
      <x:c r="T481" s="32" t="n">
        <x:v>46236.01225871528</x:v>
      </x:c>
      <x:c r="U481" s="32" t="n">
        <x:v>46237.01225871528</x:v>
      </x:c>
      <x:c r="V481" s="34" t="n">
        <x:v>5</x:v>
      </x:c>
      <x:c r="W481" s="34" t="n">
        <x:v>0.01</x:v>
      </x:c>
      <x:c r="X481" s="34" t="n">
        <x:v>0.01</x:v>
      </x:c>
      <x:c r="Y481" s="34" t="n">
        <x:v>0.001</x:v>
      </x:c>
      <x:c r="Z481" s="30" t="str">
        <x:f>IF(AND(D481="TRADING",I481&lt;&gt;"",L481&lt;&gt;"",M481&lt;&gt;"",N481&lt;&gt;"",O481&lt;&gt;""),"Yes","No")</x:f>
        <x:v>Yes</x:v>
      </x:c>
      <x:c r="AA481" s="39" t="str">
        <x:v>https://developers.binance.com/en/docs/catalog/core-trading-spot-trading/api/rest-api</x:v>
      </x:c>
    </x:row>
    <x:row r="482">
      <x:c r="A482" s="30" t="str">
        <x:v>POWRUSDT</x:v>
      </x:c>
      <x:c r="B482" s="30" t="str">
        <x:v>POWR</x:v>
      </x:c>
      <x:c r="C482" s="30" t="str">
        <x:v>USDT</x:v>
      </x:c>
      <x:c r="D482" s="30" t="str">
        <x:v>TRADING</x:v>
      </x:c>
      <x:c r="E482" s="31" t="b">
        <x:v>1</x:v>
      </x:c>
      <x:c r="F482" s="32" t="n">
        <x:v>44517</x:v>
      </x:c>
      <x:c r="G482" s="32" t="n">
        <x:v>44517.999999988424</x:v>
      </x:c>
      <x:c r="H482" s="33" t="n">
        <x:f>IF(F482="","",('Summary'!$B$5-F482)/365.25)</x:f>
        <x:v>4.709137553235989</x:v>
      </x:c>
      <x:c r="I482" s="34" t="n">
        <x:v>0.0393</x:v>
      </x:c>
      <x:c r="J482" s="35" t="n">
        <x:v>-0.00254</x:v>
      </x:c>
      <x:c r="K482" s="36" t="n">
        <x:v>762846</x:v>
      </x:c>
      <x:c r="L482" s="36" t="n">
        <x:v>30060.7117</x:v>
      </x:c>
      <x:c r="M482" s="37" t="n">
        <x:v>449</x:v>
      </x:c>
      <x:c r="N482" s="34" t="n">
        <x:v>0.0393</x:v>
      </x:c>
      <x:c r="O482" s="34" t="n">
        <x:v>0.0394</x:v>
      </x:c>
      <x:c r="P482" s="38" t="n">
        <x:f>IF(OR(N482="",O482="",N482=0,O482=0),"",(O482-N482)/((O482+N482)/2))</x:f>
        <x:v>0.0025412960609910024</x:v>
      </x:c>
      <x:c r="Q482" s="34" t="n">
        <x:v>0.039406</x:v>
      </x:c>
      <x:c r="R482" s="34" t="n">
        <x:v>0.0399</x:v>
      </x:c>
      <x:c r="S482" s="34" t="n">
        <x:v>0.0391</x:v>
      </x:c>
      <x:c r="T482" s="32" t="n">
        <x:v>46236.0123284838</x:v>
      </x:c>
      <x:c r="U482" s="32" t="n">
        <x:v>46237.0123284838</x:v>
      </x:c>
      <x:c r="V482" s="34" t="n">
        <x:v>5</x:v>
      </x:c>
      <x:c r="W482" s="34" t="n">
        <x:v>1</x:v>
      </x:c>
      <x:c r="X482" s="34" t="n">
        <x:v>1</x:v>
      </x:c>
      <x:c r="Y482" s="34" t="n">
        <x:v>0.0001</x:v>
      </x:c>
      <x:c r="Z482" s="30" t="str">
        <x:f>IF(AND(D482="TRADING",I482&lt;&gt;"",L482&lt;&gt;"",M482&lt;&gt;"",N482&lt;&gt;"",O482&lt;&gt;""),"Yes","No")</x:f>
        <x:v>Yes</x:v>
      </x:c>
      <x:c r="AA482" s="39" t="str">
        <x:v>https://developers.binance.com/en/docs/catalog/core-trading-spot-trading/api/rest-api</x:v>
      </x:c>
    </x:row>
    <x:row r="483">
      <x:c r="A483" s="30" t="str">
        <x:v>PROMUSDT</x:v>
      </x:c>
      <x:c r="B483" s="30" t="str">
        <x:v>PROM</x:v>
      </x:c>
      <x:c r="C483" s="30" t="str">
        <x:v>USDT</x:v>
      </x:c>
      <x:c r="D483" s="30" t="str">
        <x:v>TRADING</x:v>
      </x:c>
      <x:c r="E483" s="31" t="b">
        <x:v>1</x:v>
      </x:c>
      <x:c r="F483" s="32" t="n">
        <x:v>45002</x:v>
      </x:c>
      <x:c r="G483" s="32" t="n">
        <x:v>45002.999999988424</x:v>
      </x:c>
      <x:c r="H483" s="33" t="n">
        <x:f>IF(F483="","",('Summary'!$B$5-F483)/365.25)</x:f>
        <x:v>3.38127992147692</x:v>
      </x:c>
      <x:c r="I483" s="34" t="n">
        <x:v>1.874</x:v>
      </x:c>
      <x:c r="J483" s="35" t="n">
        <x:v>-0.055439999999999996</x:v>
      </x:c>
      <x:c r="K483" s="36" t="n">
        <x:v>391727.37</x:v>
      </x:c>
      <x:c r="L483" s="36" t="n">
        <x:v>748267.43307</x:v>
      </x:c>
      <x:c r="M483" s="37" t="n">
        <x:v>13394</x:v>
      </x:c>
      <x:c r="N483" s="34" t="n">
        <x:v>1.873</x:v>
      </x:c>
      <x:c r="O483" s="34" t="n">
        <x:v>1.875</x:v>
      </x:c>
      <x:c r="P483" s="38" t="n">
        <x:f>IF(OR(N483="",O483="",N483=0,O483=0),"",(O483-N483)/((O483+N483)/2))</x:f>
        <x:v>0.0010672358591248675</x:v>
      </x:c>
      <x:c r="Q483" s="34" t="n">
        <x:v>1.91017399</x:v>
      </x:c>
      <x:c r="R483" s="34" t="n">
        <x:v>1.998</x:v>
      </x:c>
      <x:c r="S483" s="34" t="n">
        <x:v>1.826</x:v>
      </x:c>
      <x:c r="T483" s="32" t="n">
        <x:v>46236.01194417824</x:v>
      </x:c>
      <x:c r="U483" s="32" t="n">
        <x:v>46237.01194417824</x:v>
      </x:c>
      <x:c r="V483" s="34" t="n">
        <x:v>5</x:v>
      </x:c>
      <x:c r="W483" s="34" t="n">
        <x:v>0.01</x:v>
      </x:c>
      <x:c r="X483" s="34" t="n">
        <x:v>0.01</x:v>
      </x:c>
      <x:c r="Y483" s="34" t="n">
        <x:v>0.001</x:v>
      </x:c>
      <x:c r="Z483" s="30" t="str">
        <x:f>IF(AND(D483="TRADING",I483&lt;&gt;"",L483&lt;&gt;"",M483&lt;&gt;"",N483&lt;&gt;"",O483&lt;&gt;""),"Yes","No")</x:f>
        <x:v>Yes</x:v>
      </x:c>
      <x:c r="AA483" s="39" t="str">
        <x:v>https://developers.binance.com/en/docs/catalog/core-trading-spot-trading/api/rest-api</x:v>
      </x:c>
    </x:row>
    <x:row r="484">
      <x:c r="A484" s="30" t="str">
        <x:v>PROSUSDT</x:v>
      </x:c>
      <x:c r="B484" s="30" t="str">
        <x:v>PROS</x:v>
      </x:c>
      <x:c r="C484" s="30" t="str">
        <x:v>USDT</x:v>
      </x:c>
      <x:c r="D484" s="30" t="str">
        <x:v>BREAK</x:v>
      </x:c>
      <x:c r="E484" s="31" t="b">
        <x:v>1</x:v>
      </x:c>
      <x:c r="F484" s="32" t="n">
        <x:v>44953</x:v>
      </x:c>
      <x:c r="G484" s="32" t="n">
        <x:v>44953.999999988424</x:v>
      </x:c>
      <x:c r="H484" s="33" t="n">
        <x:f>IF(F484="","",('Summary'!$B$5-F484)/365.25)</x:f>
        <x:v>3.515434610046393</x:v>
      </x:c>
      <x:c r="I484" s="34" t="n">
        <x:v>0.0372</x:v>
      </x:c>
      <x:c r="J484" s="35" t="n">
        <x:v>-0.25896</x:v>
      </x:c>
      <x:c r="K484" s="36" t="n">
        <x:v>2618284</x:v>
      </x:c>
      <x:c r="L484" s="36" t="n">
        <x:v>112537.9207</x:v>
      </x:c>
      <x:c r="M484" s="37" t="n">
        <x:v>4001</x:v>
      </x:c>
      <x:c r="N484" s="34" t="n">
        <x:v>0</x:v>
      </x:c>
      <x:c r="O484" s="34" t="n">
        <x:v>0</x:v>
      </x:c>
      <x:c r="P484" s="38" t="str">
        <x:f>IF(OR(N484="",O484="",N484=0,O484=0),"",(O484-N484)/((O484+N484)/2))</x:f>
      </x:c>
      <x:c r="Q484" s="34" t="n">
        <x:v>0.04298156</x:v>
      </x:c>
      <x:c r="R484" s="34" t="n">
        <x:v>0.052</x:v>
      </x:c>
      <x:c r="S484" s="34" t="n">
        <x:v>0.035</x:v>
      </x:c>
      <x:c r="T484" s="32" t="n">
        <x:v>46209.26112309028</x:v>
      </x:c>
      <x:c r="U484" s="32" t="n">
        <x:v>46210.26112309028</x:v>
      </x:c>
      <x:c r="V484" s="34" t="n">
        <x:v>5</x:v>
      </x:c>
      <x:c r="W484" s="34" t="n">
        <x:v>1</x:v>
      </x:c>
      <x:c r="X484" s="34" t="n">
        <x:v>1</x:v>
      </x:c>
      <x:c r="Y484" s="34" t="n">
        <x:v>0.0001</x:v>
      </x:c>
      <x:c r="Z484" s="30" t="str">
        <x:f>IF(AND(D484="TRADING",I484&lt;&gt;"",L484&lt;&gt;"",M484&lt;&gt;"",N484&lt;&gt;"",O484&lt;&gt;""),"Yes","No")</x:f>
        <x:v>No</x:v>
      </x:c>
      <x:c r="AA484" s="39" t="str">
        <x:v>https://developers.binance.com/en/docs/catalog/core-trading-spot-trading/api/rest-api</x:v>
      </x:c>
    </x:row>
    <x:row r="485">
      <x:c r="A485" s="30" t="str">
        <x:v>PROVEUSDT</x:v>
      </x:c>
      <x:c r="B485" s="30" t="str">
        <x:v>PROVE</x:v>
      </x:c>
      <x:c r="C485" s="30" t="str">
        <x:v>USDT</x:v>
      </x:c>
      <x:c r="D485" s="30" t="str">
        <x:v>TRADING</x:v>
      </x:c>
      <x:c r="E485" s="31" t="b">
        <x:v>1</x:v>
      </x:c>
      <x:c r="F485" s="32" t="n">
        <x:v>45874</x:v>
      </x:c>
      <x:c r="G485" s="32" t="n">
        <x:v>45874.999999988424</x:v>
      </x:c>
      <x:c r="H485" s="33" t="n">
        <x:f>IF(F485="","",('Summary'!$B$5-F485)/365.25)</x:f>
        <x:v>0.9938740350977274</x:v>
      </x:c>
      <x:c r="I485" s="34" t="n">
        <x:v>0.1668</x:v>
      </x:c>
      <x:c r="J485" s="35" t="n">
        <x:v>-0.01418</x:v>
      </x:c>
      <x:c r="K485" s="36" t="n">
        <x:v>836568.3</x:v>
      </x:c>
      <x:c r="L485" s="36" t="n">
        <x:v>141107.51195</x:v>
      </x:c>
      <x:c r="M485" s="37" t="n">
        <x:v>3369</x:v>
      </x:c>
      <x:c r="N485" s="34" t="n">
        <x:v>0.1668</x:v>
      </x:c>
      <x:c r="O485" s="34" t="n">
        <x:v>0.1669</x:v>
      </x:c>
      <x:c r="P485" s="38" t="n">
        <x:f>IF(OR(N485="",O485="",N485=0,O485=0),"",(O485-N485)/((O485+N485)/2))</x:f>
        <x:v>0.0005993407252022115</x:v>
      </x:c>
      <x:c r="Q485" s="34" t="n">
        <x:v>0.16867423</x:v>
      </x:c>
      <x:c r="R485" s="34" t="n">
        <x:v>0.1714</x:v>
      </x:c>
      <x:c r="S485" s="34" t="n">
        <x:v>0.1662</x:v>
      </x:c>
      <x:c r="T485" s="32" t="n">
        <x:v>46236.01248710648</x:v>
      </x:c>
      <x:c r="U485" s="32" t="n">
        <x:v>46237.01248710648</x:v>
      </x:c>
      <x:c r="V485" s="34" t="n">
        <x:v>5</x:v>
      </x:c>
      <x:c r="W485" s="34" t="n">
        <x:v>0.1</x:v>
      </x:c>
      <x:c r="X485" s="34" t="n">
        <x:v>0.1</x:v>
      </x:c>
      <x:c r="Y485" s="34" t="n">
        <x:v>0.0001</x:v>
      </x:c>
      <x:c r="Z485" s="30" t="str">
        <x:f>IF(AND(D485="TRADING",I485&lt;&gt;"",L485&lt;&gt;"",M485&lt;&gt;"",N485&lt;&gt;"",O485&lt;&gt;""),"Yes","No")</x:f>
        <x:v>Yes</x:v>
      </x:c>
      <x:c r="AA485" s="39" t="str">
        <x:v>https://developers.binance.com/en/docs/catalog/core-trading-spot-trading/api/rest-api</x:v>
      </x:c>
    </x:row>
    <x:row r="486">
      <x:c r="A486" s="30" t="str">
        <x:v>PSGUSDT</x:v>
      </x:c>
      <x:c r="B486" s="30" t="str">
        <x:v>PSG</x:v>
      </x:c>
      <x:c r="C486" s="30" t="str">
        <x:v>USDT</x:v>
      </x:c>
      <x:c r="D486" s="30" t="str">
        <x:v>TRADING</x:v>
      </x:c>
      <x:c r="E486" s="31" t="b">
        <x:v>1</x:v>
      </x:c>
      <x:c r="F486" s="32" t="n">
        <x:v>44186</x:v>
      </x:c>
      <x:c r="G486" s="32" t="n">
        <x:v>44186.999999988424</x:v>
      </x:c>
      <x:c r="H486" s="33" t="n">
        <x:f>IF(F486="","",('Summary'!$B$5-F486)/365.25)</x:f>
        <x:v>5.615366163776715</x:v>
      </x:c>
      <x:c r="I486" s="34" t="n">
        <x:v>0.499</x:v>
      </x:c>
      <x:c r="J486" s="35" t="n">
        <x:v>0.01423</x:v>
      </x:c>
      <x:c r="K486" s="36" t="n">
        <x:v>261116.3</x:v>
      </x:c>
      <x:c r="L486" s="36" t="n">
        <x:v>129356.72669</x:v>
      </x:c>
      <x:c r="M486" s="37" t="n">
        <x:v>2072</x:v>
      </x:c>
      <x:c r="N486" s="34" t="n">
        <x:v>0.499</x:v>
      </x:c>
      <x:c r="O486" s="34" t="n">
        <x:v>0.5</x:v>
      </x:c>
      <x:c r="P486" s="38" t="n">
        <x:f>IF(OR(N486="",O486="",N486=0,O486=0),"",(O486-N486)/((O486+N486)/2))</x:f>
        <x:v>0.0020020020020020037</x:v>
      </x:c>
      <x:c r="Q486" s="34" t="n">
        <x:v>0.4953989</x:v>
      </x:c>
      <x:c r="R486" s="34" t="n">
        <x:v>0.502</x:v>
      </x:c>
      <x:c r="S486" s="34" t="n">
        <x:v>0.49</x:v>
      </x:c>
      <x:c r="T486" s="32" t="n">
        <x:v>46236.012383298614</x:v>
      </x:c>
      <x:c r="U486" s="32" t="n">
        <x:v>46237.012383298614</x:v>
      </x:c>
      <x:c r="V486" s="34" t="n">
        <x:v>5</x:v>
      </x:c>
      <x:c r="W486" s="34" t="n">
        <x:v>0.01</x:v>
      </x:c>
      <x:c r="X486" s="34" t="n">
        <x:v>0.01</x:v>
      </x:c>
      <x:c r="Y486" s="34" t="n">
        <x:v>0.001</x:v>
      </x:c>
      <x:c r="Z486" s="30" t="str">
        <x:f>IF(AND(D486="TRADING",I486&lt;&gt;"",L486&lt;&gt;"",M486&lt;&gt;"",N486&lt;&gt;"",O486&lt;&gt;""),"Yes","No")</x:f>
        <x:v>Yes</x:v>
      </x:c>
      <x:c r="AA486" s="39" t="str">
        <x:v>https://developers.binance.com/en/docs/catalog/core-trading-spot-trading/api/rest-api</x:v>
      </x:c>
    </x:row>
    <x:row r="487">
      <x:c r="A487" s="30" t="str">
        <x:v>PUMPUSDT</x:v>
      </x:c>
      <x:c r="B487" s="30" t="str">
        <x:v>PUMP</x:v>
      </x:c>
      <x:c r="C487" s="30" t="str">
        <x:v>USDT</x:v>
      </x:c>
      <x:c r="D487" s="30" t="str">
        <x:v>TRADING</x:v>
      </x:c>
      <x:c r="E487" s="31" t="b">
        <x:v>1</x:v>
      </x:c>
      <x:c r="F487" s="32" t="n">
        <x:v>45911</x:v>
      </x:c>
      <x:c r="G487" s="32" t="n">
        <x:v>45911.999999988424</x:v>
      </x:c>
      <x:c r="H487" s="33" t="n">
        <x:f>IF(F487="","",('Summary'!$B$5-F487)/365.25)</x:f>
        <x:v>0.8925735559738397</x:v>
      </x:c>
      <x:c r="I487" s="34" t="n">
        <x:v>0.002074</x:v>
      </x:c>
      <x:c r="J487" s="35" t="n">
        <x:v>-0.0322</x:v>
      </x:c>
      <x:c r="K487" s="36" t="n">
        <x:v>4507513348</x:v>
      </x:c>
      <x:c r="L487" s="36" t="n">
        <x:v>9903992.031879</x:v>
      </x:c>
      <x:c r="M487" s="37" t="n">
        <x:v>84861</x:v>
      </x:c>
      <x:c r="N487" s="34" t="n">
        <x:v>0.002074</x:v>
      </x:c>
      <x:c r="O487" s="34" t="n">
        <x:v>0.002075</x:v>
      </x:c>
      <x:c r="P487" s="38" t="n">
        <x:f>IF(OR(N487="",O487="",N487=0,O487=0),"",(O487-N487)/((O487+N487)/2))</x:f>
        <x:v>0.00048204386599186923</x:v>
      </x:c>
      <x:c r="Q487" s="34" t="n">
        <x:v>0.00219722</x:v>
      </x:c>
      <x:c r="R487" s="34" t="n">
        <x:v>0.002289</x:v>
      </x:c>
      <x:c r="S487" s="34" t="n">
        <x:v>0.002069</x:v>
      </x:c>
      <x:c r="T487" s="32" t="n">
        <x:v>46236.012491319445</x:v>
      </x:c>
      <x:c r="U487" s="32" t="n">
        <x:v>46237.012491319445</x:v>
      </x:c>
      <x:c r="V487" s="34" t="n">
        <x:v>5</x:v>
      </x:c>
      <x:c r="W487" s="34" t="n">
        <x:v>1</x:v>
      </x:c>
      <x:c r="X487" s="34" t="n">
        <x:v>1</x:v>
      </x:c>
      <x:c r="Y487" s="34" t="n">
        <x:v>0.000001</x:v>
      </x:c>
      <x:c r="Z487" s="30" t="str">
        <x:f>IF(AND(D487="TRADING",I487&lt;&gt;"",L487&lt;&gt;"",M487&lt;&gt;"",N487&lt;&gt;"",O487&lt;&gt;""),"Yes","No")</x:f>
        <x:v>Yes</x:v>
      </x:c>
      <x:c r="AA487" s="39" t="str">
        <x:v>https://developers.binance.com/en/docs/catalog/core-trading-spot-trading/api/rest-api</x:v>
      </x:c>
    </x:row>
    <x:row r="488">
      <x:c r="A488" s="30" t="str">
        <x:v>PUNDIXUSDT</x:v>
      </x:c>
      <x:c r="B488" s="30" t="str">
        <x:v>PUNDIX</x:v>
      </x:c>
      <x:c r="C488" s="30" t="str">
        <x:v>USDT</x:v>
      </x:c>
      <x:c r="D488" s="30" t="str">
        <x:v>TRADING</x:v>
      </x:c>
      <x:c r="E488" s="31" t="b">
        <x:v>1</x:v>
      </x:c>
      <x:c r="F488" s="32" t="n">
        <x:v>44295</x:v>
      </x:c>
      <x:c r="G488" s="32" t="n">
        <x:v>44295.999999988424</x:v>
      </x:c>
      <x:c r="H488" s="33" t="n">
        <x:f>IF(F488="","",('Summary'!$B$5-F488)/365.25)</x:f>
        <x:v>5.316940427979316</x:v>
      </x:c>
      <x:c r="I488" s="34" t="n">
        <x:v>0.0757</x:v>
      </x:c>
      <x:c r="J488" s="35" t="n">
        <x:v>-0.00395</x:v>
      </x:c>
      <x:c r="K488" s="36" t="n">
        <x:v>586522.2</x:v>
      </x:c>
      <x:c r="L488" s="36" t="n">
        <x:v>44573.75001</x:v>
      </x:c>
      <x:c r="M488" s="37" t="n">
        <x:v>343</x:v>
      </x:c>
      <x:c r="N488" s="34" t="n">
        <x:v>0.0757</x:v>
      </x:c>
      <x:c r="O488" s="34" t="n">
        <x:v>0.0758</x:v>
      </x:c>
      <x:c r="P488" s="38" t="n">
        <x:f>IF(OR(N488="",O488="",N488=0,O488=0),"",(O488-N488)/((O488+N488)/2))</x:f>
        <x:v>0.0013201320132013577</x:v>
      </x:c>
      <x:c r="Q488" s="34" t="n">
        <x:v>0.0759967</x:v>
      </x:c>
      <x:c r="R488" s="34" t="n">
        <x:v>0.0767</x:v>
      </x:c>
      <x:c r="S488" s="34" t="n">
        <x:v>0.0757</x:v>
      </x:c>
      <x:c r="T488" s="32" t="n">
        <x:v>46236.01207319445</x:v>
      </x:c>
      <x:c r="U488" s="32" t="n">
        <x:v>46237.01207319445</x:v>
      </x:c>
      <x:c r="V488" s="34" t="n">
        <x:v>5</x:v>
      </x:c>
      <x:c r="W488" s="34" t="n">
        <x:v>0.1</x:v>
      </x:c>
      <x:c r="X488" s="34" t="n">
        <x:v>0.1</x:v>
      </x:c>
      <x:c r="Y488" s="34" t="n">
        <x:v>0.0001</x:v>
      </x:c>
      <x:c r="Z488" s="30" t="str">
        <x:f>IF(AND(D488="TRADING",I488&lt;&gt;"",L488&lt;&gt;"",M488&lt;&gt;"",N488&lt;&gt;"",O488&lt;&gt;""),"Yes","No")</x:f>
        <x:v>Yes</x:v>
      </x:c>
      <x:c r="AA488" s="39" t="str">
        <x:v>https://developers.binance.com/en/docs/catalog/core-trading-spot-trading/api/rest-api</x:v>
      </x:c>
    </x:row>
    <x:row r="489">
      <x:c r="A489" s="30" t="str">
        <x:v>PYPLBUSDT</x:v>
      </x:c>
      <x:c r="B489" s="30" t="str">
        <x:v>PYPLB</x:v>
      </x:c>
      <x:c r="C489" s="30" t="str">
        <x:v>USDT</x:v>
      </x:c>
      <x:c r="D489" s="30" t="str">
        <x:v>TRADING</x:v>
      </x:c>
      <x:c r="E489" s="31" t="b">
        <x:v>1</x:v>
      </x:c>
      <x:c r="F489" s="32" t="n">
        <x:v>46232</x:v>
      </x:c>
      <x:c r="G489" s="32" t="n">
        <x:v>46232.999999988424</x:v>
      </x:c>
      <x:c r="H489" s="33" t="n">
        <x:f>IF(F489="","",('Summary'!$B$5-F489)/365.25)</x:f>
        <x:v>0.013723453304435213</x:v>
      </x:c>
      <x:c r="I489" s="34" t="n">
        <x:v>57.81</x:v>
      </x:c>
      <x:c r="J489" s="35" t="n">
        <x:v>-0.007890000000000001</x:v>
      </x:c>
      <x:c r="K489" s="36" t="n">
        <x:v>107.38</x:v>
      </x:c>
      <x:c r="L489" s="36" t="n">
        <x:v>6191.3366</x:v>
      </x:c>
      <x:c r="M489" s="37" t="n">
        <x:v>196</x:v>
      </x:c>
      <x:c r="N489" s="34" t="n">
        <x:v>57.19</x:v>
      </x:c>
      <x:c r="O489" s="34" t="n">
        <x:v>57.53</x:v>
      </x:c>
      <x:c r="P489" s="38" t="n">
        <x:f>IF(OR(N489="",O489="",N489=0,O489=0),"",(O489-N489)/((O489+N489)/2))</x:f>
        <x:v>0.005927475592747619</x:v>
      </x:c>
      <x:c r="Q489" s="34" t="n">
        <x:v>57.65819147</x:v>
      </x:c>
      <x:c r="R489" s="34" t="n">
        <x:v>58.3</x:v>
      </x:c>
      <x:c r="S489" s="34" t="n">
        <x:v>56.91</x:v>
      </x:c>
      <x:c r="T489" s="32" t="n">
        <x:v>46236.012380671295</x:v>
      </x:c>
      <x:c r="U489" s="32" t="n">
        <x:v>46237.012380671295</x:v>
      </x:c>
      <x:c r="V489" s="34" t="n">
        <x:v>5</x:v>
      </x:c>
      <x:c r="W489" s="34" t="n">
        <x:v>0.01</x:v>
      </x:c>
      <x:c r="X489" s="34" t="n">
        <x:v>0.01</x:v>
      </x:c>
      <x:c r="Y489" s="34" t="n">
        <x:v>0.01</x:v>
      </x:c>
      <x:c r="Z489" s="30" t="str">
        <x:f>IF(AND(D489="TRADING",I489&lt;&gt;"",L489&lt;&gt;"",M489&lt;&gt;"",N489&lt;&gt;"",O489&lt;&gt;""),"Yes","No")</x:f>
        <x:v>Yes</x:v>
      </x:c>
      <x:c r="AA489" s="39" t="str">
        <x:v>https://developers.binance.com/en/docs/catalog/core-trading-spot-trading/api/rest-api</x:v>
      </x:c>
    </x:row>
    <x:row r="490">
      <x:c r="A490" s="30" t="str">
        <x:v>PYRUSDT</x:v>
      </x:c>
      <x:c r="B490" s="30" t="str">
        <x:v>PYR</x:v>
      </x:c>
      <x:c r="C490" s="30" t="str">
        <x:v>USDT</x:v>
      </x:c>
      <x:c r="D490" s="30" t="str">
        <x:v>TRADING</x:v>
      </x:c>
      <x:c r="E490" s="31" t="b">
        <x:v>1</x:v>
      </x:c>
      <x:c r="F490" s="32" t="n">
        <x:v>44526</x:v>
      </x:c>
      <x:c r="G490" s="32" t="n">
        <x:v>44526.999999988424</x:v>
      </x:c>
      <x:c r="H490" s="33" t="n">
        <x:f>IF(F490="","",('Summary'!$B$5-F490)/365.25)</x:f>
        <x:v>4.6844968961518</x:v>
      </x:c>
      <x:c r="I490" s="34" t="n">
        <x:v>0.071</x:v>
      </x:c>
      <x:c r="J490" s="35" t="n">
        <x:v>-0.0274</x:v>
      </x:c>
      <x:c r="K490" s="36" t="n">
        <x:v>4663879.996</x:v>
      </x:c>
      <x:c r="L490" s="36" t="n">
        <x:v>336647.419083</x:v>
      </x:c>
      <x:c r="M490" s="37" t="n">
        <x:v>3261</x:v>
      </x:c>
      <x:c r="N490" s="34" t="n">
        <x:v>0.07</x:v>
      </x:c>
      <x:c r="O490" s="34" t="n">
        <x:v>0.071</x:v>
      </x:c>
      <x:c r="P490" s="38" t="n">
        <x:f>IF(OR(N490="",O490="",N490=0,O490=0),"",(O490-N490)/((O490+N490)/2))</x:f>
        <x:v>0.014184397163120381</x:v>
      </x:c>
      <x:c r="Q490" s="34" t="n">
        <x:v>0.07218184</x:v>
      </x:c>
      <x:c r="R490" s="34" t="n">
        <x:v>0.076</x:v>
      </x:c>
      <x:c r="S490" s="34" t="n">
        <x:v>0.07</x:v>
      </x:c>
      <x:c r="T490" s="32" t="n">
        <x:v>46236.01074424769</x:v>
      </x:c>
      <x:c r="U490" s="32" t="n">
        <x:v>46237.01074424769</x:v>
      </x:c>
      <x:c r="V490" s="34" t="n">
        <x:v>5</x:v>
      </x:c>
      <x:c r="W490" s="34" t="n">
        <x:v>0.001</x:v>
      </x:c>
      <x:c r="X490" s="34" t="n">
        <x:v>0.001</x:v>
      </x:c>
      <x:c r="Y490" s="34" t="n">
        <x:v>0.001</x:v>
      </x:c>
      <x:c r="Z490" s="30" t="str">
        <x:f>IF(AND(D490="TRADING",I490&lt;&gt;"",L490&lt;&gt;"",M490&lt;&gt;"",N490&lt;&gt;"",O490&lt;&gt;""),"Yes","No")</x:f>
        <x:v>Yes</x:v>
      </x:c>
      <x:c r="AA490" s="39" t="str">
        <x:v>https://developers.binance.com/en/docs/catalog/core-trading-spot-trading/api/rest-api</x:v>
      </x:c>
    </x:row>
    <x:row r="491">
      <x:c r="A491" s="30" t="str">
        <x:v>PYTHUSDT</x:v>
      </x:c>
      <x:c r="B491" s="30" t="str">
        <x:v>PYTH</x:v>
      </x:c>
      <x:c r="C491" s="30" t="str">
        <x:v>USDT</x:v>
      </x:c>
      <x:c r="D491" s="30" t="str">
        <x:v>TRADING</x:v>
      </x:c>
      <x:c r="E491" s="31" t="b">
        <x:v>1</x:v>
      </x:c>
      <x:c r="F491" s="32" t="n">
        <x:v>45324</x:v>
      </x:c>
      <x:c r="G491" s="32" t="n">
        <x:v>45324.999999988424</x:v>
      </x:c>
      <x:c r="H491" s="33" t="n">
        <x:f>IF(F491="","",('Summary'!$B$5-F491)/365.25)</x:f>
        <x:v>2.4996919680203833</x:v>
      </x:c>
      <x:c r="I491" s="34" t="n">
        <x:v>0.03921</x:v>
      </x:c>
      <x:c r="J491" s="35" t="n">
        <x:v>0.00358</x:v>
      </x:c>
      <x:c r="K491" s="36" t="n">
        <x:v>25501496.3</x:v>
      </x:c>
      <x:c r="L491" s="36" t="n">
        <x:v>1011745.31655</x:v>
      </x:c>
      <x:c r="M491" s="37" t="n">
        <x:v>16793</x:v>
      </x:c>
      <x:c r="N491" s="34" t="n">
        <x:v>0.03917</x:v>
      </x:c>
      <x:c r="O491" s="34" t="n">
        <x:v>0.0392</x:v>
      </x:c>
      <x:c r="P491" s="38" t="n">
        <x:f>IF(OR(N491="",O491="",N491=0,O491=0),"",(O491-N491)/((O491+N491)/2))</x:f>
        <x:v>0.0007655990812809828</x:v>
      </x:c>
      <x:c r="Q491" s="34" t="n">
        <x:v>0.03967396</x:v>
      </x:c>
      <x:c r="R491" s="34" t="n">
        <x:v>0.04045</x:v>
      </x:c>
      <x:c r="S491" s="34" t="n">
        <x:v>0.03878</x:v>
      </x:c>
      <x:c r="T491" s="32" t="n">
        <x:v>46236.01248027778</x:v>
      </x:c>
      <x:c r="U491" s="32" t="n">
        <x:v>46237.01248027778</x:v>
      </x:c>
      <x:c r="V491" s="34" t="n">
        <x:v>5</x:v>
      </x:c>
      <x:c r="W491" s="34" t="n">
        <x:v>0.1</x:v>
      </x:c>
      <x:c r="X491" s="34" t="n">
        <x:v>0.1</x:v>
      </x:c>
      <x:c r="Y491" s="34" t="n">
        <x:v>0.00001</x:v>
      </x:c>
      <x:c r="Z491" s="30" t="str">
        <x:f>IF(AND(D491="TRADING",I491&lt;&gt;"",L491&lt;&gt;"",M491&lt;&gt;"",N491&lt;&gt;"",O491&lt;&gt;""),"Yes","No")</x:f>
        <x:v>Yes</x:v>
      </x:c>
      <x:c r="AA491" s="39" t="str">
        <x:v>https://developers.binance.com/en/docs/catalog/core-trading-spot-trading/api/rest-api</x:v>
      </x:c>
    </x:row>
    <x:row r="492">
      <x:c r="A492" s="30" t="str">
        <x:v>QCOMBUSDT</x:v>
      </x:c>
      <x:c r="B492" s="30" t="str">
        <x:v>QCOMB</x:v>
      </x:c>
      <x:c r="C492" s="30" t="str">
        <x:v>USDT</x:v>
      </x:c>
      <x:c r="D492" s="30" t="str">
        <x:v>TRADING</x:v>
      </x:c>
      <x:c r="E492" s="31" t="b">
        <x:v>1</x:v>
      </x:c>
      <x:c r="F492" s="32" t="n">
        <x:v>46210</x:v>
      </x:c>
      <x:c r="G492" s="32" t="n">
        <x:v>46210.999999988424</x:v>
      </x:c>
      <x:c r="H492" s="33" t="n">
        <x:f>IF(F492="","",('Summary'!$B$5-F492)/365.25)</x:f>
        <x:v>0.07395617062134144</x:v>
      </x:c>
      <x:c r="I492" s="34" t="n">
        <x:v>149.09</x:v>
      </x:c>
      <x:c r="J492" s="35" t="n">
        <x:v>-0.00034</x:v>
      </x:c>
      <x:c r="K492" s="36" t="n">
        <x:v>337.866</x:v>
      </x:c>
      <x:c r="L492" s="36" t="n">
        <x:v>50687.88982</x:v>
      </x:c>
      <x:c r="M492" s="37" t="n">
        <x:v>1136</x:v>
      </x:c>
      <x:c r="N492" s="34" t="n">
        <x:v>148.69</x:v>
      </x:c>
      <x:c r="O492" s="34" t="n">
        <x:v>149.15</x:v>
      </x:c>
      <x:c r="P492" s="38" t="n">
        <x:f>IF(OR(N492="",O492="",N492=0,O492=0),"",(O492-N492)/((O492+N492)/2))</x:f>
        <x:v>0.0030889067955950033</x:v>
      </x:c>
      <x:c r="Q492" s="34" t="n">
        <x:v>150.0236479</x:v>
      </x:c>
      <x:c r="R492" s="34" t="n">
        <x:v>151.22</x:v>
      </x:c>
      <x:c r="S492" s="34" t="n">
        <x:v>148.49</x:v>
      </x:c>
      <x:c r="T492" s="32" t="n">
        <x:v>46236.01248064815</x:v>
      </x:c>
      <x:c r="U492" s="32" t="n">
        <x:v>46237.01248064815</x:v>
      </x:c>
      <x:c r="V492" s="34" t="n">
        <x:v>5</x:v>
      </x:c>
      <x:c r="W492" s="34" t="n">
        <x:v>0.001</x:v>
      </x:c>
      <x:c r="X492" s="34" t="n">
        <x:v>0.001</x:v>
      </x:c>
      <x:c r="Y492" s="34" t="n">
        <x:v>0.01</x:v>
      </x:c>
      <x:c r="Z492" s="30" t="str">
        <x:f>IF(AND(D492="TRADING",I492&lt;&gt;"",L492&lt;&gt;"",M492&lt;&gt;"",N492&lt;&gt;"",O492&lt;&gt;""),"Yes","No")</x:f>
        <x:v>Yes</x:v>
      </x:c>
      <x:c r="AA492" s="39" t="str">
        <x:v>https://developers.binance.com/en/docs/catalog/core-trading-spot-trading/api/rest-api</x:v>
      </x:c>
    </x:row>
    <x:row r="493">
      <x:c r="A493" s="30" t="str">
        <x:v>QIUSDT</x:v>
      </x:c>
      <x:c r="B493" s="30" t="str">
        <x:v>QI</x:v>
      </x:c>
      <x:c r="C493" s="30" t="str">
        <x:v>USDT</x:v>
      </x:c>
      <x:c r="D493" s="30" t="str">
        <x:v>TRADING</x:v>
      </x:c>
      <x:c r="E493" s="31" t="b">
        <x:v>1</x:v>
      </x:c>
      <x:c r="F493" s="32" t="n">
        <x:v>44515</x:v>
      </x:c>
      <x:c r="G493" s="32" t="n">
        <x:v>44515.999999988424</x:v>
      </x:c>
      <x:c r="H493" s="33" t="n">
        <x:f>IF(F493="","",('Summary'!$B$5-F493)/365.25)</x:f>
        <x:v>4.714613254810253</x:v>
      </x:c>
      <x:c r="I493" s="34" t="n">
        <x:v>0.001256</x:v>
      </x:c>
      <x:c r="J493" s="35" t="n">
        <x:v>-0.0039700000000000004</x:v>
      </x:c>
      <x:c r="K493" s="36" t="n">
        <x:v>233323858</x:v>
      </x:c>
      <x:c r="L493" s="36" t="n">
        <x:v>297128.857722</x:v>
      </x:c>
      <x:c r="M493" s="37" t="n">
        <x:v>9068</x:v>
      </x:c>
      <x:c r="N493" s="34" t="n">
        <x:v>0.001255</x:v>
      </x:c>
      <x:c r="O493" s="34" t="n">
        <x:v>0.001257</x:v>
      </x:c>
      <x:c r="P493" s="38" t="n">
        <x:f>IF(OR(N493="",O493="",N493=0,O493=0),"",(O493-N493)/((O493+N493)/2))</x:f>
        <x:v>0.0015923566878981276</x:v>
      </x:c>
      <x:c r="Q493" s="34" t="n">
        <x:v>0.00127346</x:v>
      </x:c>
      <x:c r="R493" s="34" t="n">
        <x:v>0.00131</x:v>
      </x:c>
      <x:c r="S493" s="34" t="n">
        <x:v>0.001243</x:v>
      </x:c>
      <x:c r="T493" s="32" t="n">
        <x:v>46236.012454780095</x:v>
      </x:c>
      <x:c r="U493" s="32" t="n">
        <x:v>46237.012454780095</x:v>
      </x:c>
      <x:c r="V493" s="34" t="n">
        <x:v>5</x:v>
      </x:c>
      <x:c r="W493" s="34" t="n">
        <x:v>1</x:v>
      </x:c>
      <x:c r="X493" s="34" t="n">
        <x:v>1</x:v>
      </x:c>
      <x:c r="Y493" s="34" t="n">
        <x:v>0.000001</x:v>
      </x:c>
      <x:c r="Z493" s="30" t="str">
        <x:f>IF(AND(D493="TRADING",I493&lt;&gt;"",L493&lt;&gt;"",M493&lt;&gt;"",N493&lt;&gt;"",O493&lt;&gt;""),"Yes","No")</x:f>
        <x:v>Yes</x:v>
      </x:c>
      <x:c r="AA493" s="39" t="str">
        <x:v>https://developers.binance.com/en/docs/catalog/core-trading-spot-trading/api/rest-api</x:v>
      </x:c>
    </x:row>
    <x:row r="494">
      <x:c r="A494" s="30" t="str">
        <x:v>QKCUSDT</x:v>
      </x:c>
      <x:c r="B494" s="30" t="str">
        <x:v>QKC</x:v>
      </x:c>
      <x:c r="C494" s="30" t="str">
        <x:v>USDT</x:v>
      </x:c>
      <x:c r="D494" s="30" t="str">
        <x:v>TRADING</x:v>
      </x:c>
      <x:c r="E494" s="31" t="b">
        <x:v>1</x:v>
      </x:c>
      <x:c r="F494" s="32" t="n">
        <x:v>45002</x:v>
      </x:c>
      <x:c r="G494" s="32" t="n">
        <x:v>45002.999999988424</x:v>
      </x:c>
      <x:c r="H494" s="33" t="n">
        <x:f>IF(F494="","",('Summary'!$B$5-F494)/365.25)</x:f>
        <x:v>3.38127992147692</x:v>
      </x:c>
      <x:c r="I494" s="34" t="n">
        <x:v>0.001975</x:v>
      </x:c>
      <x:c r="J494" s="35" t="n">
        <x:v>0.0066300000000000005</x:v>
      </x:c>
      <x:c r="K494" s="36" t="n">
        <x:v>24019398</x:v>
      </x:c>
      <x:c r="L494" s="36" t="n">
        <x:v>47303.817677</x:v>
      </x:c>
      <x:c r="M494" s="37" t="n">
        <x:v>1574</x:v>
      </x:c>
      <x:c r="N494" s="34" t="n">
        <x:v>0.001974</x:v>
      </x:c>
      <x:c r="O494" s="34" t="n">
        <x:v>0.001981</x:v>
      </x:c>
      <x:c r="P494" s="38" t="n">
        <x:f>IF(OR(N494="",O494="",N494=0,O494=0),"",(O494-N494)/((O494+N494)/2))</x:f>
        <x:v>0.0035398230088495887</x:v>
      </x:c>
      <x:c r="Q494" s="34" t="n">
        <x:v>0.0019694</x:v>
      </x:c>
      <x:c r="R494" s="34" t="n">
        <x:v>0.001998</x:v>
      </x:c>
      <x:c r="S494" s="34" t="n">
        <x:v>0.00194</x:v>
      </x:c>
      <x:c r="T494" s="32" t="n">
        <x:v>46236.01222099537</x:v>
      </x:c>
      <x:c r="U494" s="32" t="n">
        <x:v>46237.01222099537</x:v>
      </x:c>
      <x:c r="V494" s="34" t="n">
        <x:v>5</x:v>
      </x:c>
      <x:c r="W494" s="34" t="n">
        <x:v>1</x:v>
      </x:c>
      <x:c r="X494" s="34" t="n">
        <x:v>1</x:v>
      </x:c>
      <x:c r="Y494" s="34" t="n">
        <x:v>0.000001</x:v>
      </x:c>
      <x:c r="Z494" s="30" t="str">
        <x:f>IF(AND(D494="TRADING",I494&lt;&gt;"",L494&lt;&gt;"",M494&lt;&gt;"",N494&lt;&gt;"",O494&lt;&gt;""),"Yes","No")</x:f>
        <x:v>Yes</x:v>
      </x:c>
      <x:c r="AA494" s="39" t="str">
        <x:v>https://developers.binance.com/en/docs/catalog/core-trading-spot-trading/api/rest-api</x:v>
      </x:c>
    </x:row>
    <x:row r="495">
      <x:c r="A495" s="30" t="str">
        <x:v>QNTBUSDT</x:v>
      </x:c>
      <x:c r="B495" s="30" t="str">
        <x:v>QNTB</x:v>
      </x:c>
      <x:c r="C495" s="30" t="str">
        <x:v>USDT</x:v>
      </x:c>
      <x:c r="D495" s="30" t="str">
        <x:v>TRADING</x:v>
      </x:c>
      <x:c r="E495" s="31" t="b">
        <x:v>1</x:v>
      </x:c>
      <x:c r="F495" s="32" t="n">
        <x:v>46225</x:v>
      </x:c>
      <x:c r="G495" s="32" t="n">
        <x:v>46225.999999988424</x:v>
      </x:c>
      <x:c r="H495" s="33" t="n">
        <x:f>IF(F495="","",('Summary'!$B$5-F495)/365.25)</x:f>
        <x:v>0.03288840881435992</x:v>
      </x:c>
      <x:c r="I495" s="34" t="n">
        <x:v>51.89</x:v>
      </x:c>
      <x:c r="J495" s="35" t="n">
        <x:v>-0.00115</x:v>
      </x:c>
      <x:c r="K495" s="36" t="n">
        <x:v>1211.23</x:v>
      </x:c>
      <x:c r="L495" s="36" t="n">
        <x:v>63104.9674</x:v>
      </x:c>
      <x:c r="M495" s="37" t="n">
        <x:v>562</x:v>
      </x:c>
      <x:c r="N495" s="34" t="n">
        <x:v>51.96</x:v>
      </x:c>
      <x:c r="O495" s="34" t="n">
        <x:v>52.03</x:v>
      </x:c>
      <x:c r="P495" s="38" t="n">
        <x:f>IF(OR(N495="",O495="",N495=0,O495=0),"",(O495-N495)/((O495+N495)/2))</x:f>
        <x:v>0.0013462832964708199</x:v>
      </x:c>
      <x:c r="Q495" s="34" t="n">
        <x:v>52.09990456</x:v>
      </x:c>
      <x:c r="R495" s="34" t="n">
        <x:v>52.34</x:v>
      </x:c>
      <x:c r="S495" s="34" t="n">
        <x:v>51.27</x:v>
      </x:c>
      <x:c r="T495" s="32" t="n">
        <x:v>46236.01245011574</x:v>
      </x:c>
      <x:c r="U495" s="32" t="n">
        <x:v>46237.01245011574</x:v>
      </x:c>
      <x:c r="V495" s="34" t="n">
        <x:v>5</x:v>
      </x:c>
      <x:c r="W495" s="34" t="n">
        <x:v>0.01</x:v>
      </x:c>
      <x:c r="X495" s="34" t="n">
        <x:v>0.01</x:v>
      </x:c>
      <x:c r="Y495" s="34" t="n">
        <x:v>0.01</x:v>
      </x:c>
      <x:c r="Z495" s="30" t="str">
        <x:f>IF(AND(D495="TRADING",I495&lt;&gt;"",L495&lt;&gt;"",M495&lt;&gt;"",N495&lt;&gt;"",O495&lt;&gt;""),"Yes","No")</x:f>
        <x:v>Yes</x:v>
      </x:c>
      <x:c r="AA495" s="39" t="str">
        <x:v>https://developers.binance.com/en/docs/catalog/core-trading-spot-trading/api/rest-api</x:v>
      </x:c>
    </x:row>
    <x:row r="496">
      <x:c r="A496" s="30" t="str">
        <x:v>QNTUSDT</x:v>
      </x:c>
      <x:c r="B496" s="30" t="str">
        <x:v>QNT</x:v>
      </x:c>
      <x:c r="C496" s="30" t="str">
        <x:v>USDT</x:v>
      </x:c>
      <x:c r="D496" s="30" t="str">
        <x:v>TRADING</x:v>
      </x:c>
      <x:c r="E496" s="31" t="b">
        <x:v>1</x:v>
      </x:c>
      <x:c r="F496" s="32" t="n">
        <x:v>44406</x:v>
      </x:c>
      <x:c r="G496" s="32" t="n">
        <x:v>44406.999999988424</x:v>
      </x:c>
      <x:c r="H496" s="33" t="n">
        <x:f>IF(F496="","",('Summary'!$B$5-F496)/365.25)</x:f>
        <x:v>5.013038990607652</x:v>
      </x:c>
      <x:c r="I496" s="34" t="n">
        <x:v>60.45</x:v>
      </x:c>
      <x:c r="J496" s="35" t="n">
        <x:v>-0.01691</x:v>
      </x:c>
      <x:c r="K496" s="36" t="n">
        <x:v>11644.448</x:v>
      </x:c>
      <x:c r="L496" s="36" t="n">
        <x:v>706143.46679</x:v>
      </x:c>
      <x:c r="M496" s="37" t="n">
        <x:v>10524</x:v>
      </x:c>
      <x:c r="N496" s="34" t="n">
        <x:v>60.42</x:v>
      </x:c>
      <x:c r="O496" s="34" t="n">
        <x:v>60.45</x:v>
      </x:c>
      <x:c r="P496" s="38" t="n">
        <x:f>IF(OR(N496="",O496="",N496=0,O496=0),"",(O496-N496)/((O496+N496)/2))</x:f>
        <x:v>0.0004964010920824214</x:v>
      </x:c>
      <x:c r="Q496" s="34" t="n">
        <x:v>60.6420731</x:v>
      </x:c>
      <x:c r="R496" s="34" t="n">
        <x:v>62.03</x:v>
      </x:c>
      <x:c r="S496" s="34" t="n">
        <x:v>59.72</x:v>
      </x:c>
      <x:c r="T496" s="32" t="n">
        <x:v>46236.01247712963</x:v>
      </x:c>
      <x:c r="U496" s="32" t="n">
        <x:v>46237.01247712963</x:v>
      </x:c>
      <x:c r="V496" s="34" t="n">
        <x:v>5</x:v>
      </x:c>
      <x:c r="W496" s="34" t="n">
        <x:v>0.001</x:v>
      </x:c>
      <x:c r="X496" s="34" t="n">
        <x:v>0.001</x:v>
      </x:c>
      <x:c r="Y496" s="34" t="n">
        <x:v>0.01</x:v>
      </x:c>
      <x:c r="Z496" s="30" t="str">
        <x:f>IF(AND(D496="TRADING",I496&lt;&gt;"",L496&lt;&gt;"",M496&lt;&gt;"",N496&lt;&gt;"",O496&lt;&gt;""),"Yes","No")</x:f>
        <x:v>Yes</x:v>
      </x:c>
      <x:c r="AA496" s="39" t="str">
        <x:v>https://developers.binance.com/en/docs/catalog/core-trading-spot-trading/api/rest-api</x:v>
      </x:c>
    </x:row>
    <x:row r="497">
      <x:c r="A497" s="30" t="str">
        <x:v>QQQBUSDT</x:v>
      </x:c>
      <x:c r="B497" s="30" t="str">
        <x:v>QQQB</x:v>
      </x:c>
      <x:c r="C497" s="30" t="str">
        <x:v>USDT</x:v>
      </x:c>
      <x:c r="D497" s="30" t="str">
        <x:v>TRADING</x:v>
      </x:c>
      <x:c r="E497" s="31" t="b">
        <x:v>1</x:v>
      </x:c>
      <x:c r="F497" s="32" t="n">
        <x:v>46203</x:v>
      </x:c>
      <x:c r="G497" s="32" t="n">
        <x:v>46203.999999988424</x:v>
      </x:c>
      <x:c r="H497" s="33" t="n">
        <x:f>IF(F497="","",('Summary'!$B$5-F497)/365.25)</x:f>
        <x:v>0.09312112613126615</x:v>
      </x:c>
      <x:c r="I497" s="34" t="n">
        <x:v>692.5</x:v>
      </x:c>
      <x:c r="J497" s="35" t="n">
        <x:v>0.00967</x:v>
      </x:c>
      <x:c r="K497" s="36" t="n">
        <x:v>8660.392</x:v>
      </x:c>
      <x:c r="L497" s="36" t="n">
        <x:v>5973234.02497</x:v>
      </x:c>
      <x:c r="M497" s="37" t="n">
        <x:v>29175</x:v>
      </x:c>
      <x:c r="N497" s="34" t="n">
        <x:v>692.53</x:v>
      </x:c>
      <x:c r="O497" s="34" t="n">
        <x:v>692.6</x:v>
      </x:c>
      <x:c r="P497" s="38" t="n">
        <x:f>IF(OR(N497="",O497="",N497=0,O497=0),"",(O497-N497)/((O497+N497)/2))</x:f>
        <x:v>0.0001010735454434602</x:v>
      </x:c>
      <x:c r="Q497" s="34" t="n">
        <x:v>689.71866689</x:v>
      </x:c>
      <x:c r="R497" s="34" t="n">
        <x:v>693.49</x:v>
      </x:c>
      <x:c r="S497" s="34" t="n">
        <x:v>685.69</x:v>
      </x:c>
      <x:c r="T497" s="32" t="n">
        <x:v>46236.01248412037</x:v>
      </x:c>
      <x:c r="U497" s="32" t="n">
        <x:v>46237.01248412037</x:v>
      </x:c>
      <x:c r="V497" s="34" t="n">
        <x:v>5</x:v>
      </x:c>
      <x:c r="W497" s="34" t="n">
        <x:v>0.001</x:v>
      </x:c>
      <x:c r="X497" s="34" t="n">
        <x:v>0.001</x:v>
      </x:c>
      <x:c r="Y497" s="34" t="n">
        <x:v>0.01</x:v>
      </x:c>
      <x:c r="Z497" s="30" t="str">
        <x:f>IF(AND(D497="TRADING",I497&lt;&gt;"",L497&lt;&gt;"",M497&lt;&gt;"",N497&lt;&gt;"",O497&lt;&gt;""),"Yes","No")</x:f>
        <x:v>Yes</x:v>
      </x:c>
      <x:c r="AA497" s="39" t="str">
        <x:v>https://developers.binance.com/en/docs/catalog/core-trading-spot-trading/api/rest-api</x:v>
      </x:c>
    </x:row>
    <x:row r="498">
      <x:c r="A498" s="30" t="str">
        <x:v>QTUMUSDT</x:v>
      </x:c>
      <x:c r="B498" s="30" t="str">
        <x:v>QTUM</x:v>
      </x:c>
      <x:c r="C498" s="30" t="str">
        <x:v>USDT</x:v>
      </x:c>
      <x:c r="D498" s="30" t="str">
        <x:v>TRADING</x:v>
      </x:c>
      <x:c r="E498" s="31" t="b">
        <x:v>1</x:v>
      </x:c>
      <x:c r="F498" s="32" t="n">
        <x:v>43178</x:v>
      </x:c>
      <x:c r="G498" s="32" t="n">
        <x:v>43178.999999988424</x:v>
      </x:c>
      <x:c r="H498" s="33" t="n">
        <x:f>IF(F498="","",('Summary'!$B$5-F498)/365.25)</x:f>
        <x:v>8.375119757205873</x:v>
      </x:c>
      <x:c r="I498" s="34" t="n">
        <x:v>0.649</x:v>
      </x:c>
      <x:c r="J498" s="35" t="n">
        <x:v>0.00309</x:v>
      </x:c>
      <x:c r="K498" s="36" t="n">
        <x:v>75399.3</x:v>
      </x:c>
      <x:c r="L498" s="36" t="n">
        <x:v>48935.0606</x:v>
      </x:c>
      <x:c r="M498" s="37" t="n">
        <x:v>874</x:v>
      </x:c>
      <x:c r="N498" s="34" t="n">
        <x:v>0.649</x:v>
      </x:c>
      <x:c r="O498" s="34" t="n">
        <x:v>0.65</x:v>
      </x:c>
      <x:c r="P498" s="38" t="n">
        <x:f>IF(OR(N498="",O498="",N498=0,O498=0),"",(O498-N498)/((O498+N498)/2))</x:f>
        <x:v>0.0015396458814472685</x:v>
      </x:c>
      <x:c r="Q498" s="34" t="n">
        <x:v>0.64901213</x:v>
      </x:c>
      <x:c r="R498" s="34" t="n">
        <x:v>0.654</x:v>
      </x:c>
      <x:c r="S498" s="34" t="n">
        <x:v>0.645</x:v>
      </x:c>
      <x:c r="T498" s="32" t="n">
        <x:v>46236.01244587963</x:v>
      </x:c>
      <x:c r="U498" s="32" t="n">
        <x:v>46237.01244587963</x:v>
      </x:c>
      <x:c r="V498" s="34" t="n">
        <x:v>5</x:v>
      </x:c>
      <x:c r="W498" s="34" t="n">
        <x:v>0.1</x:v>
      </x:c>
      <x:c r="X498" s="34" t="n">
        <x:v>0.1</x:v>
      </x:c>
      <x:c r="Y498" s="34" t="n">
        <x:v>0.001</x:v>
      </x:c>
      <x:c r="Z498" s="30" t="str">
        <x:f>IF(AND(D498="TRADING",I498&lt;&gt;"",L498&lt;&gt;"",M498&lt;&gt;"",N498&lt;&gt;"",O498&lt;&gt;""),"Yes","No")</x:f>
        <x:v>Yes</x:v>
      </x:c>
      <x:c r="AA498" s="39" t="str">
        <x:v>https://developers.binance.com/en/docs/catalog/core-trading-spot-trading/api/rest-api</x:v>
      </x:c>
    </x:row>
    <x:row r="499">
      <x:c r="A499" s="30" t="str">
        <x:v>QUICKUSDT</x:v>
      </x:c>
      <x:c r="B499" s="30" t="str">
        <x:v>QUICK</x:v>
      </x:c>
      <x:c r="C499" s="30" t="str">
        <x:v>USDT</x:v>
      </x:c>
      <x:c r="D499" s="30" t="str">
        <x:v>TRADING</x:v>
      </x:c>
      <x:c r="E499" s="31" t="b">
        <x:v>1</x:v>
      </x:c>
      <x:c r="F499" s="32" t="n">
        <x:v>44421</x:v>
      </x:c>
      <x:c r="G499" s="32" t="n">
        <x:v>44421.999999988424</x:v>
      </x:c>
      <x:c r="H499" s="33" t="n">
        <x:f>IF(F499="","",('Summary'!$B$5-F499)/365.25)</x:f>
        <x:v>4.971971228800671</x:v>
      </x:c>
      <x:c r="I499" s="34" t="n">
        <x:v>0.00801</x:v>
      </x:c>
      <x:c r="J499" s="35" t="n">
        <x:v>0.00628</x:v>
      </x:c>
      <x:c r="K499" s="36" t="n">
        <x:v>7553267</x:v>
      </x:c>
      <x:c r="L499" s="36" t="n">
        <x:v>59995.43695</x:v>
      </x:c>
      <x:c r="M499" s="37" t="n">
        <x:v>1732</x:v>
      </x:c>
      <x:c r="N499" s="34" t="n">
        <x:v>0.00799</x:v>
      </x:c>
      <x:c r="O499" s="34" t="n">
        <x:v>0.00803</x:v>
      </x:c>
      <x:c r="P499" s="38" t="n">
        <x:f>IF(OR(N499="",O499="",N499=0,O499=0),"",(O499-N499)/((O499+N499)/2))</x:f>
        <x:v>0.00499375780274658</x:v>
      </x:c>
      <x:c r="Q499" s="34" t="n">
        <x:v>0.00794298</x:v>
      </x:c>
      <x:c r="R499" s="34" t="n">
        <x:v>0.00821</x:v>
      </x:c>
      <x:c r="S499" s="34" t="n">
        <x:v>0.00778</x:v>
      </x:c>
      <x:c r="T499" s="32" t="n">
        <x:v>46236.01229814815</x:v>
      </x:c>
      <x:c r="U499" s="32" t="n">
        <x:v>46237.01229814815</x:v>
      </x:c>
      <x:c r="V499" s="34" t="n">
        <x:v>5</x:v>
      </x:c>
      <x:c r="W499" s="34" t="n">
        <x:v>1</x:v>
      </x:c>
      <x:c r="X499" s="34" t="n">
        <x:v>1</x:v>
      </x:c>
      <x:c r="Y499" s="34" t="n">
        <x:v>0.00001</x:v>
      </x:c>
      <x:c r="Z499" s="30" t="str">
        <x:f>IF(AND(D499="TRADING",I499&lt;&gt;"",L499&lt;&gt;"",M499&lt;&gt;"",N499&lt;&gt;"",O499&lt;&gt;""),"Yes","No")</x:f>
        <x:v>Yes</x:v>
      </x:c>
      <x:c r="AA499" s="39" t="str">
        <x:v>https://developers.binance.com/en/docs/catalog/core-trading-spot-trading/api/rest-api</x:v>
      </x:c>
    </x:row>
    <x:row r="500">
      <x:c r="A500" s="30" t="str">
        <x:v>RADUSDT</x:v>
      </x:c>
      <x:c r="B500" s="30" t="str">
        <x:v>RAD</x:v>
      </x:c>
      <x:c r="C500" s="30" t="str">
        <x:v>USDT</x:v>
      </x:c>
      <x:c r="D500" s="30" t="str">
        <x:v>TRADING</x:v>
      </x:c>
      <x:c r="E500" s="31" t="b">
        <x:v>1</x:v>
      </x:c>
      <x:c r="F500" s="32" t="n">
        <x:v>44476</x:v>
      </x:c>
      <x:c r="G500" s="32" t="n">
        <x:v>44476.999999988424</x:v>
      </x:c>
      <x:c r="H500" s="33" t="n">
        <x:f>IF(F500="","",('Summary'!$B$5-F500)/365.25)</x:f>
        <x:v>4.821389435508405</x:v>
      </x:c>
      <x:c r="I500" s="34" t="n">
        <x:v>0.205</x:v>
      </x:c>
      <x:c r="J500" s="35" t="n">
        <x:v>0.00985</x:v>
      </x:c>
      <x:c r="K500" s="36" t="n">
        <x:v>398464.8</x:v>
      </x:c>
      <x:c r="L500" s="36" t="n">
        <x:v>81317.8075</x:v>
      </x:c>
      <x:c r="M500" s="37" t="n">
        <x:v>1306</x:v>
      </x:c>
      <x:c r="N500" s="34" t="n">
        <x:v>0.204</x:v>
      </x:c>
      <x:c r="O500" s="34" t="n">
        <x:v>0.205</x:v>
      </x:c>
      <x:c r="P500" s="38" t="n">
        <x:f>IF(OR(N500="",O500="",N500=0,O500=0),"",(O500-N500)/((O500+N500)/2))</x:f>
        <x:v>0.004889975550122254</x:v>
      </x:c>
      <x:c r="Q500" s="34" t="n">
        <x:v>0.20407777</x:v>
      </x:c>
      <x:c r="R500" s="34" t="n">
        <x:v>0.206</x:v>
      </x:c>
      <x:c r="S500" s="34" t="n">
        <x:v>0.202</x:v>
      </x:c>
      <x:c r="T500" s="32" t="n">
        <x:v>46236.0119409375</x:v>
      </x:c>
      <x:c r="U500" s="32" t="n">
        <x:v>46237.0119409375</x:v>
      </x:c>
      <x:c r="V500" s="34" t="n">
        <x:v>5</x:v>
      </x:c>
      <x:c r="W500" s="34" t="n">
        <x:v>0.1</x:v>
      </x:c>
      <x:c r="X500" s="34" t="n">
        <x:v>0.1</x:v>
      </x:c>
      <x:c r="Y500" s="34" t="n">
        <x:v>0.001</x:v>
      </x:c>
      <x:c r="Z500" s="30" t="str">
        <x:f>IF(AND(D500="TRADING",I500&lt;&gt;"",L500&lt;&gt;"",M500&lt;&gt;"",N500&lt;&gt;"",O500&lt;&gt;""),"Yes","No")</x:f>
        <x:v>Yes</x:v>
      </x:c>
      <x:c r="AA500" s="39" t="str">
        <x:v>https://developers.binance.com/en/docs/catalog/core-trading-spot-trading/api/rest-api</x:v>
      </x:c>
    </x:row>
    <x:row r="501">
      <x:c r="A501" s="30" t="str">
        <x:v>RAMPUSDT</x:v>
      </x:c>
      <x:c r="B501" s="30" t="str">
        <x:v>RAMP</x:v>
      </x:c>
      <x:c r="C501" s="30" t="str">
        <x:v>USDT</x:v>
      </x:c>
      <x:c r="D501" s="30" t="str">
        <x:v>BREAK</x:v>
      </x:c>
      <x:c r="E501" s="31" t="b">
        <x:v>1</x:v>
      </x:c>
      <x:c r="F501" s="32" t="n">
        <x:v>44277</x:v>
      </x:c>
      <x:c r="G501" s="32" t="n">
        <x:v>44277.999999988424</x:v>
      </x:c>
      <x:c r="H501" s="33" t="n">
        <x:f>IF(F501="","",('Summary'!$B$5-F501)/365.25)</x:f>
        <x:v>5.366221742147693</x:v>
      </x:c>
      <x:c r="I501" s="34" t="n">
        <x:v>0</x:v>
      </x:c>
      <x:c r="J501" s="35" t="n">
        <x:v>0</x:v>
      </x:c>
      <x:c r="K501" s="36" t="n">
        <x:v>0</x:v>
      </x:c>
      <x:c r="L501" s="36" t="n">
        <x:v>0</x:v>
      </x:c>
      <x:c r="M501" s="37" t="n">
        <x:v>0</x:v>
      </x:c>
      <x:c r="N501" s="34" t="n">
        <x:v>0</x:v>
      </x:c>
      <x:c r="O501" s="34" t="n">
        <x:v>0</x:v>
      </x:c>
      <x:c r="P501" s="38" t="str">
        <x:f>IF(OR(N501="",O501="",N501=0,O501=0),"",(O501-N501)/((O501+N501)/2))</x:f>
      </x:c>
      <x:c r="Q501" s="34" t="n">
        <x:v>0</x:v>
      </x:c>
      <x:c r="R501" s="34" t="n">
        <x:v>0</x:v>
      </x:c>
      <x:c r="S501" s="34" t="n">
        <x:v>0</x:v>
      </x:c>
      <x:c r="T501" s="32" t="n">
        <x:v>46209.26112309028</x:v>
      </x:c>
      <x:c r="U501" s="32" t="n">
        <x:v>46210.26112309028</x:v>
      </x:c>
      <x:c r="V501" s="34" t="n">
        <x:v>10</x:v>
      </x:c>
      <x:c r="W501" s="34" t="n">
        <x:v>1</x:v>
      </x:c>
      <x:c r="X501" s="34" t="n">
        <x:v>1</x:v>
      </x:c>
      <x:c r="Y501" s="34" t="n">
        <x:v>0.0001</x:v>
      </x:c>
      <x:c r="Z501" s="30" t="str">
        <x:f>IF(AND(D501="TRADING",I501&lt;&gt;"",L501&lt;&gt;"",M501&lt;&gt;"",N501&lt;&gt;"",O501&lt;&gt;""),"Yes","No")</x:f>
        <x:v>No</x:v>
      </x:c>
      <x:c r="AA501" s="39" t="str">
        <x:v>https://developers.binance.com/en/docs/catalog/core-trading-spot-trading/api/rest-api</x:v>
      </x:c>
    </x:row>
    <x:row r="502">
      <x:c r="A502" s="30" t="str">
        <x:v>RAREUSDT</x:v>
      </x:c>
      <x:c r="B502" s="30" t="str">
        <x:v>RARE</x:v>
      </x:c>
      <x:c r="C502" s="30" t="str">
        <x:v>USDT</x:v>
      </x:c>
      <x:c r="D502" s="30" t="str">
        <x:v>TRADING</x:v>
      </x:c>
      <x:c r="E502" s="31" t="b">
        <x:v>1</x:v>
      </x:c>
      <x:c r="F502" s="32" t="n">
        <x:v>44480</x:v>
      </x:c>
      <x:c r="G502" s="32" t="n">
        <x:v>44480.999999988424</x:v>
      </x:c>
      <x:c r="H502" s="33" t="n">
        <x:f>IF(F502="","",('Summary'!$B$5-F502)/365.25)</x:f>
        <x:v>4.810438032359877</x:v>
      </x:c>
      <x:c r="I502" s="34" t="n">
        <x:v>0.01192</x:v>
      </x:c>
      <x:c r="J502" s="35" t="n">
        <x:v>0</x:v>
      </x:c>
      <x:c r="K502" s="36" t="n">
        <x:v>3964332.4</x:v>
      </x:c>
      <x:c r="L502" s="36" t="n">
        <x:v>47305.713284</x:v>
      </x:c>
      <x:c r="M502" s="37" t="n">
        <x:v>905</x:v>
      </x:c>
      <x:c r="N502" s="34" t="n">
        <x:v>0.01191</x:v>
      </x:c>
      <x:c r="O502" s="34" t="n">
        <x:v>0.01192</x:v>
      </x:c>
      <x:c r="P502" s="38" t="n">
        <x:f>IF(OR(N502="",O502="",N502=0,O502=0),"",(O502-N502)/((O502+N502)/2))</x:f>
        <x:v>0.0008392782207301379</x:v>
      </x:c>
      <x:c r="Q502" s="34" t="n">
        <x:v>0.01193283</x:v>
      </x:c>
      <x:c r="R502" s="34" t="n">
        <x:v>0.01208</x:v>
      </x:c>
      <x:c r="S502" s="34" t="n">
        <x:v>0.01185</x:v>
      </x:c>
      <x:c r="T502" s="32" t="n">
        <x:v>46236.01116505787</x:v>
      </x:c>
      <x:c r="U502" s="32" t="n">
        <x:v>46237.01116505787</x:v>
      </x:c>
      <x:c r="V502" s="34" t="n">
        <x:v>5</x:v>
      </x:c>
      <x:c r="W502" s="34" t="n">
        <x:v>0.1</x:v>
      </x:c>
      <x:c r="X502" s="34" t="n">
        <x:v>0.1</x:v>
      </x:c>
      <x:c r="Y502" s="34" t="n">
        <x:v>0.00001</x:v>
      </x:c>
      <x:c r="Z502" s="30" t="str">
        <x:f>IF(AND(D502="TRADING",I502&lt;&gt;"",L502&lt;&gt;"",M502&lt;&gt;"",N502&lt;&gt;"",O502&lt;&gt;""),"Yes","No")</x:f>
        <x:v>Yes</x:v>
      </x:c>
      <x:c r="AA502" s="39" t="str">
        <x:v>https://developers.binance.com/en/docs/catalog/core-trading-spot-trading/api/rest-api</x:v>
      </x:c>
    </x:row>
    <x:row r="503">
      <x:c r="A503" s="30" t="str">
        <x:v>RAYUSDT</x:v>
      </x:c>
      <x:c r="B503" s="30" t="str">
        <x:v>RAY</x:v>
      </x:c>
      <x:c r="C503" s="30" t="str">
        <x:v>USDT</x:v>
      </x:c>
      <x:c r="D503" s="30" t="str">
        <x:v>TRADING</x:v>
      </x:c>
      <x:c r="E503" s="31" t="b">
        <x:v>1</x:v>
      </x:c>
      <x:c r="F503" s="32" t="n">
        <x:v>44418</x:v>
      </x:c>
      <x:c r="G503" s="32" t="n">
        <x:v>44418.999999988424</x:v>
      </x:c>
      <x:c r="H503" s="33" t="n">
        <x:f>IF(F503="","",('Summary'!$B$5-F503)/365.25)</x:f>
        <x:v>4.980184781162067</x:v>
      </x:c>
      <x:c r="I503" s="34" t="n">
        <x:v>0.6115</x:v>
      </x:c>
      <x:c r="J503" s="35" t="n">
        <x:v>0.013420000000000001</x:v>
      </x:c>
      <x:c r="K503" s="36" t="n">
        <x:v>322148</x:v>
      </x:c>
      <x:c r="L503" s="36" t="n">
        <x:v>197086.50454</x:v>
      </x:c>
      <x:c r="M503" s="37" t="n">
        <x:v>2643</x:v>
      </x:c>
      <x:c r="N503" s="34" t="n">
        <x:v>0.6109</x:v>
      </x:c>
      <x:c r="O503" s="34" t="n">
        <x:v>0.6115</x:v>
      </x:c>
      <x:c r="P503" s="38" t="n">
        <x:f>IF(OR(N503="",O503="",N503=0,O503=0),"",(O503-N503)/((O503+N503)/2))</x:f>
        <x:v>0.0009816753926702307</x:v>
      </x:c>
      <x:c r="Q503" s="34" t="n">
        <x:v>0.6117887</x:v>
      </x:c>
      <x:c r="R503" s="34" t="n">
        <x:v>0.6172</x:v>
      </x:c>
      <x:c r="S503" s="34" t="n">
        <x:v>0.6021</x:v>
      </x:c>
      <x:c r="T503" s="32" t="n">
        <x:v>46236.01238407407</x:v>
      </x:c>
      <x:c r="U503" s="32" t="n">
        <x:v>46237.01238407407</x:v>
      </x:c>
      <x:c r="V503" s="34" t="n">
        <x:v>5</x:v>
      </x:c>
      <x:c r="W503" s="34" t="n">
        <x:v>0.1</x:v>
      </x:c>
      <x:c r="X503" s="34" t="n">
        <x:v>0.1</x:v>
      </x:c>
      <x:c r="Y503" s="34" t="n">
        <x:v>0.0001</x:v>
      </x:c>
      <x:c r="Z503" s="30" t="str">
        <x:f>IF(AND(D503="TRADING",I503&lt;&gt;"",L503&lt;&gt;"",M503&lt;&gt;"",N503&lt;&gt;"",O503&lt;&gt;""),"Yes","No")</x:f>
        <x:v>Yes</x:v>
      </x:c>
      <x:c r="AA503" s="39" t="str">
        <x:v>https://developers.binance.com/en/docs/catalog/core-trading-spot-trading/api/rest-api</x:v>
      </x:c>
    </x:row>
    <x:row r="504">
      <x:c r="A504" s="30" t="str">
        <x:v>RDNTUSDT</x:v>
      </x:c>
      <x:c r="B504" s="30" t="str">
        <x:v>RDNT</x:v>
      </x:c>
      <x:c r="C504" s="30" t="str">
        <x:v>USDT</x:v>
      </x:c>
      <x:c r="D504" s="30" t="str">
        <x:v>BREAK</x:v>
      </x:c>
      <x:c r="E504" s="31" t="b">
        <x:v>1</x:v>
      </x:c>
      <x:c r="F504" s="32" t="n">
        <x:v>45015</x:v>
      </x:c>
      <x:c r="G504" s="32" t="n">
        <x:v>45015.999999988424</x:v>
      </x:c>
      <x:c r="H504" s="33" t="n">
        <x:f>IF(F504="","",('Summary'!$B$5-F504)/365.25)</x:f>
        <x:v>3.3456878612442025</x:v>
      </x:c>
      <x:c r="I504" s="34" t="n">
        <x:v>0.00328</x:v>
      </x:c>
      <x:c r="J504" s="35" t="n">
        <x:v>-0.1941</x:v>
      </x:c>
      <x:c r="K504" s="36" t="n">
        <x:v>287027145</x:v>
      </x:c>
      <x:c r="L504" s="36" t="n">
        <x:v>1096493.50239</x:v>
      </x:c>
      <x:c r="M504" s="37" t="n">
        <x:v>20799</x:v>
      </x:c>
      <x:c r="N504" s="34" t="n">
        <x:v>0</x:v>
      </x:c>
      <x:c r="O504" s="34" t="n">
        <x:v>0</x:v>
      </x:c>
      <x:c r="P504" s="38" t="str">
        <x:f>IF(OR(N504="",O504="",N504=0,O504=0),"",(O504-N504)/((O504+N504)/2))</x:f>
      </x:c>
      <x:c r="Q504" s="34" t="n">
        <x:v>0.00382017</x:v>
      </x:c>
      <x:c r="R504" s="34" t="n">
        <x:v>0.0045</x:v>
      </x:c>
      <x:c r="S504" s="34" t="n">
        <x:v>0.00321</x:v>
      </x:c>
      <x:c r="T504" s="32" t="n">
        <x:v>46209.26112309028</x:v>
      </x:c>
      <x:c r="U504" s="32" t="n">
        <x:v>46210.26112309028</x:v>
      </x:c>
      <x:c r="V504" s="34" t="n">
        <x:v>5</x:v>
      </x:c>
      <x:c r="W504" s="34" t="n">
        <x:v>1</x:v>
      </x:c>
      <x:c r="X504" s="34" t="n">
        <x:v>1</x:v>
      </x:c>
      <x:c r="Y504" s="34" t="n">
        <x:v>0.00001</x:v>
      </x:c>
      <x:c r="Z504" s="30" t="str">
        <x:f>IF(AND(D504="TRADING",I504&lt;&gt;"",L504&lt;&gt;"",M504&lt;&gt;"",N504&lt;&gt;"",O504&lt;&gt;""),"Yes","No")</x:f>
        <x:v>No</x:v>
      </x:c>
      <x:c r="AA504" s="39" t="str">
        <x:v>https://developers.binance.com/en/docs/catalog/core-trading-spot-trading/api/rest-api</x:v>
      </x:c>
    </x:row>
    <x:row r="505">
      <x:c r="A505" s="30" t="str">
        <x:v>REDUSDT</x:v>
      </x:c>
      <x:c r="B505" s="30" t="str">
        <x:v>RED</x:v>
      </x:c>
      <x:c r="C505" s="30" t="str">
        <x:v>USDT</x:v>
      </x:c>
      <x:c r="D505" s="30" t="str">
        <x:v>TRADING</x:v>
      </x:c>
      <x:c r="E505" s="31" t="b">
        <x:v>1</x:v>
      </x:c>
      <x:c r="F505" s="32" t="n">
        <x:v>45716</x:v>
      </x:c>
      <x:c r="G505" s="32" t="n">
        <x:v>45716.999999988424</x:v>
      </x:c>
      <x:c r="H505" s="33" t="n">
        <x:f>IF(F505="","",('Summary'!$B$5-F505)/365.25)</x:f>
        <x:v>1.4264544594645996</x:v>
      </x:c>
      <x:c r="I505" s="34" t="n">
        <x:v>0.0881</x:v>
      </x:c>
      <x:c r="J505" s="35" t="n">
        <x:v>0.00114</x:v>
      </x:c>
      <x:c r="K505" s="36" t="n">
        <x:v>2091450.5</x:v>
      </x:c>
      <x:c r="L505" s="36" t="n">
        <x:v>185400.79988</x:v>
      </x:c>
      <x:c r="M505" s="37" t="n">
        <x:v>2848</x:v>
      </x:c>
      <x:c r="N505" s="34" t="n">
        <x:v>0.088</x:v>
      </x:c>
      <x:c r="O505" s="34" t="n">
        <x:v>0.0881</x:v>
      </x:c>
      <x:c r="P505" s="38" t="n">
        <x:f>IF(OR(N505="",O505="",N505=0,O505=0),"",(O505-N505)/((O505+N505)/2))</x:f>
        <x:v>0.0011357183418512537</x:v>
      </x:c>
      <x:c r="Q505" s="34" t="n">
        <x:v>0.08864699</x:v>
      </x:c>
      <x:c r="R505" s="34" t="n">
        <x:v>0.0901</x:v>
      </x:c>
      <x:c r="S505" s="34" t="n">
        <x:v>0.0876</x:v>
      </x:c>
      <x:c r="T505" s="32" t="n">
        <x:v>46236.01243703704</x:v>
      </x:c>
      <x:c r="U505" s="32" t="n">
        <x:v>46237.01243703704</x:v>
      </x:c>
      <x:c r="V505" s="34" t="n">
        <x:v>5</x:v>
      </x:c>
      <x:c r="W505" s="34" t="n">
        <x:v>0.1</x:v>
      </x:c>
      <x:c r="X505" s="34" t="n">
        <x:v>0.1</x:v>
      </x:c>
      <x:c r="Y505" s="34" t="n">
        <x:v>0.0001</x:v>
      </x:c>
      <x:c r="Z505" s="30" t="str">
        <x:f>IF(AND(D505="TRADING",I505&lt;&gt;"",L505&lt;&gt;"",M505&lt;&gt;"",N505&lt;&gt;"",O505&lt;&gt;""),"Yes","No")</x:f>
        <x:v>Yes</x:v>
      </x:c>
      <x:c r="AA505" s="39" t="str">
        <x:v>https://developers.binance.com/en/docs/catalog/core-trading-spot-trading/api/rest-api</x:v>
      </x:c>
    </x:row>
    <x:row r="506">
      <x:c r="A506" s="30" t="str">
        <x:v>REEFUSDT</x:v>
      </x:c>
      <x:c r="B506" s="30" t="str">
        <x:v>REEF</x:v>
      </x:c>
      <x:c r="C506" s="30" t="str">
        <x:v>USDT</x:v>
      </x:c>
      <x:c r="D506" s="30" t="str">
        <x:v>BREAK</x:v>
      </x:c>
      <x:c r="E506" s="31" t="b">
        <x:v>1</x:v>
      </x:c>
      <x:c r="F506" s="32" t="n">
        <x:v>44194</x:v>
      </x:c>
      <x:c r="G506" s="32" t="n">
        <x:v>44194.999999988424</x:v>
      </x:c>
      <x:c r="H506" s="33" t="n">
        <x:f>IF(F506="","",('Summary'!$B$5-F506)/365.25)</x:f>
        <x:v>5.593463357479657</x:v>
      </x:c>
      <x:c r="I506" s="34" t="n">
        <x:v>0.000688</x:v>
      </x:c>
      <x:c r="J506" s="35" t="n">
        <x:v>0.026869999999999998</x:v>
      </x:c>
      <x:c r="K506" s="36" t="n">
        <x:v>579667377</x:v>
      </x:c>
      <x:c r="L506" s="36" t="n">
        <x:v>389266.024341</x:v>
      </x:c>
      <x:c r="M506" s="37" t="n">
        <x:v>4001</x:v>
      </x:c>
      <x:c r="N506" s="34" t="n">
        <x:v>0</x:v>
      </x:c>
      <x:c r="O506" s="34" t="n">
        <x:v>0</x:v>
      </x:c>
      <x:c r="P506" s="38" t="str">
        <x:f>IF(OR(N506="",O506="",N506=0,O506=0),"",(O506-N506)/((O506+N506)/2))</x:f>
      </x:c>
      <x:c r="Q506" s="34" t="n">
        <x:v>0.00067153</x:v>
      </x:c>
      <x:c r="R506" s="34" t="n">
        <x:v>0.000701</x:v>
      </x:c>
      <x:c r="S506" s="34" t="n">
        <x:v>0.000651</x:v>
      </x:c>
      <x:c r="T506" s="32" t="n">
        <x:v>46209.26112309028</x:v>
      </x:c>
      <x:c r="U506" s="32" t="n">
        <x:v>46210.26112309028</x:v>
      </x:c>
      <x:c r="V506" s="34" t="n">
        <x:v>5</x:v>
      </x:c>
      <x:c r="W506" s="34" t="n">
        <x:v>1</x:v>
      </x:c>
      <x:c r="X506" s="34" t="n">
        <x:v>1</x:v>
      </x:c>
      <x:c r="Y506" s="34" t="n">
        <x:v>0.000001</x:v>
      </x:c>
      <x:c r="Z506" s="30" t="str">
        <x:f>IF(AND(D506="TRADING",I506&lt;&gt;"",L506&lt;&gt;"",M506&lt;&gt;"",N506&lt;&gt;"",O506&lt;&gt;""),"Yes","No")</x:f>
        <x:v>No</x:v>
      </x:c>
      <x:c r="AA506" s="39" t="str">
        <x:v>https://developers.binance.com/en/docs/catalog/core-trading-spot-trading/api/rest-api</x:v>
      </x:c>
    </x:row>
    <x:row r="507">
      <x:c r="A507" s="30" t="str">
        <x:v>REIUSDT</x:v>
      </x:c>
      <x:c r="B507" s="30" t="str">
        <x:v>REI</x:v>
      </x:c>
      <x:c r="C507" s="30" t="str">
        <x:v>USDT</x:v>
      </x:c>
      <x:c r="D507" s="30" t="str">
        <x:v>BREAK</x:v>
      </x:c>
      <x:c r="E507" s="31" t="b">
        <x:v>1</x:v>
      </x:c>
      <x:c r="F507" s="32" t="n">
        <x:v>44685</x:v>
      </x:c>
      <x:c r="G507" s="32" t="n">
        <x:v>44685.999999988424</x:v>
      </x:c>
      <x:c r="H507" s="33" t="n">
        <x:f>IF(F507="","",('Summary'!$B$5-F507)/365.25)</x:f>
        <x:v>4.249178620997796</x:v>
      </x:c>
      <x:c r="I507" s="34" t="n">
        <x:v>0.00401</x:v>
      </x:c>
      <x:c r="J507" s="35" t="n">
        <x:v>0.00754</x:v>
      </x:c>
      <x:c r="K507" s="36" t="n">
        <x:v>20139913.5</x:v>
      </x:c>
      <x:c r="L507" s="36" t="n">
        <x:v>80810.563826</x:v>
      </x:c>
      <x:c r="M507" s="37" t="n">
        <x:v>4001</x:v>
      </x:c>
      <x:c r="N507" s="34" t="n">
        <x:v>0</x:v>
      </x:c>
      <x:c r="O507" s="34" t="n">
        <x:v>0</x:v>
      </x:c>
      <x:c r="P507" s="38" t="str">
        <x:f>IF(OR(N507="",O507="",N507=0,O507=0),"",(O507-N507)/((O507+N507)/2))</x:f>
      </x:c>
      <x:c r="Q507" s="34" t="n">
        <x:v>0.00401246</x:v>
      </x:c>
      <x:c r="R507" s="34" t="n">
        <x:v>0.00418</x:v>
      </x:c>
      <x:c r="S507" s="34" t="n">
        <x:v>0.00384</x:v>
      </x:c>
      <x:c r="T507" s="32" t="n">
        <x:v>46209.26112309028</x:v>
      </x:c>
      <x:c r="U507" s="32" t="n">
        <x:v>46210.26112309028</x:v>
      </x:c>
      <x:c r="V507" s="34" t="n">
        <x:v>1</x:v>
      </x:c>
      <x:c r="W507" s="34" t="n">
        <x:v>0.1</x:v>
      </x:c>
      <x:c r="X507" s="34" t="n">
        <x:v>0.1</x:v>
      </x:c>
      <x:c r="Y507" s="34" t="n">
        <x:v>0.00001</x:v>
      </x:c>
      <x:c r="Z507" s="30" t="str">
        <x:f>IF(AND(D507="TRADING",I507&lt;&gt;"",L507&lt;&gt;"",M507&lt;&gt;"",N507&lt;&gt;"",O507&lt;&gt;""),"Yes","No")</x:f>
        <x:v>No</x:v>
      </x:c>
      <x:c r="AA507" s="39" t="str">
        <x:v>https://developers.binance.com/en/docs/catalog/core-trading-spot-trading/api/rest-api</x:v>
      </x:c>
    </x:row>
    <x:row r="508">
      <x:c r="A508" s="30" t="str">
        <x:v>RENDERUSDT</x:v>
      </x:c>
      <x:c r="B508" s="30" t="str">
        <x:v>RENDER</x:v>
      </x:c>
      <x:c r="C508" s="30" t="str">
        <x:v>USDT</x:v>
      </x:c>
      <x:c r="D508" s="30" t="str">
        <x:v>TRADING</x:v>
      </x:c>
      <x:c r="E508" s="31" t="b">
        <x:v>1</x:v>
      </x:c>
      <x:c r="F508" s="32" t="n">
        <x:v>45499</x:v>
      </x:c>
      <x:c r="G508" s="32" t="n">
        <x:v>45499.999999988424</x:v>
      </x:c>
      <x:c r="H508" s="33" t="n">
        <x:f>IF(F508="","",('Summary'!$B$5-F508)/365.25)</x:f>
        <x:v>2.0205680802722656</x:v>
      </x:c>
      <x:c r="I508" s="34" t="n">
        <x:v>1.379</x:v>
      </x:c>
      <x:c r="J508" s="35" t="n">
        <x:v>0.01846</x:v>
      </x:c>
      <x:c r="K508" s="36" t="n">
        <x:v>752462.63</x:v>
      </x:c>
      <x:c r="L508" s="36" t="n">
        <x:v>1032640.87207</x:v>
      </x:c>
      <x:c r="M508" s="37" t="n">
        <x:v>5249</x:v>
      </x:c>
      <x:c r="N508" s="34" t="n">
        <x:v>1.379</x:v>
      </x:c>
      <x:c r="O508" s="34" t="n">
        <x:v>1.38</x:v>
      </x:c>
      <x:c r="P508" s="38" t="n">
        <x:f>IF(OR(N508="",O508="",N508=0,O508=0),"",(O508-N508)/((O508+N508)/2))</x:f>
        <x:v>0.000724900326205067</x:v>
      </x:c>
      <x:c r="Q508" s="34" t="n">
        <x:v>1.37234838</x:v>
      </x:c>
      <x:c r="R508" s="34" t="n">
        <x:v>1.389</x:v>
      </x:c>
      <x:c r="S508" s="34" t="n">
        <x:v>1.352</x:v>
      </x:c>
      <x:c r="T508" s="32" t="n">
        <x:v>46236.01226650463</x:v>
      </x:c>
      <x:c r="U508" s="32" t="n">
        <x:v>46237.01226650463</x:v>
      </x:c>
      <x:c r="V508" s="34" t="n">
        <x:v>5</x:v>
      </x:c>
      <x:c r="W508" s="34" t="n">
        <x:v>0.01</x:v>
      </x:c>
      <x:c r="X508" s="34" t="n">
        <x:v>0.01</x:v>
      </x:c>
      <x:c r="Y508" s="34" t="n">
        <x:v>0.001</x:v>
      </x:c>
      <x:c r="Z508" s="30" t="str">
        <x:f>IF(AND(D508="TRADING",I508&lt;&gt;"",L508&lt;&gt;"",M508&lt;&gt;"",N508&lt;&gt;"",O508&lt;&gt;""),"Yes","No")</x:f>
        <x:v>Yes</x:v>
      </x:c>
      <x:c r="AA508" s="39" t="str">
        <x:v>https://developers.binance.com/en/docs/catalog/core-trading-spot-trading/api/rest-api</x:v>
      </x:c>
    </x:row>
    <x:row r="509">
      <x:c r="A509" s="30" t="str">
        <x:v>RENUSDT</x:v>
      </x:c>
      <x:c r="B509" s="30" t="str">
        <x:v>REN</x:v>
      </x:c>
      <x:c r="C509" s="30" t="str">
        <x:v>USDT</x:v>
      </x:c>
      <x:c r="D509" s="30" t="str">
        <x:v>BREAK</x:v>
      </x:c>
      <x:c r="E509" s="31" t="b">
        <x:v>1</x:v>
      </x:c>
      <x:c r="F509" s="32" t="n">
        <x:v>43733</x:v>
      </x:c>
      <x:c r="G509" s="32" t="n">
        <x:v>43733.999999988424</x:v>
      </x:c>
      <x:c r="H509" s="33" t="n">
        <x:f>IF(F509="","",('Summary'!$B$5-F509)/365.25)</x:f>
        <x:v>6.8556125703475566</x:v>
      </x:c>
      <x:c r="I509" s="34" t="n">
        <x:v>0.04274</x:v>
      </x:c>
      <x:c r="J509" s="35" t="n">
        <x:v>0.08477</x:v>
      </x:c>
      <x:c r="K509" s="36" t="n">
        <x:v>11361461</x:v>
      </x:c>
      <x:c r="L509" s="36" t="n">
        <x:v>476205.42629</x:v>
      </x:c>
      <x:c r="M509" s="37" t="n">
        <x:v>4001</x:v>
      </x:c>
      <x:c r="N509" s="34" t="n">
        <x:v>0</x:v>
      </x:c>
      <x:c r="O509" s="34" t="n">
        <x:v>0</x:v>
      </x:c>
      <x:c r="P509" s="38" t="str">
        <x:f>IF(OR(N509="",O509="",N509=0,O509=0),"",(O509-N509)/((O509+N509)/2))</x:f>
      </x:c>
      <x:c r="Q509" s="34" t="n">
        <x:v>0.0419141</x:v>
      </x:c>
      <x:c r="R509" s="34" t="n">
        <x:v>0.04346</x:v>
      </x:c>
      <x:c r="S509" s="34" t="n">
        <x:v>0.0391</x:v>
      </x:c>
      <x:c r="T509" s="32" t="n">
        <x:v>46209.26112309028</x:v>
      </x:c>
      <x:c r="U509" s="32" t="n">
        <x:v>46210.26112309028</x:v>
      </x:c>
      <x:c r="V509" s="34" t="n">
        <x:v>5</x:v>
      </x:c>
      <x:c r="W509" s="34" t="n">
        <x:v>1</x:v>
      </x:c>
      <x:c r="X509" s="34" t="n">
        <x:v>1</x:v>
      </x:c>
      <x:c r="Y509" s="34" t="n">
        <x:v>0.00001</x:v>
      </x:c>
      <x:c r="Z509" s="30" t="str">
        <x:f>IF(AND(D509="TRADING",I509&lt;&gt;"",L509&lt;&gt;"",M509&lt;&gt;"",N509&lt;&gt;"",O509&lt;&gt;""),"Yes","No")</x:f>
        <x:v>No</x:v>
      </x:c>
      <x:c r="AA509" s="39" t="str">
        <x:v>https://developers.binance.com/en/docs/catalog/core-trading-spot-trading/api/rest-api</x:v>
      </x:c>
    </x:row>
    <x:row r="510">
      <x:c r="A510" s="30" t="str">
        <x:v>REPUSDT</x:v>
      </x:c>
      <x:c r="B510" s="30" t="str">
        <x:v>REP</x:v>
      </x:c>
      <x:c r="C510" s="30" t="str">
        <x:v>USDT</x:v>
      </x:c>
      <x:c r="D510" s="30" t="str">
        <x:v>BREAK</x:v>
      </x:c>
      <x:c r="E510" s="31" t="b">
        <x:v>1</x:v>
      </x:c>
      <x:c r="F510" s="32" t="n">
        <x:v>43994</x:v>
      </x:c>
      <x:c r="G510" s="32" t="n">
        <x:v>43994.999999988424</x:v>
      </x:c>
      <x:c r="H510" s="33" t="n">
        <x:f>IF(F510="","",('Summary'!$B$5-F510)/365.25)</x:f>
        <x:v>6.141033514906078</x:v>
      </x:c>
      <x:c r="I510" s="34" t="n">
        <x:v>4.73</x:v>
      </x:c>
      <x:c r="J510" s="35" t="n">
        <x:v>-0.00839</x:v>
      </x:c>
      <x:c r="K510" s="36" t="n">
        <x:v>99565.06</x:v>
      </x:c>
      <x:c r="L510" s="36" t="n">
        <x:v>473556.1177</x:v>
      </x:c>
      <x:c r="M510" s="37" t="n">
        <x:v>4000</x:v>
      </x:c>
      <x:c r="N510" s="34" t="n">
        <x:v>0</x:v>
      </x:c>
      <x:c r="O510" s="34" t="n">
        <x:v>0</x:v>
      </x:c>
      <x:c r="P510" s="38" t="str">
        <x:f>IF(OR(N510="",O510="",N510=0,O510=0),"",(O510-N510)/((O510+N510)/2))</x:f>
      </x:c>
      <x:c r="Q510" s="34" t="n">
        <x:v>4.756248</x:v>
      </x:c>
      <x:c r="R510" s="34" t="n">
        <x:v>4.93</x:v>
      </x:c>
      <x:c r="S510" s="34" t="n">
        <x:v>4.45</x:v>
      </x:c>
      <x:c r="T510" s="32" t="n">
        <x:v>46209.26112309028</x:v>
      </x:c>
      <x:c r="U510" s="32" t="n">
        <x:v>46210.26112309028</x:v>
      </x:c>
      <x:c r="V510" s="34" t="n">
        <x:v>10</x:v>
      </x:c>
      <x:c r="W510" s="34" t="n">
        <x:v>0.01</x:v>
      </x:c>
      <x:c r="X510" s="34" t="n">
        <x:v>0.01</x:v>
      </x:c>
      <x:c r="Y510" s="34" t="n">
        <x:v>0.01</x:v>
      </x:c>
      <x:c r="Z510" s="30" t="str">
        <x:f>IF(AND(D510="TRADING",I510&lt;&gt;"",L510&lt;&gt;"",M510&lt;&gt;"",N510&lt;&gt;"",O510&lt;&gt;""),"Yes","No")</x:f>
        <x:v>No</x:v>
      </x:c>
      <x:c r="AA510" s="39" t="str">
        <x:v>https://developers.binance.com/en/docs/catalog/core-trading-spot-trading/api/rest-api</x:v>
      </x:c>
    </x:row>
    <x:row r="511">
      <x:c r="A511" s="30" t="str">
        <x:v>REQUSDT</x:v>
      </x:c>
      <x:c r="B511" s="30" t="str">
        <x:v>REQ</x:v>
      </x:c>
      <x:c r="C511" s="30" t="str">
        <x:v>USDT</x:v>
      </x:c>
      <x:c r="D511" s="30" t="str">
        <x:v>TRADING</x:v>
      </x:c>
      <x:c r="E511" s="31" t="b">
        <x:v>1</x:v>
      </x:c>
      <x:c r="F511" s="32" t="n">
        <x:v>44428</x:v>
      </x:c>
      <x:c r="G511" s="32" t="n">
        <x:v>44428.999999988424</x:v>
      </x:c>
      <x:c r="H511" s="33" t="n">
        <x:f>IF(F511="","",('Summary'!$B$5-F511)/365.25)</x:f>
        <x:v>4.952806273290746</x:v>
      </x:c>
      <x:c r="I511" s="34" t="n">
        <x:v>0.0506</x:v>
      </x:c>
      <x:c r="J511" s="35" t="n">
        <x:v>-0.00394</x:v>
      </x:c>
      <x:c r="K511" s="36" t="n">
        <x:v>2402861</x:v>
      </x:c>
      <x:c r="L511" s="36" t="n">
        <x:v>122168.933</x:v>
      </x:c>
      <x:c r="M511" s="37" t="n">
        <x:v>2887</x:v>
      </x:c>
      <x:c r="N511" s="34" t="n">
        <x:v>0.0505</x:v>
      </x:c>
      <x:c r="O511" s="34" t="n">
        <x:v>0.0506</x:v>
      </x:c>
      <x:c r="P511" s="38" t="n">
        <x:f>IF(OR(N511="",O511="",N511=0,O511=0),"",(O511-N511)/((O511+N511)/2))</x:f>
        <x:v>0.0019782393669633223</x:v>
      </x:c>
      <x:c r="Q511" s="34" t="n">
        <x:v>0.05084311</x:v>
      </x:c>
      <x:c r="R511" s="34" t="n">
        <x:v>0.052</x:v>
      </x:c>
      <x:c r="S511" s="34" t="n">
        <x:v>0.0503</x:v>
      </x:c>
      <x:c r="T511" s="32" t="n">
        <x:v>46236.01219393519</x:v>
      </x:c>
      <x:c r="U511" s="32" t="n">
        <x:v>46237.01219393519</x:v>
      </x:c>
      <x:c r="V511" s="34" t="n">
        <x:v>5</x:v>
      </x:c>
      <x:c r="W511" s="34" t="n">
        <x:v>1</x:v>
      </x:c>
      <x:c r="X511" s="34" t="n">
        <x:v>1</x:v>
      </x:c>
      <x:c r="Y511" s="34" t="n">
        <x:v>0.0001</x:v>
      </x:c>
      <x:c r="Z511" s="30" t="str">
        <x:f>IF(AND(D511="TRADING",I511&lt;&gt;"",L511&lt;&gt;"",M511&lt;&gt;"",N511&lt;&gt;"",O511&lt;&gt;""),"Yes","No")</x:f>
        <x:v>Yes</x:v>
      </x:c>
      <x:c r="AA511" s="39" t="str">
        <x:v>https://developers.binance.com/en/docs/catalog/core-trading-spot-trading/api/rest-api</x:v>
      </x:c>
    </x:row>
    <x:row r="512">
      <x:c r="A512" s="30" t="str">
        <x:v>RESOLVUSDT</x:v>
      </x:c>
      <x:c r="B512" s="30" t="str">
        <x:v>RESOLV</x:v>
      </x:c>
      <x:c r="C512" s="30" t="str">
        <x:v>USDT</x:v>
      </x:c>
      <x:c r="D512" s="30" t="str">
        <x:v>TRADING</x:v>
      </x:c>
      <x:c r="E512" s="31" t="b">
        <x:v>1</x:v>
      </x:c>
      <x:c r="F512" s="32" t="n">
        <x:v>45819</x:v>
      </x:c>
      <x:c r="G512" s="32" t="n">
        <x:v>45819.999999988424</x:v>
      </x:c>
      <x:c r="H512" s="33" t="n">
        <x:f>IF(F512="","",('Summary'!$B$5-F512)/365.25)</x:f>
        <x:v>1.144455828389993</x:v>
      </x:c>
      <x:c r="I512" s="34" t="n">
        <x:v>0.01552</x:v>
      </x:c>
      <x:c r="J512" s="35" t="n">
        <x:v>-0.00831</x:v>
      </x:c>
      <x:c r="K512" s="36" t="n">
        <x:v>10159726.3</x:v>
      </x:c>
      <x:c r="L512" s="36" t="n">
        <x:v>158033.019408</x:v>
      </x:c>
      <x:c r="M512" s="37" t="n">
        <x:v>2801</x:v>
      </x:c>
      <x:c r="N512" s="34" t="n">
        <x:v>0.01552</x:v>
      </x:c>
      <x:c r="O512" s="34" t="n">
        <x:v>0.01553</x:v>
      </x:c>
      <x:c r="P512" s="38" t="n">
        <x:f>IF(OR(N512="",O512="",N512=0,O512=0),"",(O512-N512)/((O512+N512)/2))</x:f>
        <x:v>0.0006441223832527918</x:v>
      </x:c>
      <x:c r="Q512" s="34" t="n">
        <x:v>0.01555485</x:v>
      </x:c>
      <x:c r="R512" s="34" t="n">
        <x:v>0.01601</x:v>
      </x:c>
      <x:c r="S512" s="34" t="n">
        <x:v>0.01523</x:v>
      </x:c>
      <x:c r="T512" s="32" t="n">
        <x:v>46236.012142719905</x:v>
      </x:c>
      <x:c r="U512" s="32" t="n">
        <x:v>46237.012142719905</x:v>
      </x:c>
      <x:c r="V512" s="34" t="n">
        <x:v>5</x:v>
      </x:c>
      <x:c r="W512" s="34" t="n">
        <x:v>0.1</x:v>
      </x:c>
      <x:c r="X512" s="34" t="n">
        <x:v>0.1</x:v>
      </x:c>
      <x:c r="Y512" s="34" t="n">
        <x:v>0.00001</x:v>
      </x:c>
      <x:c r="Z512" s="30" t="str">
        <x:f>IF(AND(D512="TRADING",I512&lt;&gt;"",L512&lt;&gt;"",M512&lt;&gt;"",N512&lt;&gt;"",O512&lt;&gt;""),"Yes","No")</x:f>
        <x:v>Yes</x:v>
      </x:c>
      <x:c r="AA512" s="39" t="str">
        <x:v>https://developers.binance.com/en/docs/catalog/core-trading-spot-trading/api/rest-api</x:v>
      </x:c>
    </x:row>
    <x:row r="513">
      <x:c r="A513" s="30" t="str">
        <x:v>REUSDT</x:v>
      </x:c>
      <x:c r="B513" s="30" t="str">
        <x:v>RE</x:v>
      </x:c>
      <x:c r="C513" s="30" t="str">
        <x:v>USDT</x:v>
      </x:c>
      <x:c r="D513" s="30" t="str">
        <x:v>TRADING</x:v>
      </x:c>
      <x:c r="E513" s="31" t="b">
        <x:v>1</x:v>
      </x:c>
      <x:c r="F513" s="32" t="n">
        <x:v>46191</x:v>
      </x:c>
      <x:c r="G513" s="32" t="n">
        <x:v>46191.999999988424</x:v>
      </x:c>
      <x:c r="H513" s="33" t="n">
        <x:f>IF(F513="","",('Summary'!$B$5-F513)/365.25)</x:f>
        <x:v>0.12597533557685137</x:v>
      </x:c>
      <x:c r="I513" s="34" t="n">
        <x:v>0.4195</x:v>
      </x:c>
      <x:c r="J513" s="35" t="n">
        <x:v>-0.05582</x:v>
      </x:c>
      <x:c r="K513" s="36" t="n">
        <x:v>5313437.7</x:v>
      </x:c>
      <x:c r="L513" s="36" t="n">
        <x:v>2267814.96524</x:v>
      </x:c>
      <x:c r="M513" s="37" t="n">
        <x:v>42704</x:v>
      </x:c>
      <x:c r="N513" s="34" t="n">
        <x:v>0.4194</x:v>
      </x:c>
      <x:c r="O513" s="34" t="n">
        <x:v>0.4195</x:v>
      </x:c>
      <x:c r="P513" s="38" t="n">
        <x:f>IF(OR(N513="",O513="",N513=0,O513=0),"",(O513-N513)/((O513+N513)/2))</x:f>
        <x:v>0.0002384074383120491</x:v>
      </x:c>
      <x:c r="Q513" s="34" t="n">
        <x:v>0.42680748</x:v>
      </x:c>
      <x:c r="R513" s="34" t="n">
        <x:v>0.4462</x:v>
      </x:c>
      <x:c r="S513" s="34" t="n">
        <x:v>0.4077</x:v>
      </x:c>
      <x:c r="T513" s="32" t="n">
        <x:v>46236.01248359954</x:v>
      </x:c>
      <x:c r="U513" s="32" t="n">
        <x:v>46237.01248359954</x:v>
      </x:c>
      <x:c r="V513" s="34" t="n">
        <x:v>5</x:v>
      </x:c>
      <x:c r="W513" s="34" t="n">
        <x:v>0.1</x:v>
      </x:c>
      <x:c r="X513" s="34" t="n">
        <x:v>0.1</x:v>
      </x:c>
      <x:c r="Y513" s="34" t="n">
        <x:v>0.0001</x:v>
      </x:c>
      <x:c r="Z513" s="30" t="str">
        <x:f>IF(AND(D513="TRADING",I513&lt;&gt;"",L513&lt;&gt;"",M513&lt;&gt;"",N513&lt;&gt;"",O513&lt;&gt;""),"Yes","No")</x:f>
        <x:v>Yes</x:v>
      </x:c>
      <x:c r="AA513" s="39" t="str">
        <x:v>https://developers.binance.com/en/docs/catalog/core-trading-spot-trading/api/rest-api</x:v>
      </x:c>
    </x:row>
    <x:row r="514">
      <x:c r="A514" s="30" t="str">
        <x:v>REZUSDT</x:v>
      </x:c>
      <x:c r="B514" s="30" t="str">
        <x:v>REZ</x:v>
      </x:c>
      <x:c r="C514" s="30" t="str">
        <x:v>USDT</x:v>
      </x:c>
      <x:c r="D514" s="30" t="str">
        <x:v>TRADING</x:v>
      </x:c>
      <x:c r="E514" s="31" t="b">
        <x:v>1</x:v>
      </x:c>
      <x:c r="F514" s="32" t="n">
        <x:v>45412</x:v>
      </x:c>
      <x:c r="G514" s="32" t="n">
        <x:v>45412.999999988424</x:v>
      </x:c>
      <x:c r="H514" s="33" t="n">
        <x:f>IF(F514="","",('Summary'!$B$5-F514)/365.25)</x:f>
        <x:v>2.258761098752758</x:v>
      </x:c>
      <x:c r="I514" s="34" t="n">
        <x:v>0.002601</x:v>
      </x:c>
      <x:c r="J514" s="35" t="n">
        <x:v>0.01325</x:v>
      </x:c>
      <x:c r="K514" s="36" t="n">
        <x:v>665848700.9</x:v>
      </x:c>
      <x:c r="L514" s="36" t="n">
        <x:v>1795334.7070428</x:v>
      </x:c>
      <x:c r="M514" s="37" t="n">
        <x:v>38166</x:v>
      </x:c>
      <x:c r="N514" s="34" t="n">
        <x:v>0.002598</x:v>
      </x:c>
      <x:c r="O514" s="34" t="n">
        <x:v>0.002601</x:v>
      </x:c>
      <x:c r="P514" s="38" t="n">
        <x:f>IF(OR(N514="",O514="",N514=0,O514=0),"",(O514-N514)/((O514+N514)/2))</x:f>
        <x:v>0.0011540680900172973</x:v>
      </x:c>
      <x:c r="Q514" s="34" t="n">
        <x:v>0.00269631</x:v>
      </x:c>
      <x:c r="R514" s="34" t="n">
        <x:v>0.002831</x:v>
      </x:c>
      <x:c r="S514" s="34" t="n">
        <x:v>0.002557</x:v>
      </x:c>
      <x:c r="T514" s="32" t="n">
        <x:v>46236.01248326389</x:v>
      </x:c>
      <x:c r="U514" s="32" t="n">
        <x:v>46237.01248326389</x:v>
      </x:c>
      <x:c r="V514" s="34" t="n">
        <x:v>5</x:v>
      </x:c>
      <x:c r="W514" s="34" t="n">
        <x:v>0.1</x:v>
      </x:c>
      <x:c r="X514" s="34" t="n">
        <x:v>0.1</x:v>
      </x:c>
      <x:c r="Y514" s="34" t="n">
        <x:v>0.000001</x:v>
      </x:c>
      <x:c r="Z514" s="30" t="str">
        <x:f>IF(AND(D514="TRADING",I514&lt;&gt;"",L514&lt;&gt;"",M514&lt;&gt;"",N514&lt;&gt;"",O514&lt;&gt;""),"Yes","No")</x:f>
        <x:v>Yes</x:v>
      </x:c>
      <x:c r="AA514" s="39" t="str">
        <x:v>https://developers.binance.com/en/docs/catalog/core-trading-spot-trading/api/rest-api</x:v>
      </x:c>
    </x:row>
    <x:row r="515">
      <x:c r="A515" s="30" t="str">
        <x:v>RGTUSDT</x:v>
      </x:c>
      <x:c r="B515" s="30" t="str">
        <x:v>RGT</x:v>
      </x:c>
      <x:c r="C515" s="30" t="str">
        <x:v>USDT</x:v>
      </x:c>
      <x:c r="D515" s="30" t="str">
        <x:v>BREAK</x:v>
      </x:c>
      <x:c r="E515" s="31" t="b">
        <x:v>1</x:v>
      </x:c>
      <x:c r="F515" s="32" t="n">
        <x:v>44505</x:v>
      </x:c>
      <x:c r="G515" s="32" t="n">
        <x:v>44505.999999988424</x:v>
      </x:c>
      <x:c r="H515" s="33" t="n">
        <x:f>IF(F515="","",('Summary'!$B$5-F515)/365.25)</x:f>
        <x:v>4.741991762681574</x:v>
      </x:c>
      <x:c r="I515" s="34" t="n">
        <x:v>0</x:v>
      </x:c>
      <x:c r="J515" s="35" t="n">
        <x:v>0</x:v>
      </x:c>
      <x:c r="K515" s="36" t="n">
        <x:v>0</x:v>
      </x:c>
      <x:c r="L515" s="36" t="n">
        <x:v>0</x:v>
      </x:c>
      <x:c r="M515" s="37" t="n">
        <x:v>0</x:v>
      </x:c>
      <x:c r="N515" s="34" t="n">
        <x:v>0</x:v>
      </x:c>
      <x:c r="O515" s="34" t="n">
        <x:v>0</x:v>
      </x:c>
      <x:c r="P515" s="38" t="str">
        <x:f>IF(OR(N515="",O515="",N515=0,O515=0),"",(O515-N515)/((O515+N515)/2))</x:f>
      </x:c>
      <x:c r="Q515" s="34" t="n">
        <x:v>0</x:v>
      </x:c>
      <x:c r="R515" s="34" t="n">
        <x:v>0</x:v>
      </x:c>
      <x:c r="S515" s="34" t="n">
        <x:v>0</x:v>
      </x:c>
      <x:c r="T515" s="32" t="n">
        <x:v>46209.26112309028</x:v>
      </x:c>
      <x:c r="U515" s="32" t="n">
        <x:v>46210.26112309028</x:v>
      </x:c>
      <x:c r="V515" s="34" t="n">
        <x:v>10</x:v>
      </x:c>
      <x:c r="W515" s="34" t="n">
        <x:v>0.01</x:v>
      </x:c>
      <x:c r="X515" s="34" t="n">
        <x:v>0.01</x:v>
      </x:c>
      <x:c r="Y515" s="34" t="n">
        <x:v>0.01</x:v>
      </x:c>
      <x:c r="Z515" s="30" t="str">
        <x:f>IF(AND(D515="TRADING",I515&lt;&gt;"",L515&lt;&gt;"",M515&lt;&gt;"",N515&lt;&gt;"",O515&lt;&gt;""),"Yes","No")</x:f>
        <x:v>No</x:v>
      </x:c>
      <x:c r="AA515" s="39" t="str">
        <x:v>https://developers.binance.com/en/docs/catalog/core-trading-spot-trading/api/rest-api</x:v>
      </x:c>
    </x:row>
    <x:row r="516">
      <x:c r="A516" s="30" t="str">
        <x:v>RIFUSDT</x:v>
      </x:c>
      <x:c r="B516" s="30" t="str">
        <x:v>RIF</x:v>
      </x:c>
      <x:c r="C516" s="30" t="str">
        <x:v>USDT</x:v>
      </x:c>
      <x:c r="D516" s="30" t="str">
        <x:v>TRADING</x:v>
      </x:c>
      <x:c r="E516" s="31" t="b">
        <x:v>1</x:v>
      </x:c>
      <x:c r="F516" s="32" t="n">
        <x:v>44203</x:v>
      </x:c>
      <x:c r="G516" s="32" t="n">
        <x:v>44203.999999988424</x:v>
      </x:c>
      <x:c r="H516" s="33" t="n">
        <x:f>IF(F516="","",('Summary'!$B$5-F516)/365.25)</x:f>
        <x:v>5.568822700395469</x:v>
      </x:c>
      <x:c r="I516" s="34" t="n">
        <x:v>0.0869</x:v>
      </x:c>
      <x:c r="J516" s="35" t="n">
        <x:v>0.00115</x:v>
      </x:c>
      <x:c r="K516" s="36" t="n">
        <x:v>18097692</x:v>
      </x:c>
      <x:c r="L516" s="36" t="n">
        <x:v>1628867.6689</x:v>
      </x:c>
      <x:c r="M516" s="37" t="n">
        <x:v>22813</x:v>
      </x:c>
      <x:c r="N516" s="34" t="n">
        <x:v>0.0868</x:v>
      </x:c>
      <x:c r="O516" s="34" t="n">
        <x:v>0.0869</x:v>
      </x:c>
      <x:c r="P516" s="38" t="n">
        <x:f>IF(OR(N516="",O516="",N516=0,O516=0),"",(O516-N516)/((O516+N516)/2))</x:f>
        <x:v>0.0011514104778353811</x:v>
      </x:c>
      <x:c r="Q516" s="34" t="n">
        <x:v>0.09000417</x:v>
      </x:c>
      <x:c r="R516" s="34" t="n">
        <x:v>0.093</x:v>
      </x:c>
      <x:c r="S516" s="34" t="n">
        <x:v>0.0863</x:v>
      </x:c>
      <x:c r="T516" s="32" t="n">
        <x:v>46236.01246925926</x:v>
      </x:c>
      <x:c r="U516" s="32" t="n">
        <x:v>46237.01246925926</x:v>
      </x:c>
      <x:c r="V516" s="34" t="n">
        <x:v>5</x:v>
      </x:c>
      <x:c r="W516" s="34" t="n">
        <x:v>1</x:v>
      </x:c>
      <x:c r="X516" s="34" t="n">
        <x:v>1</x:v>
      </x:c>
      <x:c r="Y516" s="34" t="n">
        <x:v>0.0001</x:v>
      </x:c>
      <x:c r="Z516" s="30" t="str">
        <x:f>IF(AND(D516="TRADING",I516&lt;&gt;"",L516&lt;&gt;"",M516&lt;&gt;"",N516&lt;&gt;"",O516&lt;&gt;""),"Yes","No")</x:f>
        <x:v>Yes</x:v>
      </x:c>
      <x:c r="AA516" s="39" t="str">
        <x:v>https://developers.binance.com/en/docs/catalog/core-trading-spot-trading/api/rest-api</x:v>
      </x:c>
    </x:row>
    <x:row r="517">
      <x:c r="A517" s="30" t="str">
        <x:v>RKLBBUSDT</x:v>
      </x:c>
      <x:c r="B517" s="30" t="str">
        <x:v>RKLBB</x:v>
      </x:c>
      <x:c r="C517" s="30" t="str">
        <x:v>USDT</x:v>
      </x:c>
      <x:c r="D517" s="30" t="str">
        <x:v>TRADING</x:v>
      </x:c>
      <x:c r="E517" s="31" t="b">
        <x:v>1</x:v>
      </x:c>
      <x:c r="F517" s="32" t="n">
        <x:v>46218</x:v>
      </x:c>
      <x:c r="G517" s="32" t="n">
        <x:v>46218.999999988424</x:v>
      </x:c>
      <x:c r="H517" s="33" t="n">
        <x:f>IF(F517="","",('Summary'!$B$5-F517)/365.25)</x:f>
        <x:v>0.05205336432428463</x:v>
      </x:c>
      <x:c r="I517" s="34" t="n">
        <x:v>66.13</x:v>
      </x:c>
      <x:c r="J517" s="35" t="n">
        <x:v>0.02479</x:v>
      </x:c>
      <x:c r="K517" s="36" t="n">
        <x:v>1193.58</x:v>
      </x:c>
      <x:c r="L517" s="36" t="n">
        <x:v>77524.934</x:v>
      </x:c>
      <x:c r="M517" s="37" t="n">
        <x:v>1324</x:v>
      </x:c>
      <x:c r="N517" s="34" t="n">
        <x:v>65.97</x:v>
      </x:c>
      <x:c r="O517" s="34" t="n">
        <x:v>66.18</x:v>
      </x:c>
      <x:c r="P517" s="38" t="n">
        <x:f>IF(OR(N517="",O517="",N517=0,O517=0),"",(O517-N517)/((O517+N517)/2))</x:f>
        <x:v>0.003178206583428043</x:v>
      </x:c>
      <x:c r="Q517" s="34" t="n">
        <x:v>64.95160274</x:v>
      </x:c>
      <x:c r="R517" s="34" t="n">
        <x:v>66.16</x:v>
      </x:c>
      <x:c r="S517" s="34" t="n">
        <x:v>64.28</x:v>
      </x:c>
      <x:c r="T517" s="32" t="n">
        <x:v>46236.01247908565</x:v>
      </x:c>
      <x:c r="U517" s="32" t="n">
        <x:v>46237.01247908565</x:v>
      </x:c>
      <x:c r="V517" s="34" t="n">
        <x:v>5</x:v>
      </x:c>
      <x:c r="W517" s="34" t="n">
        <x:v>0.01</x:v>
      </x:c>
      <x:c r="X517" s="34" t="n">
        <x:v>0.01</x:v>
      </x:c>
      <x:c r="Y517" s="34" t="n">
        <x:v>0.01</x:v>
      </x:c>
      <x:c r="Z517" s="30" t="str">
        <x:f>IF(AND(D517="TRADING",I517&lt;&gt;"",L517&lt;&gt;"",M517&lt;&gt;"",N517&lt;&gt;"",O517&lt;&gt;""),"Yes","No")</x:f>
        <x:v>Yes</x:v>
      </x:c>
      <x:c r="AA517" s="39" t="str">
        <x:v>https://developers.binance.com/en/docs/catalog/core-trading-spot-trading/api/rest-api</x:v>
      </x:c>
    </x:row>
    <x:row r="518">
      <x:c r="A518" s="30" t="str">
        <x:v>RLCUSDT</x:v>
      </x:c>
      <x:c r="B518" s="30" t="str">
        <x:v>RLC</x:v>
      </x:c>
      <x:c r="C518" s="30" t="str">
        <x:v>USDT</x:v>
      </x:c>
      <x:c r="D518" s="30" t="str">
        <x:v>TRADING</x:v>
      </x:c>
      <x:c r="E518" s="31" t="b">
        <x:v>1</x:v>
      </x:c>
      <x:c r="F518" s="32" t="n">
        <x:v>43783</x:v>
      </x:c>
      <x:c r="G518" s="32" t="n">
        <x:v>43783.999999988424</x:v>
      </x:c>
      <x:c r="H518" s="33" t="n">
        <x:f>IF(F518="","",('Summary'!$B$5-F518)/365.25)</x:f>
        <x:v>6.718720030990951</x:v>
      </x:c>
      <x:c r="I518" s="34" t="n">
        <x:v>0.2556</x:v>
      </x:c>
      <x:c r="J518" s="35" t="n">
        <x:v>-0.04018</x:v>
      </x:c>
      <x:c r="K518" s="36" t="n">
        <x:v>895917.7</x:v>
      </x:c>
      <x:c r="L518" s="36" t="n">
        <x:v>235852.76526</x:v>
      </x:c>
      <x:c r="M518" s="37" t="n">
        <x:v>6431</x:v>
      </x:c>
      <x:c r="N518" s="34" t="n">
        <x:v>0.2556</x:v>
      </x:c>
      <x:c r="O518" s="34" t="n">
        <x:v>0.2559</x:v>
      </x:c>
      <x:c r="P518" s="38" t="n">
        <x:f>IF(OR(N518="",O518="",N518=0,O518=0),"",(O518-N518)/((O518+N518)/2))</x:f>
        <x:v>0.0011730205278593254</x:v>
      </x:c>
      <x:c r="Q518" s="34" t="n">
        <x:v>0.26325271</x:v>
      </x:c>
      <x:c r="R518" s="34" t="n">
        <x:v>0.2697</x:v>
      </x:c>
      <x:c r="S518" s="34" t="n">
        <x:v>0.2548</x:v>
      </x:c>
      <x:c r="T518" s="32" t="n">
        <x:v>46236.012483391205</x:v>
      </x:c>
      <x:c r="U518" s="32" t="n">
        <x:v>46237.012483391205</x:v>
      </x:c>
      <x:c r="V518" s="34" t="n">
        <x:v>5</x:v>
      </x:c>
      <x:c r="W518" s="34" t="n">
        <x:v>0.1</x:v>
      </x:c>
      <x:c r="X518" s="34" t="n">
        <x:v>0.1</x:v>
      </x:c>
      <x:c r="Y518" s="34" t="n">
        <x:v>0.0001</x:v>
      </x:c>
      <x:c r="Z518" s="30" t="str">
        <x:f>IF(AND(D518="TRADING",I518&lt;&gt;"",L518&lt;&gt;"",M518&lt;&gt;"",N518&lt;&gt;"",O518&lt;&gt;""),"Yes","No")</x:f>
        <x:v>Yes</x:v>
      </x:c>
      <x:c r="AA518" s="39" t="str">
        <x:v>https://developers.binance.com/en/docs/catalog/core-trading-spot-trading/api/rest-api</x:v>
      </x:c>
    </x:row>
    <x:row r="519">
      <x:c r="A519" s="30" t="str">
        <x:v>RLUSDUSDT</x:v>
      </x:c>
      <x:c r="B519" s="30" t="str">
        <x:v>RLUSD</x:v>
      </x:c>
      <x:c r="C519" s="30" t="str">
        <x:v>USDT</x:v>
      </x:c>
      <x:c r="D519" s="30" t="str">
        <x:v>TRADING</x:v>
      </x:c>
      <x:c r="E519" s="31" t="b">
        <x:v>1</x:v>
      </x:c>
      <x:c r="F519" s="32" t="n">
        <x:v>46044</x:v>
      </x:c>
      <x:c r="G519" s="32" t="n">
        <x:v>46044.999999988424</x:v>
      </x:c>
      <x:c r="H519" s="33" t="n">
        <x:f>IF(F519="","",('Summary'!$B$5-F519)/365.25)</x:f>
        <x:v>0.5284394012852702</x:v>
      </x:c>
      <x:c r="I519" s="34" t="n">
        <x:v>1.0012</x:v>
      </x:c>
      <x:c r="J519" s="35" t="n">
        <x:v>0.0001</x:v>
      </x:c>
      <x:c r="K519" s="36" t="n">
        <x:v>5730713</x:v>
      </x:c>
      <x:c r="L519" s="36" t="n">
        <x:v>5736738.1449</x:v>
      </x:c>
      <x:c r="M519" s="37" t="n">
        <x:v>2729</x:v>
      </x:c>
      <x:c r="N519" s="34" t="n">
        <x:v>1.0011</x:v>
      </x:c>
      <x:c r="O519" s="34" t="n">
        <x:v>1.0012</x:v>
      </x:c>
      <x:c r="P519" s="38" t="n">
        <x:f>IF(OR(N519="",O519="",N519=0,O519=0),"",(O519-N519)/((O519+N519)/2))</x:f>
        <x:v>0.0000998851320980762</x:v>
      </x:c>
      <x:c r="Q519" s="34" t="n">
        <x:v>1.00105138</x:v>
      </x:c>
      <x:c r="R519" s="34" t="n">
        <x:v>1.0012</x:v>
      </x:c>
      <x:c r="S519" s="34" t="n">
        <x:v>1.0009</x:v>
      </x:c>
      <x:c r="T519" s="32" t="n">
        <x:v>46236.01248023148</x:v>
      </x:c>
      <x:c r="U519" s="32" t="n">
        <x:v>46237.01248023148</x:v>
      </x:c>
      <x:c r="V519" s="34" t="n">
        <x:v>5</x:v>
      </x:c>
      <x:c r="W519" s="34" t="n">
        <x:v>1</x:v>
      </x:c>
      <x:c r="X519" s="34" t="n">
        <x:v>1</x:v>
      </x:c>
      <x:c r="Y519" s="34" t="n">
        <x:v>0.0001</x:v>
      </x:c>
      <x:c r="Z519" s="30" t="str">
        <x:f>IF(AND(D519="TRADING",I519&lt;&gt;"",L519&lt;&gt;"",M519&lt;&gt;"",N519&lt;&gt;"",O519&lt;&gt;""),"Yes","No")</x:f>
        <x:v>Yes</x:v>
      </x:c>
      <x:c r="AA519" s="39" t="str">
        <x:v>https://developers.binance.com/en/docs/catalog/core-trading-spot-trading/api/rest-api</x:v>
      </x:c>
    </x:row>
    <x:row r="520">
      <x:c r="A520" s="30" t="str">
        <x:v>RNDRUSDT</x:v>
      </x:c>
      <x:c r="B520" s="30" t="str">
        <x:v>RNDR</x:v>
      </x:c>
      <x:c r="C520" s="30" t="str">
        <x:v>USDT</x:v>
      </x:c>
      <x:c r="D520" s="30" t="str">
        <x:v>BREAK</x:v>
      </x:c>
      <x:c r="E520" s="31" t="b">
        <x:v>1</x:v>
      </x:c>
      <x:c r="F520" s="32" t="n">
        <x:v>44527</x:v>
      </x:c>
      <x:c r="G520" s="32" t="n">
        <x:v>44527.999999988424</x:v>
      </x:c>
      <x:c r="H520" s="33" t="n">
        <x:f>IF(F520="","",('Summary'!$B$5-F520)/365.25)</x:f>
        <x:v>4.681759045364668</x:v>
      </x:c>
      <x:c r="I520" s="34" t="n">
        <x:v>7.03</x:v>
      </x:c>
      <x:c r="J520" s="35" t="n">
        <x:v>0.025830000000000002</x:v>
      </x:c>
      <x:c r="K520" s="36" t="n">
        <x:v>233254.93</x:v>
      </x:c>
      <x:c r="L520" s="36" t="n">
        <x:v>1634692.1774</x:v>
      </x:c>
      <x:c r="M520" s="37" t="n">
        <x:v>4001</x:v>
      </x:c>
      <x:c r="N520" s="34" t="n">
        <x:v>0</x:v>
      </x:c>
      <x:c r="O520" s="34" t="n">
        <x:v>0</x:v>
      </x:c>
      <x:c r="P520" s="38" t="str">
        <x:f>IF(OR(N520="",O520="",N520=0,O520=0),"",(O520-N520)/((O520+N520)/2))</x:f>
      </x:c>
      <x:c r="Q520" s="34" t="n">
        <x:v>7.00817847</x:v>
      </x:c>
      <x:c r="R520" s="34" t="n">
        <x:v>7.105</x:v>
      </x:c>
      <x:c r="S520" s="34" t="n">
        <x:v>6.843</x:v>
      </x:c>
      <x:c r="T520" s="32" t="n">
        <x:v>46209.26112309028</x:v>
      </x:c>
      <x:c r="U520" s="32" t="n">
        <x:v>46210.26112309028</x:v>
      </x:c>
      <x:c r="V520" s="34" t="n">
        <x:v>5</x:v>
      </x:c>
      <x:c r="W520" s="34" t="n">
        <x:v>0.01</x:v>
      </x:c>
      <x:c r="X520" s="34" t="n">
        <x:v>0.01</x:v>
      </x:c>
      <x:c r="Y520" s="34" t="n">
        <x:v>0.001</x:v>
      </x:c>
      <x:c r="Z520" s="30" t="str">
        <x:f>IF(AND(D520="TRADING",I520&lt;&gt;"",L520&lt;&gt;"",M520&lt;&gt;"",N520&lt;&gt;"",O520&lt;&gt;""),"Yes","No")</x:f>
        <x:v>No</x:v>
      </x:c>
      <x:c r="AA520" s="39" t="str">
        <x:v>https://developers.binance.com/en/docs/catalog/core-trading-spot-trading/api/rest-api</x:v>
      </x:c>
    </x:row>
    <x:row r="521">
      <x:c r="A521" s="30" t="str">
        <x:v>ROBOUSDT</x:v>
      </x:c>
      <x:c r="B521" s="30" t="str">
        <x:v>ROBO</x:v>
      </x:c>
      <x:c r="C521" s="30" t="str">
        <x:v>USDT</x:v>
      </x:c>
      <x:c r="D521" s="30" t="str">
        <x:v>TRADING</x:v>
      </x:c>
      <x:c r="E521" s="31" t="b">
        <x:v>1</x:v>
      </x:c>
      <x:c r="F521" s="32" t="n">
        <x:v>46085</x:v>
      </x:c>
      <x:c r="G521" s="32" t="n">
        <x:v>46085.999999988424</x:v>
      </x:c>
      <x:c r="H521" s="33" t="n">
        <x:f>IF(F521="","",('Summary'!$B$5-F521)/365.25)</x:f>
        <x:v>0.4161875190128541</x:v>
      </x:c>
      <x:c r="I521" s="34" t="n">
        <x:v>0.01152</x:v>
      </x:c>
      <x:c r="J521" s="35" t="n">
        <x:v>0</x:v>
      </x:c>
      <x:c r="K521" s="36" t="n">
        <x:v>39983320</x:v>
      </x:c>
      <x:c r="L521" s="36" t="n">
        <x:v>469251.60013</x:v>
      </x:c>
      <x:c r="M521" s="37" t="n">
        <x:v>7728</x:v>
      </x:c>
      <x:c r="N521" s="34" t="n">
        <x:v>0.01151</x:v>
      </x:c>
      <x:c r="O521" s="34" t="n">
        <x:v>0.01152</x:v>
      </x:c>
      <x:c r="P521" s="38" t="n">
        <x:f>IF(OR(N521="",O521="",N521=0,O521=0),"",(O521-N521)/((O521+N521)/2))</x:f>
        <x:v>0.0008684324793748438</x:v>
      </x:c>
      <x:c r="Q521" s="34" t="n">
        <x:v>0.01173618</x:v>
      </x:c>
      <x:c r="R521" s="34" t="n">
        <x:v>0.01203</x:v>
      </x:c>
      <x:c r="S521" s="34" t="n">
        <x:v>0.01143</x:v>
      </x:c>
      <x:c r="T521" s="32" t="n">
        <x:v>46236.011842719905</x:v>
      </x:c>
      <x:c r="U521" s="32" t="n">
        <x:v>46237.011842719905</x:v>
      </x:c>
      <x:c r="V521" s="34" t="n">
        <x:v>5</x:v>
      </x:c>
      <x:c r="W521" s="34" t="n">
        <x:v>1</x:v>
      </x:c>
      <x:c r="X521" s="34" t="n">
        <x:v>1</x:v>
      </x:c>
      <x:c r="Y521" s="34" t="n">
        <x:v>0.00001</x:v>
      </x:c>
      <x:c r="Z521" s="30" t="str">
        <x:f>IF(AND(D521="TRADING",I521&lt;&gt;"",L521&lt;&gt;"",M521&lt;&gt;"",N521&lt;&gt;"",O521&lt;&gt;""),"Yes","No")</x:f>
        <x:v>Yes</x:v>
      </x:c>
      <x:c r="AA521" s="39" t="str">
        <x:v>https://developers.binance.com/en/docs/catalog/core-trading-spot-trading/api/rest-api</x:v>
      </x:c>
    </x:row>
    <x:row r="522">
      <x:c r="A522" s="30" t="str">
        <x:v>RONINUSDT</x:v>
      </x:c>
      <x:c r="B522" s="30" t="str">
        <x:v>RONIN</x:v>
      </x:c>
      <x:c r="C522" s="30" t="str">
        <x:v>USDT</x:v>
      </x:c>
      <x:c r="D522" s="30" t="str">
        <x:v>TRADING</x:v>
      </x:c>
      <x:c r="E522" s="31" t="b">
        <x:v>1</x:v>
      </x:c>
      <x:c r="F522" s="32" t="n">
        <x:v>45327</x:v>
      </x:c>
      <x:c r="G522" s="32" t="n">
        <x:v>45327.999999988424</x:v>
      </x:c>
      <x:c r="H522" s="33" t="n">
        <x:f>IF(F522="","",('Summary'!$B$5-F522)/365.25)</x:f>
        <x:v>2.491478415658987</x:v>
      </x:c>
      <x:c r="I522" s="34" t="n">
        <x:v>0.0483</x:v>
      </x:c>
      <x:c r="J522" s="35" t="n">
        <x:v>-0.012270000000000001</x:v>
      </x:c>
      <x:c r="K522" s="36" t="n">
        <x:v>2272689.32</x:v>
      </x:c>
      <x:c r="L522" s="36" t="n">
        <x:v>110212.75624</x:v>
      </x:c>
      <x:c r="M522" s="37" t="n">
        <x:v>2738</x:v>
      </x:c>
      <x:c r="N522" s="34" t="n">
        <x:v>0.0482</x:v>
      </x:c>
      <x:c r="O522" s="34" t="n">
        <x:v>0.0483</x:v>
      </x:c>
      <x:c r="P522" s="38" t="n">
        <x:f>IF(OR(N522="",O522="",N522=0,O522=0),"",(O522-N522)/((O522+N522)/2))</x:f>
        <x:v>0.0020725388601036863</x:v>
      </x:c>
      <x:c r="Q522" s="34" t="n">
        <x:v>0.04849442</x:v>
      </x:c>
      <x:c r="R522" s="34" t="n">
        <x:v>0.0493</x:v>
      </x:c>
      <x:c r="S522" s="34" t="n">
        <x:v>0.0476</x:v>
      </x:c>
      <x:c r="T522" s="32" t="n">
        <x:v>46236.01118368056</x:v>
      </x:c>
      <x:c r="U522" s="32" t="n">
        <x:v>46237.01118368056</x:v>
      </x:c>
      <x:c r="V522" s="34" t="n">
        <x:v>5</x:v>
      </x:c>
      <x:c r="W522" s="34" t="n">
        <x:v>0.01</x:v>
      </x:c>
      <x:c r="X522" s="34" t="n">
        <x:v>0.01</x:v>
      </x:c>
      <x:c r="Y522" s="34" t="n">
        <x:v>0.0001</x:v>
      </x:c>
      <x:c r="Z522" s="30" t="str">
        <x:f>IF(AND(D522="TRADING",I522&lt;&gt;"",L522&lt;&gt;"",M522&lt;&gt;"",N522&lt;&gt;"",O522&lt;&gt;""),"Yes","No")</x:f>
        <x:v>Yes</x:v>
      </x:c>
      <x:c r="AA522" s="39" t="str">
        <x:v>https://developers.binance.com/en/docs/catalog/core-trading-spot-trading/api/rest-api</x:v>
      </x:c>
    </x:row>
    <x:row r="523">
      <x:c r="A523" s="30" t="str">
        <x:v>ROSEUSDT</x:v>
      </x:c>
      <x:c r="B523" s="30" t="str">
        <x:v>ROSE</x:v>
      </x:c>
      <x:c r="C523" s="30" t="str">
        <x:v>USDT</x:v>
      </x:c>
      <x:c r="D523" s="30" t="str">
        <x:v>TRADING</x:v>
      </x:c>
      <x:c r="E523" s="31" t="b">
        <x:v>1</x:v>
      </x:c>
      <x:c r="F523" s="32" t="n">
        <x:v>44154</x:v>
      </x:c>
      <x:c r="G523" s="32" t="n">
        <x:v>44154.999999988424</x:v>
      </x:c>
      <x:c r="H523" s="33" t="n">
        <x:f>IF(F523="","",('Summary'!$B$5-F523)/365.25)</x:f>
        <x:v>5.702977388964942</x:v>
      </x:c>
      <x:c r="I523" s="34" t="n">
        <x:v>0.00549</x:v>
      </x:c>
      <x:c r="J523" s="35" t="n">
        <x:v>-0.01789</x:v>
      </x:c>
      <x:c r="K523" s="36" t="n">
        <x:v>219095901.3</x:v>
      </x:c>
      <x:c r="L523" s="36" t="n">
        <x:v>1226160.156224</x:v>
      </x:c>
      <x:c r="M523" s="37" t="n">
        <x:v>12093</x:v>
      </x:c>
      <x:c r="N523" s="34" t="n">
        <x:v>0.00549</x:v>
      </x:c>
      <x:c r="O523" s="34" t="n">
        <x:v>0.0055</x:v>
      </x:c>
      <x:c r="P523" s="38" t="n">
        <x:f>IF(OR(N523="",O523="",N523=0,O523=0),"",(O523-N523)/((O523+N523)/2))</x:f>
        <x:v>0.0018198362147405992</x:v>
      </x:c>
      <x:c r="Q523" s="34" t="n">
        <x:v>0.00559645</x:v>
      </x:c>
      <x:c r="R523" s="34" t="n">
        <x:v>0.00578</x:v>
      </x:c>
      <x:c r="S523" s="34" t="n">
        <x:v>0.00543</x:v>
      </x:c>
      <x:c r="T523" s="32" t="n">
        <x:v>46236.01195712963</x:v>
      </x:c>
      <x:c r="U523" s="32" t="n">
        <x:v>46237.01195712963</x:v>
      </x:c>
      <x:c r="V523" s="34" t="n">
        <x:v>5</x:v>
      </x:c>
      <x:c r="W523" s="34" t="n">
        <x:v>0.1</x:v>
      </x:c>
      <x:c r="X523" s="34" t="n">
        <x:v>0.1</x:v>
      </x:c>
      <x:c r="Y523" s="34" t="n">
        <x:v>0.00001</x:v>
      </x:c>
      <x:c r="Z523" s="30" t="str">
        <x:f>IF(AND(D523="TRADING",I523&lt;&gt;"",L523&lt;&gt;"",M523&lt;&gt;"",N523&lt;&gt;"",O523&lt;&gt;""),"Yes","No")</x:f>
        <x:v>Yes</x:v>
      </x:c>
      <x:c r="AA523" s="39" t="str">
        <x:v>https://developers.binance.com/en/docs/catalog/core-trading-spot-trading/api/rest-api</x:v>
      </x:c>
    </x:row>
    <x:row r="524">
      <x:c r="A524" s="30" t="str">
        <x:v>RPLUSDT</x:v>
      </x:c>
      <x:c r="B524" s="30" t="str">
        <x:v>RPL</x:v>
      </x:c>
      <x:c r="C524" s="30" t="str">
        <x:v>USDT</x:v>
      </x:c>
      <x:c r="D524" s="30" t="str">
        <x:v>TRADING</x:v>
      </x:c>
      <x:c r="E524" s="31" t="b">
        <x:v>1</x:v>
      </x:c>
      <x:c r="F524" s="32" t="n">
        <x:v>44944</x:v>
      </x:c>
      <x:c r="G524" s="32" t="n">
        <x:v>44944.999999988424</x:v>
      </x:c>
      <x:c r="H524" s="33" t="n">
        <x:f>IF(F524="","",('Summary'!$B$5-F524)/365.25)</x:f>
        <x:v>3.5400752671305815</x:v>
      </x:c>
      <x:c r="I524" s="34" t="n">
        <x:v>1.54</x:v>
      </x:c>
      <x:c r="J524" s="35" t="n">
        <x:v>0</x:v>
      </x:c>
      <x:c r="K524" s="36" t="n">
        <x:v>80472.01</x:v>
      </x:c>
      <x:c r="L524" s="36" t="n">
        <x:v>126364.8885</x:v>
      </x:c>
      <x:c r="M524" s="37" t="n">
        <x:v>900</x:v>
      </x:c>
      <x:c r="N524" s="34" t="n">
        <x:v>1.53</x:v>
      </x:c>
      <x:c r="O524" s="34" t="n">
        <x:v>1.54</x:v>
      </x:c>
      <x:c r="P524" s="38" t="n">
        <x:f>IF(OR(N524="",O524="",N524=0,O524=0),"",(O524-N524)/((O524+N524)/2))</x:f>
        <x:v>0.0065146579804560316</x:v>
      </x:c>
      <x:c r="Q524" s="34" t="n">
        <x:v>1.57029616</x:v>
      </x:c>
      <x:c r="R524" s="34" t="n">
        <x:v>1.6</x:v>
      </x:c>
      <x:c r="S524" s="34" t="n">
        <x:v>1.54</x:v>
      </x:c>
      <x:c r="T524" s="32" t="n">
        <x:v>46236.012007997684</x:v>
      </x:c>
      <x:c r="U524" s="32" t="n">
        <x:v>46237.012007997684</x:v>
      </x:c>
      <x:c r="V524" s="34" t="n">
        <x:v>5</x:v>
      </x:c>
      <x:c r="W524" s="34" t="n">
        <x:v>0.01</x:v>
      </x:c>
      <x:c r="X524" s="34" t="n">
        <x:v>0.01</x:v>
      </x:c>
      <x:c r="Y524" s="34" t="n">
        <x:v>0.01</x:v>
      </x:c>
      <x:c r="Z524" s="30" t="str">
        <x:f>IF(AND(D524="TRADING",I524&lt;&gt;"",L524&lt;&gt;"",M524&lt;&gt;"",N524&lt;&gt;"",O524&lt;&gt;""),"Yes","No")</x:f>
        <x:v>Yes</x:v>
      </x:c>
      <x:c r="AA524" s="39" t="str">
        <x:v>https://developers.binance.com/en/docs/catalog/core-trading-spot-trading/api/rest-api</x:v>
      </x:c>
    </x:row>
    <x:row r="525">
      <x:c r="A525" s="30" t="str">
        <x:v>RSRUSDT</x:v>
      </x:c>
      <x:c r="B525" s="30" t="str">
        <x:v>RSR</x:v>
      </x:c>
      <x:c r="C525" s="30" t="str">
        <x:v>USDT</x:v>
      </x:c>
      <x:c r="D525" s="30" t="str">
        <x:v>TRADING</x:v>
      </x:c>
      <x:c r="E525" s="31" t="b">
        <x:v>1</x:v>
      </x:c>
      <x:c r="F525" s="32" t="n">
        <x:v>44070</x:v>
      </x:c>
      <x:c r="G525" s="32" t="n">
        <x:v>44070.999999988424</x:v>
      </x:c>
      <x:c r="H525" s="33" t="n">
        <x:f>IF(F525="","",('Summary'!$B$5-F525)/365.25)</x:f>
        <x:v>5.932956855084038</x:v>
      </x:c>
      <x:c r="I525" s="34" t="n">
        <x:v>0.001278</x:v>
      </x:c>
      <x:c r="J525" s="35" t="n">
        <x:v>0.02322</x:v>
      </x:c>
      <x:c r="K525" s="36" t="n">
        <x:v>391136278.1</x:v>
      </x:c>
      <x:c r="L525" s="36" t="n">
        <x:v>505970.478257</x:v>
      </x:c>
      <x:c r="M525" s="37" t="n">
        <x:v>6900</x:v>
      </x:c>
      <x:c r="N525" s="34" t="n">
        <x:v>0.001278</x:v>
      </x:c>
      <x:c r="O525" s="34" t="n">
        <x:v>0.001279</x:v>
      </x:c>
      <x:c r="P525" s="38" t="n">
        <x:f>IF(OR(N525="",O525="",N525=0,O525=0),"",(O525-N525)/((O525+N525)/2))</x:f>
        <x:v>0.0007821666014860507</x:v>
      </x:c>
      <x:c r="Q525" s="34" t="n">
        <x:v>0.00129359</x:v>
      </x:c>
      <x:c r="R525" s="34" t="n">
        <x:v>0.001332</x:v>
      </x:c>
      <x:c r="S525" s="34" t="n">
        <x:v>0.001245</x:v>
      </x:c>
      <x:c r="T525" s="32" t="n">
        <x:v>46236.012455717595</x:v>
      </x:c>
      <x:c r="U525" s="32" t="n">
        <x:v>46237.012455717595</x:v>
      </x:c>
      <x:c r="V525" s="34" t="n">
        <x:v>5</x:v>
      </x:c>
      <x:c r="W525" s="34" t="n">
        <x:v>0.1</x:v>
      </x:c>
      <x:c r="X525" s="34" t="n">
        <x:v>0.1</x:v>
      </x:c>
      <x:c r="Y525" s="34" t="n">
        <x:v>0.000001</x:v>
      </x:c>
      <x:c r="Z525" s="30" t="str">
        <x:f>IF(AND(D525="TRADING",I525&lt;&gt;"",L525&lt;&gt;"",M525&lt;&gt;"",N525&lt;&gt;"",O525&lt;&gt;""),"Yes","No")</x:f>
        <x:v>Yes</x:v>
      </x:c>
      <x:c r="AA525" s="39" t="str">
        <x:v>https://developers.binance.com/en/docs/catalog/core-trading-spot-trading/api/rest-api</x:v>
      </x:c>
    </x:row>
    <x:row r="526">
      <x:c r="A526" s="30" t="str">
        <x:v>RUNEUSDT</x:v>
      </x:c>
      <x:c r="B526" s="30" t="str">
        <x:v>RUNE</x:v>
      </x:c>
      <x:c r="C526" s="30" t="str">
        <x:v>USDT</x:v>
      </x:c>
      <x:c r="D526" s="30" t="str">
        <x:v>TRADING</x:v>
      </x:c>
      <x:c r="E526" s="31" t="b">
        <x:v>1</x:v>
      </x:c>
      <x:c r="F526" s="32" t="n">
        <x:v>44078</x:v>
      </x:c>
      <x:c r="G526" s="32" t="n">
        <x:v>44078.999999988424</x:v>
      </x:c>
      <x:c r="H526" s="33" t="n">
        <x:f>IF(F526="","",('Summary'!$B$5-F526)/365.25)</x:f>
        <x:v>5.911054048786982</x:v>
      </x:c>
      <x:c r="I526" s="34" t="n">
        <x:v>0.444</x:v>
      </x:c>
      <x:c r="J526" s="35" t="n">
        <x:v>0.0137</x:v>
      </x:c>
      <x:c r="K526" s="36" t="n">
        <x:v>1029170.4</x:v>
      </x:c>
      <x:c r="L526" s="36" t="n">
        <x:v>455935.3387</x:v>
      </x:c>
      <x:c r="M526" s="37" t="n">
        <x:v>3288</x:v>
      </x:c>
      <x:c r="N526" s="34" t="n">
        <x:v>0.443</x:v>
      </x:c>
      <x:c r="O526" s="34" t="n">
        <x:v>0.444</x:v>
      </x:c>
      <x:c r="P526" s="38" t="n">
        <x:f>IF(OR(N526="",O526="",N526=0,O526=0),"",(O526-N526)/((O526+N526)/2))</x:f>
        <x:v>0.0022547914317925613</x:v>
      </x:c>
      <x:c r="Q526" s="34" t="n">
        <x:v>0.44301249</x:v>
      </x:c>
      <x:c r="R526" s="34" t="n">
        <x:v>0.448</x:v>
      </x:c>
      <x:c r="S526" s="34" t="n">
        <x:v>0.436</x:v>
      </x:c>
      <x:c r="T526" s="32" t="n">
        <x:v>46236.012476296295</x:v>
      </x:c>
      <x:c r="U526" s="32" t="n">
        <x:v>46237.012476296295</x:v>
      </x:c>
      <x:c r="V526" s="34" t="n">
        <x:v>5</x:v>
      </x:c>
      <x:c r="W526" s="34" t="n">
        <x:v>0.1</x:v>
      </x:c>
      <x:c r="X526" s="34" t="n">
        <x:v>0.1</x:v>
      </x:c>
      <x:c r="Y526" s="34" t="n">
        <x:v>0.001</x:v>
      </x:c>
      <x:c r="Z526" s="30" t="str">
        <x:f>IF(AND(D526="TRADING",I526&lt;&gt;"",L526&lt;&gt;"",M526&lt;&gt;"",N526&lt;&gt;"",O526&lt;&gt;""),"Yes","No")</x:f>
        <x:v>Yes</x:v>
      </x:c>
      <x:c r="AA526" s="39" t="str">
        <x:v>https://developers.binance.com/en/docs/catalog/core-trading-spot-trading/api/rest-api</x:v>
      </x:c>
    </x:row>
    <x:row r="527">
      <x:c r="A527" s="30" t="str">
        <x:v>RVNUSDT</x:v>
      </x:c>
      <x:c r="B527" s="30" t="str">
        <x:v>RVN</x:v>
      </x:c>
      <x:c r="C527" s="30" t="str">
        <x:v>USDT</x:v>
      </x:c>
      <x:c r="D527" s="30" t="str">
        <x:v>TRADING</x:v>
      </x:c>
      <x:c r="E527" s="31" t="b">
        <x:v>1</x:v>
      </x:c>
      <x:c r="F527" s="32" t="n">
        <x:v>43733</x:v>
      </x:c>
      <x:c r="G527" s="32" t="n">
        <x:v>43733.999999988424</x:v>
      </x:c>
      <x:c r="H527" s="33" t="n">
        <x:f>IF(F527="","",('Summary'!$B$5-F527)/365.25)</x:f>
        <x:v>6.8556125703475566</x:v>
      </x:c>
      <x:c r="I527" s="34" t="n">
        <x:v>0.00357</x:v>
      </x:c>
      <x:c r="J527" s="35" t="n">
        <x:v>-0.0027900000000000004</x:v>
      </x:c>
      <x:c r="K527" s="36" t="n">
        <x:v>14960976.3</x:v>
      </x:c>
      <x:c r="L527" s="36" t="n">
        <x:v>53846.79407</x:v>
      </x:c>
      <x:c r="M527" s="37" t="n">
        <x:v>980</x:v>
      </x:c>
      <x:c r="N527" s="34" t="n">
        <x:v>0.00356</x:v>
      </x:c>
      <x:c r="O527" s="34" t="n">
        <x:v>0.00357</x:v>
      </x:c>
      <x:c r="P527" s="38" t="n">
        <x:f>IF(OR(N527="",O527="",N527=0,O527=0),"",(O527-N527)/((O527+N527)/2))</x:f>
        <x:v>0.002805049088359054</x:v>
      </x:c>
      <x:c r="Q527" s="34" t="n">
        <x:v>0.00359915</x:v>
      </x:c>
      <x:c r="R527" s="34" t="n">
        <x:v>0.00363</x:v>
      </x:c>
      <x:c r="S527" s="34" t="n">
        <x:v>0.00356</x:v>
      </x:c>
      <x:c r="T527" s="32" t="n">
        <x:v>46236.01247809028</x:v>
      </x:c>
      <x:c r="U527" s="32" t="n">
        <x:v>46237.01247809028</x:v>
      </x:c>
      <x:c r="V527" s="34" t="n">
        <x:v>5</x:v>
      </x:c>
      <x:c r="W527" s="34" t="n">
        <x:v>0.1</x:v>
      </x:c>
      <x:c r="X527" s="34" t="n">
        <x:v>0.1</x:v>
      </x:c>
      <x:c r="Y527" s="34" t="n">
        <x:v>0.00001</x:v>
      </x:c>
      <x:c r="Z527" s="30" t="str">
        <x:f>IF(AND(D527="TRADING",I527&lt;&gt;"",L527&lt;&gt;"",M527&lt;&gt;"",N527&lt;&gt;"",O527&lt;&gt;""),"Yes","No")</x:f>
        <x:v>Yes</x:v>
      </x:c>
      <x:c r="AA527" s="39" t="str">
        <x:v>https://developers.binance.com/en/docs/catalog/core-trading-spot-trading/api/rest-api</x:v>
      </x:c>
    </x:row>
    <x:row r="528">
      <x:c r="A528" s="30" t="str">
        <x:v>SAGAUSDT</x:v>
      </x:c>
      <x:c r="B528" s="30" t="str">
        <x:v>SAGA</x:v>
      </x:c>
      <x:c r="C528" s="30" t="str">
        <x:v>USDT</x:v>
      </x:c>
      <x:c r="D528" s="30" t="str">
        <x:v>TRADING</x:v>
      </x:c>
      <x:c r="E528" s="31" t="b">
        <x:v>1</x:v>
      </x:c>
      <x:c r="F528" s="32" t="n">
        <x:v>45391</x:v>
      </x:c>
      <x:c r="G528" s="32" t="n">
        <x:v>45391.999999988424</x:v>
      </x:c>
      <x:c r="H528" s="33" t="n">
        <x:f>IF(F528="","",('Summary'!$B$5-F528)/365.25)</x:f>
        <x:v>2.3162559652825325</x:v>
      </x:c>
      <x:c r="I528" s="34" t="n">
        <x:v>0.01287</x:v>
      </x:c>
      <x:c r="J528" s="35" t="n">
        <x:v>0.0438</x:v>
      </x:c>
      <x:c r="K528" s="36" t="n">
        <x:v>146648523.9</x:v>
      </x:c>
      <x:c r="L528" s="36" t="n">
        <x:v>1894687.018621</x:v>
      </x:c>
      <x:c r="M528" s="37" t="n">
        <x:v>23650</x:v>
      </x:c>
      <x:c r="N528" s="34" t="n">
        <x:v>0.01286</x:v>
      </x:c>
      <x:c r="O528" s="34" t="n">
        <x:v>0.01287</x:v>
      </x:c>
      <x:c r="P528" s="38" t="n">
        <x:f>IF(OR(N528="",O528="",N528=0,O528=0),"",(O528-N528)/((O528+N528)/2))</x:f>
        <x:v>0.0007773027594247643</x:v>
      </x:c>
      <x:c r="Q528" s="34" t="n">
        <x:v>0.01291992</x:v>
      </x:c>
      <x:c r="R528" s="34" t="n">
        <x:v>0.01341</x:v>
      </x:c>
      <x:c r="S528" s="34" t="n">
        <x:v>0.01209</x:v>
      </x:c>
      <x:c r="T528" s="32" t="n">
        <x:v>46236.01239782407</x:v>
      </x:c>
      <x:c r="U528" s="32" t="n">
        <x:v>46237.01239782407</x:v>
      </x:c>
      <x:c r="V528" s="34" t="n">
        <x:v>5</x:v>
      </x:c>
      <x:c r="W528" s="34" t="n">
        <x:v>0.1</x:v>
      </x:c>
      <x:c r="X528" s="34" t="n">
        <x:v>0.1</x:v>
      </x:c>
      <x:c r="Y528" s="34" t="n">
        <x:v>0.00001</x:v>
      </x:c>
      <x:c r="Z528" s="30" t="str">
        <x:f>IF(AND(D528="TRADING",I528&lt;&gt;"",L528&lt;&gt;"",M528&lt;&gt;"",N528&lt;&gt;"",O528&lt;&gt;""),"Yes","No")</x:f>
        <x:v>Yes</x:v>
      </x:c>
      <x:c r="AA528" s="39" t="str">
        <x:v>https://developers.binance.com/en/docs/catalog/core-trading-spot-trading/api/rest-api</x:v>
      </x:c>
    </x:row>
    <x:row r="529">
      <x:c r="A529" s="30" t="str">
        <x:v>SAHARAUSDT</x:v>
      </x:c>
      <x:c r="B529" s="30" t="str">
        <x:v>SAHARA</x:v>
      </x:c>
      <x:c r="C529" s="30" t="str">
        <x:v>USDT</x:v>
      </x:c>
      <x:c r="D529" s="30" t="str">
        <x:v>TRADING</x:v>
      </x:c>
      <x:c r="E529" s="31" t="b">
        <x:v>1</x:v>
      </x:c>
      <x:c r="F529" s="32" t="n">
        <x:v>45834</x:v>
      </x:c>
      <x:c r="G529" s="32" t="n">
        <x:v>45834.999999988424</x:v>
      </x:c>
      <x:c r="H529" s="33" t="n">
        <x:f>IF(F529="","",('Summary'!$B$5-F529)/365.25)</x:f>
        <x:v>1.1033880665830116</x:v>
      </x:c>
      <x:c r="I529" s="34" t="n">
        <x:v>0.00776</x:v>
      </x:c>
      <x:c r="J529" s="35" t="n">
        <x:v>-0.016479999999999998</x:v>
      </x:c>
      <x:c r="K529" s="36" t="n">
        <x:v>107193997</x:v>
      </x:c>
      <x:c r="L529" s="36" t="n">
        <x:v>853971.98128</x:v>
      </x:c>
      <x:c r="M529" s="37" t="n">
        <x:v>13177</x:v>
      </x:c>
      <x:c r="N529" s="34" t="n">
        <x:v>0.00776</x:v>
      </x:c>
      <x:c r="O529" s="34" t="n">
        <x:v>0.00777</x:v>
      </x:c>
      <x:c r="P529" s="38" t="n">
        <x:f>IF(OR(N529="",O529="",N529=0,O529=0),"",(O529-N529)/((O529+N529)/2))</x:f>
        <x:v>0.0012878300064390975</x:v>
      </x:c>
      <x:c r="Q529" s="34" t="n">
        <x:v>0.0079666</x:v>
      </x:c>
      <x:c r="R529" s="34" t="n">
        <x:v>0.00831</x:v>
      </x:c>
      <x:c r="S529" s="34" t="n">
        <x:v>0.00773</x:v>
      </x:c>
      <x:c r="T529" s="32" t="n">
        <x:v>46236.012466875</x:v>
      </x:c>
      <x:c r="U529" s="32" t="n">
        <x:v>46237.012466875</x:v>
      </x:c>
      <x:c r="V529" s="34" t="n">
        <x:v>5</x:v>
      </x:c>
      <x:c r="W529" s="34" t="n">
        <x:v>1</x:v>
      </x:c>
      <x:c r="X529" s="34" t="n">
        <x:v>1</x:v>
      </x:c>
      <x:c r="Y529" s="34" t="n">
        <x:v>0.00001</x:v>
      </x:c>
      <x:c r="Z529" s="30" t="str">
        <x:f>IF(AND(D529="TRADING",I529&lt;&gt;"",L529&lt;&gt;"",M529&lt;&gt;"",N529&lt;&gt;"",O529&lt;&gt;""),"Yes","No")</x:f>
        <x:v>Yes</x:v>
      </x:c>
      <x:c r="AA529" s="39" t="str">
        <x:v>https://developers.binance.com/en/docs/catalog/core-trading-spot-trading/api/rest-api</x:v>
      </x:c>
    </x:row>
    <x:row r="530">
      <x:c r="A530" s="30" t="str">
        <x:v>SANDUSDT</x:v>
      </x:c>
      <x:c r="B530" s="30" t="str">
        <x:v>SAND</x:v>
      </x:c>
      <x:c r="C530" s="30" t="str">
        <x:v>USDT</x:v>
      </x:c>
      <x:c r="D530" s="30" t="str">
        <x:v>TRADING</x:v>
      </x:c>
      <x:c r="E530" s="31" t="b">
        <x:v>1</x:v>
      </x:c>
      <x:c r="F530" s="32" t="n">
        <x:v>44057</x:v>
      </x:c>
      <x:c r="G530" s="32" t="n">
        <x:v>44057.999999988424</x:v>
      </x:c>
      <x:c r="H530" s="33" t="n">
        <x:f>IF(F530="","",('Summary'!$B$5-F530)/365.25)</x:f>
        <x:v>5.968548915316756</x:v>
      </x:c>
      <x:c r="I530" s="34" t="n">
        <x:v>0.04289</x:v>
      </x:c>
      <x:c r="J530" s="35" t="n">
        <x:v>0.03774</x:v>
      </x:c>
      <x:c r="K530" s="36" t="n">
        <x:v>12174166</x:v>
      </x:c>
      <x:c r="L530" s="36" t="n">
        <x:v>521927.96451</x:v>
      </x:c>
      <x:c r="M530" s="37" t="n">
        <x:v>11165</x:v>
      </x:c>
      <x:c r="N530" s="34" t="n">
        <x:v>0.04288</x:v>
      </x:c>
      <x:c r="O530" s="34" t="n">
        <x:v>0.0429</x:v>
      </x:c>
      <x:c r="P530" s="38" t="n">
        <x:f>IF(OR(N530="",O530="",N530=0,O530=0),"",(O530-N530)/((O530+N530)/2))</x:f>
        <x:v>0.00046630916297503346</x:v>
      </x:c>
      <x:c r="Q530" s="34" t="n">
        <x:v>0.04287176</x:v>
      </x:c>
      <x:c r="R530" s="34" t="n">
        <x:v>0.04384</x:v>
      </x:c>
      <x:c r="S530" s="34" t="n">
        <x:v>0.04127</x:v>
      </x:c>
      <x:c r="T530" s="32" t="n">
        <x:v>46236.01234061342</x:v>
      </x:c>
      <x:c r="U530" s="32" t="n">
        <x:v>46237.01234061342</x:v>
      </x:c>
      <x:c r="V530" s="34" t="n">
        <x:v>5</x:v>
      </x:c>
      <x:c r="W530" s="34" t="n">
        <x:v>1</x:v>
      </x:c>
      <x:c r="X530" s="34" t="n">
        <x:v>1</x:v>
      </x:c>
      <x:c r="Y530" s="34" t="n">
        <x:v>0.00001</x:v>
      </x:c>
      <x:c r="Z530" s="30" t="str">
        <x:f>IF(AND(D530="TRADING",I530&lt;&gt;"",L530&lt;&gt;"",M530&lt;&gt;"",N530&lt;&gt;"",O530&lt;&gt;""),"Yes","No")</x:f>
        <x:v>Yes</x:v>
      </x:c>
      <x:c r="AA530" s="39" t="str">
        <x:v>https://developers.binance.com/en/docs/catalog/core-trading-spot-trading/api/rest-api</x:v>
      </x:c>
    </x:row>
    <x:row r="531">
      <x:c r="A531" s="30" t="str">
        <x:v>SANTOSUSDT</x:v>
      </x:c>
      <x:c r="B531" s="30" t="str">
        <x:v>SANTOS</x:v>
      </x:c>
      <x:c r="C531" s="30" t="str">
        <x:v>USDT</x:v>
      </x:c>
      <x:c r="D531" s="30" t="str">
        <x:v>TRADING</x:v>
      </x:c>
      <x:c r="E531" s="31" t="b">
        <x:v>1</x:v>
      </x:c>
      <x:c r="F531" s="32" t="n">
        <x:v>44531</x:v>
      </x:c>
      <x:c r="G531" s="32" t="n">
        <x:v>44531.999999988424</x:v>
      </x:c>
      <x:c r="H531" s="33" t="n">
        <x:f>IF(F531="","",('Summary'!$B$5-F531)/365.25)</x:f>
        <x:v>4.67080764221614</x:v>
      </x:c>
      <x:c r="I531" s="34" t="n">
        <x:v>0.474</x:v>
      </x:c>
      <x:c r="J531" s="35" t="n">
        <x:v>-0.0062900000000000005</x:v>
      </x:c>
      <x:c r="K531" s="36" t="n">
        <x:v>250365.75</x:v>
      </x:c>
      <x:c r="L531" s="36" t="n">
        <x:v>119108.75018</x:v>
      </x:c>
      <x:c r="M531" s="37" t="n">
        <x:v>2623</x:v>
      </x:c>
      <x:c r="N531" s="34" t="n">
        <x:v>0.473</x:v>
      </x:c>
      <x:c r="O531" s="34" t="n">
        <x:v>0.474</x:v>
      </x:c>
      <x:c r="P531" s="38" t="n">
        <x:f>IF(OR(N531="",O531="",N531=0,O531=0),"",(O531-N531)/((O531+N531)/2))</x:f>
        <x:v>0.002111932418162621</x:v>
      </x:c>
      <x:c r="Q531" s="34" t="n">
        <x:v>0.47573899</x:v>
      </x:c>
      <x:c r="R531" s="34" t="n">
        <x:v>0.481</x:v>
      </x:c>
      <x:c r="S531" s="34" t="n">
        <x:v>0.471</x:v>
      </x:c>
      <x:c r="T531" s="32" t="n">
        <x:v>46236.01247217593</x:v>
      </x:c>
      <x:c r="U531" s="32" t="n">
        <x:v>46237.01247217593</x:v>
      </x:c>
      <x:c r="V531" s="34" t="n">
        <x:v>5</x:v>
      </x:c>
      <x:c r="W531" s="34" t="n">
        <x:v>0.01</x:v>
      </x:c>
      <x:c r="X531" s="34" t="n">
        <x:v>0.01</x:v>
      </x:c>
      <x:c r="Y531" s="34" t="n">
        <x:v>0.001</x:v>
      </x:c>
      <x:c r="Z531" s="30" t="str">
        <x:f>IF(AND(D531="TRADING",I531&lt;&gt;"",L531&lt;&gt;"",M531&lt;&gt;"",N531&lt;&gt;"",O531&lt;&gt;""),"Yes","No")</x:f>
        <x:v>Yes</x:v>
      </x:c>
      <x:c r="AA531" s="39" t="str">
        <x:v>https://developers.binance.com/en/docs/catalog/core-trading-spot-trading/api/rest-api</x:v>
      </x:c>
    </x:row>
    <x:row r="532">
      <x:c r="A532" s="30" t="str">
        <x:v>SAPIENUSDT</x:v>
      </x:c>
      <x:c r="B532" s="30" t="str">
        <x:v>SAPIEN</x:v>
      </x:c>
      <x:c r="C532" s="30" t="str">
        <x:v>USDT</x:v>
      </x:c>
      <x:c r="D532" s="30" t="str">
        <x:v>TRADING</x:v>
      </x:c>
      <x:c r="E532" s="31" t="b">
        <x:v>1</x:v>
      </x:c>
      <x:c r="F532" s="32" t="n">
        <x:v>45967</x:v>
      </x:c>
      <x:c r="G532" s="32" t="n">
        <x:v>45967.999999988424</x:v>
      </x:c>
      <x:c r="H532" s="33" t="n">
        <x:f>IF(F532="","",('Summary'!$B$5-F532)/365.25)</x:f>
        <x:v>0.739253911894442</x:v>
      </x:c>
      <x:c r="I532" s="34" t="n">
        <x:v>0.0808</x:v>
      </x:c>
      <x:c r="J532" s="35" t="n">
        <x:v>-0.00737</x:v>
      </x:c>
      <x:c r="K532" s="36" t="n">
        <x:v>2594708</x:v>
      </x:c>
      <x:c r="L532" s="36" t="n">
        <x:v>210766.35602</x:v>
      </x:c>
      <x:c r="M532" s="37" t="n">
        <x:v>3206</x:v>
      </x:c>
      <x:c r="N532" s="34" t="n">
        <x:v>0.0807</x:v>
      </x:c>
      <x:c r="O532" s="34" t="n">
        <x:v>0.0808</x:v>
      </x:c>
      <x:c r="P532" s="38" t="n">
        <x:f>IF(OR(N532="",O532="",N532=0,O532=0),"",(O532-N532)/((O532+N532)/2))</x:f>
        <x:v>0.0012383900928792926</x:v>
      </x:c>
      <x:c r="Q532" s="34" t="n">
        <x:v>0.08122932</x:v>
      </x:c>
      <x:c r="R532" s="34" t="n">
        <x:v>0.0833</x:v>
      </x:c>
      <x:c r="S532" s="34" t="n">
        <x:v>0.0797</x:v>
      </x:c>
      <x:c r="T532" s="32" t="n">
        <x:v>46236.012386712966</x:v>
      </x:c>
      <x:c r="U532" s="32" t="n">
        <x:v>46237.012386712966</x:v>
      </x:c>
      <x:c r="V532" s="34" t="n">
        <x:v>5</x:v>
      </x:c>
      <x:c r="W532" s="34" t="n">
        <x:v>0.1</x:v>
      </x:c>
      <x:c r="X532" s="34" t="n">
        <x:v>0.1</x:v>
      </x:c>
      <x:c r="Y532" s="34" t="n">
        <x:v>0.0001</x:v>
      </x:c>
      <x:c r="Z532" s="30" t="str">
        <x:f>IF(AND(D532="TRADING",I532&lt;&gt;"",L532&lt;&gt;"",M532&lt;&gt;"",N532&lt;&gt;"",O532&lt;&gt;""),"Yes","No")</x:f>
        <x:v>Yes</x:v>
      </x:c>
      <x:c r="AA532" s="39" t="str">
        <x:v>https://developers.binance.com/en/docs/catalog/core-trading-spot-trading/api/rest-api</x:v>
      </x:c>
    </x:row>
    <x:row r="533">
      <x:c r="A533" s="30" t="str">
        <x:v>SCRTUSDT</x:v>
      </x:c>
      <x:c r="B533" s="30" t="str">
        <x:v>SCRT</x:v>
      </x:c>
      <x:c r="C533" s="30" t="str">
        <x:v>USDT</x:v>
      </x:c>
      <x:c r="D533" s="30" t="str">
        <x:v>TRADING</x:v>
      </x:c>
      <x:c r="E533" s="31" t="b">
        <x:v>1</x:v>
      </x:c>
      <x:c r="F533" s="32" t="n">
        <x:v>44582</x:v>
      </x:c>
      <x:c r="G533" s="32" t="n">
        <x:v>44582.999999988424</x:v>
      </x:c>
      <x:c r="H533" s="33" t="n">
        <x:f>IF(F533="","",('Summary'!$B$5-F533)/365.25)</x:f>
        <x:v>4.5311772520724025</x:v>
      </x:c>
      <x:c r="I533" s="34" t="n">
        <x:v>0.0311</x:v>
      </x:c>
      <x:c r="J533" s="35" t="n">
        <x:v>0.00647</x:v>
      </x:c>
      <x:c r="K533" s="36" t="n">
        <x:v>4479903.8</x:v>
      </x:c>
      <x:c r="L533" s="36" t="n">
        <x:v>138309.19595</x:v>
      </x:c>
      <x:c r="M533" s="37" t="n">
        <x:v>2642</x:v>
      </x:c>
      <x:c r="N533" s="34" t="n">
        <x:v>0.031</x:v>
      </x:c>
      <x:c r="O533" s="34" t="n">
        <x:v>0.0311</x:v>
      </x:c>
      <x:c r="P533" s="38" t="n">
        <x:f>IF(OR(N533="",O533="",N533=0,O533=0),"",(O533-N533)/((O533+N533)/2))</x:f>
        <x:v>0.0032206119162640707</x:v>
      </x:c>
      <x:c r="Q533" s="34" t="n">
        <x:v>0.03087325</x:v>
      </x:c>
      <x:c r="R533" s="34" t="n">
        <x:v>0.0319</x:v>
      </x:c>
      <x:c r="S533" s="34" t="n">
        <x:v>0.0304</x:v>
      </x:c>
      <x:c r="T533" s="32" t="n">
        <x:v>46236.012467071756</x:v>
      </x:c>
      <x:c r="U533" s="32" t="n">
        <x:v>46237.012467071756</x:v>
      </x:c>
      <x:c r="V533" s="34" t="n">
        <x:v>5</x:v>
      </x:c>
      <x:c r="W533" s="34" t="n">
        <x:v>0.1</x:v>
      </x:c>
      <x:c r="X533" s="34" t="n">
        <x:v>0.1</x:v>
      </x:c>
      <x:c r="Y533" s="34" t="n">
        <x:v>0.0001</x:v>
      </x:c>
      <x:c r="Z533" s="30" t="str">
        <x:f>IF(AND(D533="TRADING",I533&lt;&gt;"",L533&lt;&gt;"",M533&lt;&gt;"",N533&lt;&gt;"",O533&lt;&gt;""),"Yes","No")</x:f>
        <x:v>Yes</x:v>
      </x:c>
      <x:c r="AA533" s="39" t="str">
        <x:v>https://developers.binance.com/en/docs/catalog/core-trading-spot-trading/api/rest-api</x:v>
      </x:c>
    </x:row>
    <x:row r="534">
      <x:c r="A534" s="30" t="str">
        <x:v>SCRUSDT</x:v>
      </x:c>
      <x:c r="B534" s="30" t="str">
        <x:v>SCR</x:v>
      </x:c>
      <x:c r="C534" s="30" t="str">
        <x:v>USDT</x:v>
      </x:c>
      <x:c r="D534" s="30" t="str">
        <x:v>TRADING</x:v>
      </x:c>
      <x:c r="E534" s="31" t="b">
        <x:v>1</x:v>
      </x:c>
      <x:c r="F534" s="32" t="n">
        <x:v>45576</x:v>
      </x:c>
      <x:c r="G534" s="32" t="n">
        <x:v>45576.999999988424</x:v>
      </x:c>
      <x:c r="H534" s="33" t="n">
        <x:f>IF(F534="","",('Summary'!$B$5-F534)/365.25)</x:f>
        <x:v>1.8097535696630938</x:v>
      </x:c>
      <x:c r="I534" s="34" t="n">
        <x:v>0.01916</x:v>
      </x:c>
      <x:c r="J534" s="35" t="n">
        <x:v>-0.01084</x:v>
      </x:c>
      <x:c r="K534" s="36" t="n">
        <x:v>7672377.9</x:v>
      </x:c>
      <x:c r="L534" s="36" t="n">
        <x:v>148299.85353</x:v>
      </x:c>
      <x:c r="M534" s="37" t="n">
        <x:v>3858</x:v>
      </x:c>
      <x:c r="N534" s="34" t="n">
        <x:v>0.01914</x:v>
      </x:c>
      <x:c r="O534" s="34" t="n">
        <x:v>0.01915</x:v>
      </x:c>
      <x:c r="P534" s="38" t="n">
        <x:f>IF(OR(N534="",O534="",N534=0,O534=0),"",(O534-N534)/((O534+N534)/2))</x:f>
        <x:v>0.0005223295899712505</x:v>
      </x:c>
      <x:c r="Q534" s="34" t="n">
        <x:v>0.01932906</x:v>
      </x:c>
      <x:c r="R534" s="34" t="n">
        <x:v>0.01963</x:v>
      </x:c>
      <x:c r="S534" s="34" t="n">
        <x:v>0.01904</x:v>
      </x:c>
      <x:c r="T534" s="32" t="n">
        <x:v>46236.01211350694</x:v>
      </x:c>
      <x:c r="U534" s="32" t="n">
        <x:v>46237.01211350694</x:v>
      </x:c>
      <x:c r="V534" s="34" t="n">
        <x:v>5</x:v>
      </x:c>
      <x:c r="W534" s="34" t="n">
        <x:v>0.1</x:v>
      </x:c>
      <x:c r="X534" s="34" t="n">
        <x:v>0.1</x:v>
      </x:c>
      <x:c r="Y534" s="34" t="n">
        <x:v>0.00001</x:v>
      </x:c>
      <x:c r="Z534" s="30" t="str">
        <x:f>IF(AND(D534="TRADING",I534&lt;&gt;"",L534&lt;&gt;"",M534&lt;&gt;"",N534&lt;&gt;"",O534&lt;&gt;""),"Yes","No")</x:f>
        <x:v>Yes</x:v>
      </x:c>
      <x:c r="AA534" s="39" t="str">
        <x:v>https://developers.binance.com/en/docs/catalog/core-trading-spot-trading/api/rest-api</x:v>
      </x:c>
    </x:row>
    <x:row r="535">
      <x:c r="A535" s="30" t="str">
        <x:v>SCUSDT</x:v>
      </x:c>
      <x:c r="B535" s="30" t="str">
        <x:v>SC</x:v>
      </x:c>
      <x:c r="C535" s="30" t="str">
        <x:v>USDT</x:v>
      </x:c>
      <x:c r="D535" s="30" t="str">
        <x:v>TRADING</x:v>
      </x:c>
      <x:c r="E535" s="31" t="b">
        <x:v>1</x:v>
      </x:c>
      <x:c r="F535" s="32" t="n">
        <x:v>44018</x:v>
      </x:c>
      <x:c r="G535" s="32" t="n">
        <x:v>44018.999999988424</x:v>
      </x:c>
      <x:c r="H535" s="33" t="n">
        <x:f>IF(F535="","",('Summary'!$B$5-F535)/365.25)</x:f>
        <x:v>6.0753250960149074</x:v>
      </x:c>
      <x:c r="I535" s="34" t="n">
        <x:v>0.000507</x:v>
      </x:c>
      <x:c r="J535" s="35" t="n">
        <x:v>0.01198</x:v>
      </x:c>
      <x:c r="K535" s="36" t="n">
        <x:v>117032569</x:v>
      </x:c>
      <x:c r="L535" s="36" t="n">
        <x:v>59019.782477</x:v>
      </x:c>
      <x:c r="M535" s="37" t="n">
        <x:v>1872</x:v>
      </x:c>
      <x:c r="N535" s="34" t="n">
        <x:v>0.000506</x:v>
      </x:c>
      <x:c r="O535" s="34" t="n">
        <x:v>0.000507</x:v>
      </x:c>
      <x:c r="P535" s="38" t="n">
        <x:f>IF(OR(N535="",O535="",N535=0,O535=0),"",(O535-N535)/((O535+N535)/2))</x:f>
        <x:v>0.0019743336623887775</x:v>
      </x:c>
      <x:c r="Q535" s="34" t="n">
        <x:v>0.0005043</x:v>
      </x:c>
      <x:c r="R535" s="34" t="n">
        <x:v>0.000513</x:v>
      </x:c>
      <x:c r="S535" s="34" t="n">
        <x:v>0.000499</x:v>
      </x:c>
      <x:c r="T535" s="32" t="n">
        <x:v>46236.01248048611</x:v>
      </x:c>
      <x:c r="U535" s="32" t="n">
        <x:v>46237.01248048611</x:v>
      </x:c>
      <x:c r="V535" s="34" t="n">
        <x:v>5</x:v>
      </x:c>
      <x:c r="W535" s="34" t="n">
        <x:v>1</x:v>
      </x:c>
      <x:c r="X535" s="34" t="n">
        <x:v>1</x:v>
      </x:c>
      <x:c r="Y535" s="34" t="n">
        <x:v>0.000001</x:v>
      </x:c>
      <x:c r="Z535" s="30" t="str">
        <x:f>IF(AND(D535="TRADING",I535&lt;&gt;"",L535&lt;&gt;"",M535&lt;&gt;"",N535&lt;&gt;"",O535&lt;&gt;""),"Yes","No")</x:f>
        <x:v>Yes</x:v>
      </x:c>
      <x:c r="AA535" s="39" t="str">
        <x:v>https://developers.binance.com/en/docs/catalog/core-trading-spot-trading/api/rest-api</x:v>
      </x:c>
    </x:row>
    <x:row r="536">
      <x:c r="A536" s="30" t="str">
        <x:v>SEIUSDT</x:v>
      </x:c>
      <x:c r="B536" s="30" t="str">
        <x:v>SEI</x:v>
      </x:c>
      <x:c r="C536" s="30" t="str">
        <x:v>USDT</x:v>
      </x:c>
      <x:c r="D536" s="30" t="str">
        <x:v>TRADING</x:v>
      </x:c>
      <x:c r="E536" s="31" t="b">
        <x:v>1</x:v>
      </x:c>
      <x:c r="F536" s="32" t="n">
        <x:v>45153</x:v>
      </x:c>
      <x:c r="G536" s="32" t="n">
        <x:v>45153.999999988424</x:v>
      </x:c>
      <x:c r="H536" s="33" t="n">
        <x:f>IF(F536="","",('Summary'!$B$5-F536)/365.25)</x:f>
        <x:v>2.9678644526199727</x:v>
      </x:c>
      <x:c r="I536" s="34" t="n">
        <x:v>0.04127</x:v>
      </x:c>
      <x:c r="J536" s="35" t="n">
        <x:v>0.0038900000000000002</x:v>
      </x:c>
      <x:c r="K536" s="36" t="n">
        <x:v>19864515.7</x:v>
      </x:c>
      <x:c r="L536" s="36" t="n">
        <x:v>824292.366207</x:v>
      </x:c>
      <x:c r="M536" s="37" t="n">
        <x:v>10039</x:v>
      </x:c>
      <x:c r="N536" s="34" t="n">
        <x:v>0.04127</x:v>
      </x:c>
      <x:c r="O536" s="34" t="n">
        <x:v>0.04128</x:v>
      </x:c>
      <x:c r="P536" s="38" t="n">
        <x:f>IF(OR(N536="",O536="",N536=0,O536=0),"",(O536-N536)/((O536+N536)/2))</x:f>
        <x:v>0.00024227740763164442</x:v>
      </x:c>
      <x:c r="Q536" s="34" t="n">
        <x:v>0.04149572</x:v>
      </x:c>
      <x:c r="R536" s="34" t="n">
        <x:v>0.04185</x:v>
      </x:c>
      <x:c r="S536" s="34" t="n">
        <x:v>0.04108</x:v>
      </x:c>
      <x:c r="T536" s="32" t="n">
        <x:v>46236.01247849537</x:v>
      </x:c>
      <x:c r="U536" s="32" t="n">
        <x:v>46237.01247849537</x:v>
      </x:c>
      <x:c r="V536" s="34" t="n">
        <x:v>5</x:v>
      </x:c>
      <x:c r="W536" s="34" t="n">
        <x:v>0.1</x:v>
      </x:c>
      <x:c r="X536" s="34" t="n">
        <x:v>0.1</x:v>
      </x:c>
      <x:c r="Y536" s="34" t="n">
        <x:v>0.00001</x:v>
      </x:c>
      <x:c r="Z536" s="30" t="str">
        <x:f>IF(AND(D536="TRADING",I536&lt;&gt;"",L536&lt;&gt;"",M536&lt;&gt;"",N536&lt;&gt;"",O536&lt;&gt;""),"Yes","No")</x:f>
        <x:v>Yes</x:v>
      </x:c>
      <x:c r="AA536" s="39" t="str">
        <x:v>https://developers.binance.com/en/docs/catalog/core-trading-spot-trading/api/rest-api</x:v>
      </x:c>
    </x:row>
    <x:row r="537">
      <x:c r="A537" s="30" t="str">
        <x:v>SENTUSDT</x:v>
      </x:c>
      <x:c r="B537" s="30" t="str">
        <x:v>SENT</x:v>
      </x:c>
      <x:c r="C537" s="30" t="str">
        <x:v>USDT</x:v>
      </x:c>
      <x:c r="D537" s="30" t="str">
        <x:v>TRADING</x:v>
      </x:c>
      <x:c r="E537" s="31" t="b">
        <x:v>1</x:v>
      </x:c>
      <x:c r="F537" s="32" t="n">
        <x:v>46044</x:v>
      </x:c>
      <x:c r="G537" s="32" t="n">
        <x:v>46044.999999988424</x:v>
      </x:c>
      <x:c r="H537" s="33" t="n">
        <x:f>IF(F537="","",('Summary'!$B$5-F537)/365.25)</x:f>
        <x:v>0.5284394012852702</x:v>
      </x:c>
      <x:c r="I537" s="34" t="n">
        <x:v>0.0136</x:v>
      </x:c>
      <x:c r="J537" s="35" t="n">
        <x:v>0.00295</x:v>
      </x:c>
      <x:c r="K537" s="36" t="n">
        <x:v>69022091</x:v>
      </x:c>
      <x:c r="L537" s="36" t="n">
        <x:v>944970.47593</x:v>
      </x:c>
      <x:c r="M537" s="37" t="n">
        <x:v>12057</x:v>
      </x:c>
      <x:c r="N537" s="34" t="n">
        <x:v>0.01359</x:v>
      </x:c>
      <x:c r="O537" s="34" t="n">
        <x:v>0.0136</x:v>
      </x:c>
      <x:c r="P537" s="38" t="n">
        <x:f>IF(OR(N537="",O537="",N537=0,O537=0),"",(O537-N537)/((O537+N537)/2))</x:f>
        <x:v>0.0007355645457888631</x:v>
      </x:c>
      <x:c r="Q537" s="34" t="n">
        <x:v>0.01369084</x:v>
      </x:c>
      <x:c r="R537" s="34" t="n">
        <x:v>0.01393</x:v>
      </x:c>
      <x:c r="S537" s="34" t="n">
        <x:v>0.0134</x:v>
      </x:c>
      <x:c r="T537" s="32" t="n">
        <x:v>46236.01239953704</x:v>
      </x:c>
      <x:c r="U537" s="32" t="n">
        <x:v>46237.01239953704</x:v>
      </x:c>
      <x:c r="V537" s="34" t="n">
        <x:v>5</x:v>
      </x:c>
      <x:c r="W537" s="34" t="n">
        <x:v>1</x:v>
      </x:c>
      <x:c r="X537" s="34" t="n">
        <x:v>1</x:v>
      </x:c>
      <x:c r="Y537" s="34" t="n">
        <x:v>0.00001</x:v>
      </x:c>
      <x:c r="Z537" s="30" t="str">
        <x:f>IF(AND(D537="TRADING",I537&lt;&gt;"",L537&lt;&gt;"",M537&lt;&gt;"",N537&lt;&gt;"",O537&lt;&gt;""),"Yes","No")</x:f>
        <x:v>Yes</x:v>
      </x:c>
      <x:c r="AA537" s="39" t="str">
        <x:v>https://developers.binance.com/en/docs/catalog/core-trading-spot-trading/api/rest-api</x:v>
      </x:c>
    </x:row>
    <x:row r="538">
      <x:c r="A538" s="30" t="str">
        <x:v>SFPUSDT</x:v>
      </x:c>
      <x:c r="B538" s="30" t="str">
        <x:v>SFP</x:v>
      </x:c>
      <x:c r="C538" s="30" t="str">
        <x:v>USDT</x:v>
      </x:c>
      <x:c r="D538" s="30" t="str">
        <x:v>TRADING</x:v>
      </x:c>
      <x:c r="E538" s="31" t="b">
        <x:v>1</x:v>
      </x:c>
      <x:c r="F538" s="32" t="n">
        <x:v>44235</x:v>
      </x:c>
      <x:c r="G538" s="32" t="n">
        <x:v>44235.999999988424</x:v>
      </x:c>
      <x:c r="H538" s="33" t="n">
        <x:f>IF(F538="","",('Summary'!$B$5-F538)/365.25)</x:f>
        <x:v>5.481211475207242</x:v>
      </x:c>
      <x:c r="I538" s="34" t="n">
        <x:v>0.2148</x:v>
      </x:c>
      <x:c r="J538" s="35" t="n">
        <x:v>-0.01287</x:v>
      </x:c>
      <x:c r="K538" s="36" t="n">
        <x:v>245905</x:v>
      </x:c>
      <x:c r="L538" s="36" t="n">
        <x:v>53306.0236</x:v>
      </x:c>
      <x:c r="M538" s="37" t="n">
        <x:v>1426</x:v>
      </x:c>
      <x:c r="N538" s="34" t="n">
        <x:v>0.2147</x:v>
      </x:c>
      <x:c r="O538" s="34" t="n">
        <x:v>0.2148</x:v>
      </x:c>
      <x:c r="P538" s="38" t="n">
        <x:f>IF(OR(N538="",O538="",N538=0,O538=0),"",(O538-N538)/((O538+N538)/2))</x:f>
        <x:v>0.00046565774155990215</x:v>
      </x:c>
      <x:c r="Q538" s="34" t="n">
        <x:v>0.21677487</x:v>
      </x:c>
      <x:c r="R538" s="34" t="n">
        <x:v>0.2194</x:v>
      </x:c>
      <x:c r="S538" s="34" t="n">
        <x:v>0.2148</x:v>
      </x:c>
      <x:c r="T538" s="32" t="n">
        <x:v>46236.011775416664</x:v>
      </x:c>
      <x:c r="U538" s="32" t="n">
        <x:v>46237.011775416664</x:v>
      </x:c>
      <x:c r="V538" s="34" t="n">
        <x:v>5</x:v>
      </x:c>
      <x:c r="W538" s="34" t="n">
        <x:v>1</x:v>
      </x:c>
      <x:c r="X538" s="34" t="n">
        <x:v>1</x:v>
      </x:c>
      <x:c r="Y538" s="34" t="n">
        <x:v>0.0001</x:v>
      </x:c>
      <x:c r="Z538" s="30" t="str">
        <x:f>IF(AND(D538="TRADING",I538&lt;&gt;"",L538&lt;&gt;"",M538&lt;&gt;"",N538&lt;&gt;"",O538&lt;&gt;""),"Yes","No")</x:f>
        <x:v>Yes</x:v>
      </x:c>
      <x:c r="AA538" s="39" t="str">
        <x:v>https://developers.binance.com/en/docs/catalog/core-trading-spot-trading/api/rest-api</x:v>
      </x:c>
    </x:row>
    <x:row r="539">
      <x:c r="A539" s="30" t="str">
        <x:v>SHELLUSDT</x:v>
      </x:c>
      <x:c r="B539" s="30" t="str">
        <x:v>SHELL</x:v>
      </x:c>
      <x:c r="C539" s="30" t="str">
        <x:v>USDT</x:v>
      </x:c>
      <x:c r="D539" s="30" t="str">
        <x:v>TRADING</x:v>
      </x:c>
      <x:c r="E539" s="31" t="b">
        <x:v>1</x:v>
      </x:c>
      <x:c r="F539" s="32" t="n">
        <x:v>45715</x:v>
      </x:c>
      <x:c r="G539" s="32" t="n">
        <x:v>45715.999999988424</x:v>
      </x:c>
      <x:c r="H539" s="33" t="n">
        <x:f>IF(F539="","",('Summary'!$B$5-F539)/365.25)</x:f>
        <x:v>1.4291923102517317</x:v>
      </x:c>
      <x:c r="I539" s="34" t="n">
        <x:v>0.0181</x:v>
      </x:c>
      <x:c r="J539" s="35" t="n">
        <x:v>-0.01093</x:v>
      </x:c>
      <x:c r="K539" s="36" t="n">
        <x:v>3094089.1</x:v>
      </x:c>
      <x:c r="L539" s="36" t="n">
        <x:v>56382.98114</x:v>
      </x:c>
      <x:c r="M539" s="37" t="n">
        <x:v>863</x:v>
      </x:c>
      <x:c r="N539" s="34" t="n">
        <x:v>0.0181</x:v>
      </x:c>
      <x:c r="O539" s="34" t="n">
        <x:v>0.0182</x:v>
      </x:c>
      <x:c r="P539" s="38" t="n">
        <x:f>IF(OR(N539="",O539="",N539=0,O539=0),"",(O539-N539)/((O539+N539)/2))</x:f>
        <x:v>0.005509641873278204</x:v>
      </x:c>
      <x:c r="Q539" s="34" t="n">
        <x:v>0.0182228</x:v>
      </x:c>
      <x:c r="R539" s="34" t="n">
        <x:v>0.0185</x:v>
      </x:c>
      <x:c r="S539" s="34" t="n">
        <x:v>0.018</x:v>
      </x:c>
      <x:c r="T539" s="32" t="n">
        <x:v>46236.01247627315</x:v>
      </x:c>
      <x:c r="U539" s="32" t="n">
        <x:v>46237.01247627315</x:v>
      </x:c>
      <x:c r="V539" s="34" t="n">
        <x:v>5</x:v>
      </x:c>
      <x:c r="W539" s="34" t="n">
        <x:v>0.1</x:v>
      </x:c>
      <x:c r="X539" s="34" t="n">
        <x:v>0.1</x:v>
      </x:c>
      <x:c r="Y539" s="34" t="n">
        <x:v>0.0001</x:v>
      </x:c>
      <x:c r="Z539" s="30" t="str">
        <x:f>IF(AND(D539="TRADING",I539&lt;&gt;"",L539&lt;&gt;"",M539&lt;&gt;"",N539&lt;&gt;"",O539&lt;&gt;""),"Yes","No")</x:f>
        <x:v>Yes</x:v>
      </x:c>
      <x:c r="AA539" s="39" t="str">
        <x:v>https://developers.binance.com/en/docs/catalog/core-trading-spot-trading/api/rest-api</x:v>
      </x:c>
    </x:row>
    <x:row r="540">
      <x:c r="A540" s="30" t="str">
        <x:v>SHIBUSDT</x:v>
      </x:c>
      <x:c r="B540" s="30" t="str">
        <x:v>SHIB</x:v>
      </x:c>
      <x:c r="C540" s="30" t="str">
        <x:v>USDT</x:v>
      </x:c>
      <x:c r="D540" s="30" t="str">
        <x:v>TRADING</x:v>
      </x:c>
      <x:c r="E540" s="31" t="b">
        <x:v>1</x:v>
      </x:c>
      <x:c r="F540" s="32" t="n">
        <x:v>44326</x:v>
      </x:c>
      <x:c r="G540" s="32" t="n">
        <x:v>44326.999999988424</x:v>
      </x:c>
      <x:c r="H540" s="33" t="n">
        <x:f>IF(F540="","",('Summary'!$B$5-F540)/365.25)</x:f>
        <x:v>5.23206705357822</x:v>
      </x:c>
      <x:c r="I540" s="34" t="n">
        <x:v>0.0000049</x:v>
      </x:c>
      <x:c r="J540" s="35" t="n">
        <x:v>0.014490000000000001</x:v>
      </x:c>
      <x:c r="K540" s="36" t="n">
        <x:v>1057725601365</x:v>
      </x:c>
      <x:c r="L540" s="36" t="n">
        <x:v>5235584.47147176</x:v>
      </x:c>
      <x:c r="M540" s="37" t="n">
        <x:v>35748</x:v>
      </x:c>
      <x:c r="N540" s="34" t="n">
        <x:v>0.0000049</x:v>
      </x:c>
      <x:c r="O540" s="34" t="n">
        <x:v>0.00000491</x:v>
      </x:c>
      <x:c r="P540" s="38" t="n">
        <x:f>IF(OR(N540="",O540="",N540=0,O540=0),"",(O540-N540)/((O540+N540)/2))</x:f>
        <x:v>0.0020387359836900928</x:v>
      </x:c>
      <x:c r="Q540" s="34" t="n">
        <x:v>0.00000495</x:v>
      </x:c>
      <x:c r="R540" s="34" t="n">
        <x:v>0.00000506</x:v>
      </x:c>
      <x:c r="S540" s="34" t="n">
        <x:v>0.00000481</x:v>
      </x:c>
      <x:c r="T540" s="32" t="n">
        <x:v>46236.01246046296</x:v>
      </x:c>
      <x:c r="U540" s="32" t="n">
        <x:v>46237.01246046296</x:v>
      </x:c>
      <x:c r="V540" s="34" t="n">
        <x:v>1</x:v>
      </x:c>
      <x:c r="W540" s="34" t="n">
        <x:v>1</x:v>
      </x:c>
      <x:c r="X540" s="34" t="n">
        <x:v>1</x:v>
      </x:c>
      <x:c r="Y540" s="34" t="n">
        <x:v>1e-8</x:v>
      </x:c>
      <x:c r="Z540" s="30" t="str">
        <x:f>IF(AND(D540="TRADING",I540&lt;&gt;"",L540&lt;&gt;"",M540&lt;&gt;"",N540&lt;&gt;"",O540&lt;&gt;""),"Yes","No")</x:f>
        <x:v>Yes</x:v>
      </x:c>
      <x:c r="AA540" s="39" t="str">
        <x:v>https://developers.binance.com/en/docs/catalog/core-trading-spot-trading/api/rest-api</x:v>
      </x:c>
    </x:row>
    <x:row r="541">
      <x:c r="A541" s="30" t="str">
        <x:v>SIGNUSDT</x:v>
      </x:c>
      <x:c r="B541" s="30" t="str">
        <x:v>SIGN</x:v>
      </x:c>
      <x:c r="C541" s="30" t="str">
        <x:v>USDT</x:v>
      </x:c>
      <x:c r="D541" s="30" t="str">
        <x:v>TRADING</x:v>
      </x:c>
      <x:c r="E541" s="31" t="b">
        <x:v>1</x:v>
      </x:c>
      <x:c r="F541" s="32" t="n">
        <x:v>45775</x:v>
      </x:c>
      <x:c r="G541" s="32" t="n">
        <x:v>45775.999999988424</x:v>
      </x:c>
      <x:c r="H541" s="33" t="n">
        <x:f>IF(F541="","",('Summary'!$B$5-F541)/365.25)</x:f>
        <x:v>1.2649212630238056</x:v>
      </x:c>
      <x:c r="I541" s="34" t="n">
        <x:v>0.00678</x:v>
      </x:c>
      <x:c r="J541" s="35" t="n">
        <x:v>0</x:v>
      </x:c>
      <x:c r="K541" s="36" t="n">
        <x:v>36369902</x:v>
      </x:c>
      <x:c r="L541" s="36" t="n">
        <x:v>251839.29597</x:v>
      </x:c>
      <x:c r="M541" s="37" t="n">
        <x:v>4860</x:v>
      </x:c>
      <x:c r="N541" s="34" t="n">
        <x:v>0.00678</x:v>
      </x:c>
      <x:c r="O541" s="34" t="n">
        <x:v>0.00679</x:v>
      </x:c>
      <x:c r="P541" s="38" t="n">
        <x:f>IF(OR(N541="",O541="",N541=0,O541=0),"",(O541-N541)/((O541+N541)/2))</x:f>
        <x:v>0.0014738393515107532</x:v>
      </x:c>
      <x:c r="Q541" s="34" t="n">
        <x:v>0.00692439</x:v>
      </x:c>
      <x:c r="R541" s="34" t="n">
        <x:v>0.00703</x:v>
      </x:c>
      <x:c r="S541" s="34" t="n">
        <x:v>0.00675</x:v>
      </x:c>
      <x:c r="T541" s="32" t="n">
        <x:v>46236.01247209491</x:v>
      </x:c>
      <x:c r="U541" s="32" t="n">
        <x:v>46237.01247209491</x:v>
      </x:c>
      <x:c r="V541" s="34" t="n">
        <x:v>5</x:v>
      </x:c>
      <x:c r="W541" s="34" t="n">
        <x:v>1</x:v>
      </x:c>
      <x:c r="X541" s="34" t="n">
        <x:v>1</x:v>
      </x:c>
      <x:c r="Y541" s="34" t="n">
        <x:v>0.00001</x:v>
      </x:c>
      <x:c r="Z541" s="30" t="str">
        <x:f>IF(AND(D541="TRADING",I541&lt;&gt;"",L541&lt;&gt;"",M541&lt;&gt;"",N541&lt;&gt;"",O541&lt;&gt;""),"Yes","No")</x:f>
        <x:v>Yes</x:v>
      </x:c>
      <x:c r="AA541" s="39" t="str">
        <x:v>https://developers.binance.com/en/docs/catalog/core-trading-spot-trading/api/rest-api</x:v>
      </x:c>
    </x:row>
    <x:row r="542">
      <x:c r="A542" s="30" t="str">
        <x:v>SKHYBUSDT</x:v>
      </x:c>
      <x:c r="B542" s="30" t="str">
        <x:v>SKHYB</x:v>
      </x:c>
      <x:c r="C542" s="30" t="str">
        <x:v>USDT</x:v>
      </x:c>
      <x:c r="D542" s="30" t="str">
        <x:v>TRADING</x:v>
      </x:c>
      <x:c r="E542" s="31" t="b">
        <x:v>1</x:v>
      </x:c>
      <x:c r="F542" s="32" t="n">
        <x:v>46216</x:v>
      </x:c>
      <x:c r="G542" s="32" t="n">
        <x:v>46216.999999988424</x:v>
      </x:c>
      <x:c r="H542" s="33" t="n">
        <x:f>IF(F542="","",('Summary'!$B$5-F542)/365.25)</x:f>
        <x:v>0.05752906589854884</x:v>
      </x:c>
      <x:c r="I542" s="34" t="n">
        <x:v>147.53</x:v>
      </x:c>
      <x:c r="J542" s="35" t="n">
        <x:v>0.0127</x:v>
      </x:c>
      <x:c r="K542" s="36" t="n">
        <x:v>50183.152</x:v>
      </x:c>
      <x:c r="L542" s="36" t="n">
        <x:v>7438034.86977</x:v>
      </x:c>
      <x:c r="M542" s="37" t="n">
        <x:v>77744</x:v>
      </x:c>
      <x:c r="N542" s="34" t="n">
        <x:v>147.53</x:v>
      </x:c>
      <x:c r="O542" s="34" t="n">
        <x:v>147.59</x:v>
      </x:c>
      <x:c r="P542" s="38" t="n">
        <x:f>IF(OR(N542="",O542="",N542=0,O542=0),"",(O542-N542)/((O542+N542)/2))</x:f>
        <x:v>0.0004066142586066839</x:v>
      </x:c>
      <x:c r="Q542" s="34" t="n">
        <x:v>148.21776978</x:v>
      </x:c>
      <x:c r="R542" s="34" t="n">
        <x:v>152.15</x:v>
      </x:c>
      <x:c r="S542" s="34" t="n">
        <x:v>145.02</x:v>
      </x:c>
      <x:c r="T542" s="32" t="n">
        <x:v>46236.012484363426</x:v>
      </x:c>
      <x:c r="U542" s="32" t="n">
        <x:v>46237.012484363426</x:v>
      </x:c>
      <x:c r="V542" s="34" t="n">
        <x:v>5</x:v>
      </x:c>
      <x:c r="W542" s="34" t="n">
        <x:v>0.001</x:v>
      </x:c>
      <x:c r="X542" s="34" t="n">
        <x:v>0.001</x:v>
      </x:c>
      <x:c r="Y542" s="34" t="n">
        <x:v>0.01</x:v>
      </x:c>
      <x:c r="Z542" s="30" t="str">
        <x:f>IF(AND(D542="TRADING",I542&lt;&gt;"",L542&lt;&gt;"",M542&lt;&gt;"",N542&lt;&gt;"",O542&lt;&gt;""),"Yes","No")</x:f>
        <x:v>Yes</x:v>
      </x:c>
      <x:c r="AA542" s="39" t="str">
        <x:v>https://developers.binance.com/en/docs/catalog/core-trading-spot-trading/api/rest-api</x:v>
      </x:c>
    </x:row>
    <x:row r="543">
      <x:c r="A543" s="30" t="str">
        <x:v>SKLUSDT</x:v>
      </x:c>
      <x:c r="B543" s="30" t="str">
        <x:v>SKL</x:v>
      </x:c>
      <x:c r="C543" s="30" t="str">
        <x:v>USDT</x:v>
      </x:c>
      <x:c r="D543" s="30" t="str">
        <x:v>TRADING</x:v>
      </x:c>
      <x:c r="E543" s="31" t="b">
        <x:v>1</x:v>
      </x:c>
      <x:c r="F543" s="32" t="n">
        <x:v>44166</x:v>
      </x:c>
      <x:c r="G543" s="32" t="n">
        <x:v>44166.999999988424</x:v>
      </x:c>
      <x:c r="H543" s="33" t="n">
        <x:f>IF(F543="","",('Summary'!$B$5-F543)/365.25)</x:f>
        <x:v>5.670123179519356</x:v>
      </x:c>
      <x:c r="I543" s="34" t="n">
        <x:v>0.00371</x:v>
      </x:c>
      <x:c r="J543" s="35" t="n">
        <x:v>0.00542</x:v>
      </x:c>
      <x:c r="K543" s="36" t="n">
        <x:v>184464562</x:v>
      </x:c>
      <x:c r="L543" s="36" t="n">
        <x:v>702277.14747</x:v>
      </x:c>
      <x:c r="M543" s="37" t="n">
        <x:v>8734</x:v>
      </x:c>
      <x:c r="N543" s="34" t="n">
        <x:v>0.00371</x:v>
      </x:c>
      <x:c r="O543" s="34" t="n">
        <x:v>0.00372</x:v>
      </x:c>
      <x:c r="P543" s="38" t="n">
        <x:f>IF(OR(N543="",O543="",N543=0,O543=0),"",(O543-N543)/((O543+N543)/2))</x:f>
        <x:v>0.0026917900403768576</x:v>
      </x:c>
      <x:c r="Q543" s="34" t="n">
        <x:v>0.00380711</x:v>
      </x:c>
      <x:c r="R543" s="34" t="n">
        <x:v>0.00392</x:v>
      </x:c>
      <x:c r="S543" s="34" t="n">
        <x:v>0.00368</x:v>
      </x:c>
      <x:c r="T543" s="32" t="n">
        <x:v>46236.01246144676</x:v>
      </x:c>
      <x:c r="U543" s="32" t="n">
        <x:v>46237.01246144676</x:v>
      </x:c>
      <x:c r="V543" s="34" t="n">
        <x:v>5</x:v>
      </x:c>
      <x:c r="W543" s="34" t="n">
        <x:v>1</x:v>
      </x:c>
      <x:c r="X543" s="34" t="n">
        <x:v>1</x:v>
      </x:c>
      <x:c r="Y543" s="34" t="n">
        <x:v>0.00001</x:v>
      </x:c>
      <x:c r="Z543" s="30" t="str">
        <x:f>IF(AND(D543="TRADING",I543&lt;&gt;"",L543&lt;&gt;"",M543&lt;&gt;"",N543&lt;&gt;"",O543&lt;&gt;""),"Yes","No")</x:f>
        <x:v>Yes</x:v>
      </x:c>
      <x:c r="AA543" s="39" t="str">
        <x:v>https://developers.binance.com/en/docs/catalog/core-trading-spot-trading/api/rest-api</x:v>
      </x:c>
    </x:row>
    <x:row r="544">
      <x:c r="A544" s="30" t="str">
        <x:v>SKYUSDT</x:v>
      </x:c>
      <x:c r="B544" s="30" t="str">
        <x:v>SKY</x:v>
      </x:c>
      <x:c r="C544" s="30" t="str">
        <x:v>USDT</x:v>
      </x:c>
      <x:c r="D544" s="30" t="str">
        <x:v>TRADING</x:v>
      </x:c>
      <x:c r="E544" s="31" t="b">
        <x:v>1</x:v>
      </x:c>
      <x:c r="F544" s="32" t="n">
        <x:v>45917</x:v>
      </x:c>
      <x:c r="G544" s="32" t="n">
        <x:v>45917.999999988424</x:v>
      </x:c>
      <x:c r="H544" s="33" t="n">
        <x:f>IF(F544="","",('Summary'!$B$5-F544)/365.25)</x:f>
        <x:v>0.8761464512510472</x:v>
      </x:c>
      <x:c r="I544" s="34" t="n">
        <x:v>0.05629</x:v>
      </x:c>
      <x:c r="J544" s="35" t="n">
        <x:v>0.00428</x:v>
      </x:c>
      <x:c r="K544" s="36" t="n">
        <x:v>6234707</x:v>
      </x:c>
      <x:c r="L544" s="36" t="n">
        <x:v>350782.24908</x:v>
      </x:c>
      <x:c r="M544" s="37" t="n">
        <x:v>5651</x:v>
      </x:c>
      <x:c r="N544" s="34" t="n">
        <x:v>0.05626</x:v>
      </x:c>
      <x:c r="O544" s="34" t="n">
        <x:v>0.05629</x:v>
      </x:c>
      <x:c r="P544" s="38" t="n">
        <x:f>IF(OR(N544="",O544="",N544=0,O544=0),"",(O544-N544)/((O544+N544)/2))</x:f>
        <x:v>0.0005330964015993291</x:v>
      </x:c>
      <x:c r="Q544" s="34" t="n">
        <x:v>0.05626283</x:v>
      </x:c>
      <x:c r="R544" s="34" t="n">
        <x:v>0.05695</x:v>
      </x:c>
      <x:c r="S544" s="34" t="n">
        <x:v>0.05569</x:v>
      </x:c>
      <x:c r="T544" s="32" t="n">
        <x:v>46236.01248027778</x:v>
      </x:c>
      <x:c r="U544" s="32" t="n">
        <x:v>46237.01248027778</x:v>
      </x:c>
      <x:c r="V544" s="34" t="n">
        <x:v>5</x:v>
      </x:c>
      <x:c r="W544" s="34" t="n">
        <x:v>1</x:v>
      </x:c>
      <x:c r="X544" s="34" t="n">
        <x:v>1</x:v>
      </x:c>
      <x:c r="Y544" s="34" t="n">
        <x:v>0.00001</x:v>
      </x:c>
      <x:c r="Z544" s="30" t="str">
        <x:f>IF(AND(D544="TRADING",I544&lt;&gt;"",L544&lt;&gt;"",M544&lt;&gt;"",N544&lt;&gt;"",O544&lt;&gt;""),"Yes","No")</x:f>
        <x:v>Yes</x:v>
      </x:c>
      <x:c r="AA544" s="39" t="str">
        <x:v>https://developers.binance.com/en/docs/catalog/core-trading-spot-trading/api/rest-api</x:v>
      </x:c>
    </x:row>
    <x:row r="545">
      <x:c r="A545" s="30" t="str">
        <x:v>SLFUSDT</x:v>
      </x:c>
      <x:c r="B545" s="30" t="str">
        <x:v>SLF</x:v>
      </x:c>
      <x:c r="C545" s="30" t="str">
        <x:v>USDT</x:v>
      </x:c>
      <x:c r="D545" s="30" t="str">
        <x:v>BREAK</x:v>
      </x:c>
      <x:c r="E545" s="31" t="b">
        <x:v>1</x:v>
      </x:c>
      <x:c r="F545" s="32" t="n">
        <x:v>45534</x:v>
      </x:c>
      <x:c r="G545" s="32" t="n">
        <x:v>45534.999999988424</x:v>
      </x:c>
      <x:c r="H545" s="33" t="n">
        <x:f>IF(F545="","",('Summary'!$B$5-F545)/365.25)</x:f>
        <x:v>1.924743302722642</x:v>
      </x:c>
      <x:c r="I545" s="34" t="n">
        <x:v>0.0208</x:v>
      </x:c>
      <x:c r="J545" s="35" t="n">
        <x:v>-0.12236000000000001</x:v>
      </x:c>
      <x:c r="K545" s="36" t="n">
        <x:v>14359265</x:v>
      </x:c>
      <x:c r="L545" s="36" t="n">
        <x:v>306328.7021</x:v>
      </x:c>
      <x:c r="M545" s="37" t="n">
        <x:v>4001</x:v>
      </x:c>
      <x:c r="N545" s="34" t="n">
        <x:v>0</x:v>
      </x:c>
      <x:c r="O545" s="34" t="n">
        <x:v>0</x:v>
      </x:c>
      <x:c r="P545" s="38" t="str">
        <x:f>IF(OR(N545="",O545="",N545=0,O545=0),"",(O545-N545)/((O545+N545)/2))</x:f>
      </x:c>
      <x:c r="Q545" s="34" t="n">
        <x:v>0.02133317</x:v>
      </x:c>
      <x:c r="R545" s="34" t="n">
        <x:v>0.0242</x:v>
      </x:c>
      <x:c r="S545" s="34" t="n">
        <x:v>0.0156</x:v>
      </x:c>
      <x:c r="T545" s="32" t="n">
        <x:v>46209.26112309028</x:v>
      </x:c>
      <x:c r="U545" s="32" t="n">
        <x:v>46210.26112309028</x:v>
      </x:c>
      <x:c r="V545" s="34" t="n">
        <x:v>5</x:v>
      </x:c>
      <x:c r="W545" s="34" t="n">
        <x:v>0.1</x:v>
      </x:c>
      <x:c r="X545" s="34" t="n">
        <x:v>0.1</x:v>
      </x:c>
      <x:c r="Y545" s="34" t="n">
        <x:v>0.0001</x:v>
      </x:c>
      <x:c r="Z545" s="30" t="str">
        <x:f>IF(AND(D545="TRADING",I545&lt;&gt;"",L545&lt;&gt;"",M545&lt;&gt;"",N545&lt;&gt;"",O545&lt;&gt;""),"Yes","No")</x:f>
        <x:v>No</x:v>
      </x:c>
      <x:c r="AA545" s="39" t="str">
        <x:v>https://developers.binance.com/en/docs/catalog/core-trading-spot-trading/api/rest-api</x:v>
      </x:c>
    </x:row>
    <x:row r="546">
      <x:c r="A546" s="30" t="str">
        <x:v>SLPUSDT</x:v>
      </x:c>
      <x:c r="B546" s="30" t="str">
        <x:v>SLP</x:v>
      </x:c>
      <x:c r="C546" s="30" t="str">
        <x:v>USDT</x:v>
      </x:c>
      <x:c r="D546" s="30" t="str">
        <x:v>TRADING</x:v>
      </x:c>
      <x:c r="E546" s="31" t="b">
        <x:v>1</x:v>
      </x:c>
      <x:c r="F546" s="32" t="n">
        <x:v>44316</x:v>
      </x:c>
      <x:c r="G546" s="32" t="n">
        <x:v>44316.999999988424</x:v>
      </x:c>
      <x:c r="H546" s="33" t="n">
        <x:f>IF(F546="","",('Summary'!$B$5-F546)/365.25)</x:f>
        <x:v>5.2594455614495415</x:v>
      </x:c>
      <x:c r="I546" s="34" t="n">
        <x:v>0.000518</x:v>
      </x:c>
      <x:c r="J546" s="35" t="n">
        <x:v>0</x:v>
      </x:c>
      <x:c r="K546" s="36" t="n">
        <x:v>109895080</x:v>
      </x:c>
      <x:c r="L546" s="36" t="n">
        <x:v>57182.92709</x:v>
      </x:c>
      <x:c r="M546" s="37" t="n">
        <x:v>1451</x:v>
      </x:c>
      <x:c r="N546" s="34" t="n">
        <x:v>0.000518</x:v>
      </x:c>
      <x:c r="O546" s="34" t="n">
        <x:v>0.000519</x:v>
      </x:c>
      <x:c r="P546" s="38" t="n">
        <x:f>IF(OR(N546="",O546="",N546=0,O546=0),"",(O546-N546)/((O546+N546)/2))</x:f>
        <x:v>0.001928640308582496</x:v>
      </x:c>
      <x:c r="Q546" s="34" t="n">
        <x:v>0.00052034</x:v>
      </x:c>
      <x:c r="R546" s="34" t="n">
        <x:v>0.000525</x:v>
      </x:c>
      <x:c r="S546" s="34" t="n">
        <x:v>0.000517</x:v>
      </x:c>
      <x:c r="T546" s="32" t="n">
        <x:v>46236.01234104166</x:v>
      </x:c>
      <x:c r="U546" s="32" t="n">
        <x:v>46237.01234104166</x:v>
      </x:c>
      <x:c r="V546" s="34" t="n">
        <x:v>5</x:v>
      </x:c>
      <x:c r="W546" s="34" t="n">
        <x:v>1</x:v>
      </x:c>
      <x:c r="X546" s="34" t="n">
        <x:v>1</x:v>
      </x:c>
      <x:c r="Y546" s="34" t="n">
        <x:v>0.000001</x:v>
      </x:c>
      <x:c r="Z546" s="30" t="str">
        <x:f>IF(AND(D546="TRADING",I546&lt;&gt;"",L546&lt;&gt;"",M546&lt;&gt;"",N546&lt;&gt;"",O546&lt;&gt;""),"Yes","No")</x:f>
        <x:v>Yes</x:v>
      </x:c>
      <x:c r="AA546" s="39" t="str">
        <x:v>https://developers.binance.com/en/docs/catalog/core-trading-spot-trading/api/rest-api</x:v>
      </x:c>
    </x:row>
    <x:row r="547">
      <x:c r="A547" s="30" t="str">
        <x:v>SMHBUSDT</x:v>
      </x:c>
      <x:c r="B547" s="30" t="str">
        <x:v>SMHB</x:v>
      </x:c>
      <x:c r="C547" s="30" t="str">
        <x:v>USDT</x:v>
      </x:c>
      <x:c r="D547" s="30" t="str">
        <x:v>TRADING</x:v>
      </x:c>
      <x:c r="E547" s="31" t="b">
        <x:v>1</x:v>
      </x:c>
      <x:c r="F547" s="32" t="n">
        <x:v>46232</x:v>
      </x:c>
      <x:c r="G547" s="32" t="n">
        <x:v>46232.999999988424</x:v>
      </x:c>
      <x:c r="H547" s="33" t="n">
        <x:f>IF(F547="","",('Summary'!$B$5-F547)/365.25)</x:f>
        <x:v>0.013723453304435213</x:v>
      </x:c>
      <x:c r="I547" s="34" t="n">
        <x:v>546.35</x:v>
      </x:c>
      <x:c r="J547" s="35" t="n">
        <x:v>0.006999999999999999</x:v>
      </x:c>
      <x:c r="K547" s="36" t="n">
        <x:v>25.764</x:v>
      </x:c>
      <x:c r="L547" s="36" t="n">
        <x:v>14142.16367</x:v>
      </x:c>
      <x:c r="M547" s="37" t="n">
        <x:v>432</x:v>
      </x:c>
      <x:c r="N547" s="34" t="n">
        <x:v>546.57</x:v>
      </x:c>
      <x:c r="O547" s="34" t="n">
        <x:v>548.86</x:v>
      </x:c>
      <x:c r="P547" s="38" t="n">
        <x:f>IF(OR(N547="",O547="",N547=0,O547=0),"",(O547-N547)/((O547+N547)/2))</x:f>
        <x:v>0.004181006545374809</x:v>
      </x:c>
      <x:c r="Q547" s="34" t="n">
        <x:v>548.91180213</x:v>
      </x:c>
      <x:c r="R547" s="34" t="n">
        <x:v>553.01</x:v>
      </x:c>
      <x:c r="S547" s="34" t="n">
        <x:v>542.55</x:v>
      </x:c>
      <x:c r="T547" s="32" t="n">
        <x:v>46236.012484837964</x:v>
      </x:c>
      <x:c r="U547" s="32" t="n">
        <x:v>46237.012484837964</x:v>
      </x:c>
      <x:c r="V547" s="34" t="n">
        <x:v>5</x:v>
      </x:c>
      <x:c r="W547" s="34" t="n">
        <x:v>0.001</x:v>
      </x:c>
      <x:c r="X547" s="34" t="n">
        <x:v>0.001</x:v>
      </x:c>
      <x:c r="Y547" s="34" t="n">
        <x:v>0.01</x:v>
      </x:c>
      <x:c r="Z547" s="30" t="str">
        <x:f>IF(AND(D547="TRADING",I547&lt;&gt;"",L547&lt;&gt;"",M547&lt;&gt;"",N547&lt;&gt;"",O547&lt;&gt;""),"Yes","No")</x:f>
        <x:v>Yes</x:v>
      </x:c>
      <x:c r="AA547" s="39" t="str">
        <x:v>https://developers.binance.com/en/docs/catalog/core-trading-spot-trading/api/rest-api</x:v>
      </x:c>
    </x:row>
    <x:row r="548">
      <x:c r="A548" s="30" t="str">
        <x:v>SNDKBUSDT</x:v>
      </x:c>
      <x:c r="B548" s="30" t="str">
        <x:v>SNDKB</x:v>
      </x:c>
      <x:c r="C548" s="30" t="str">
        <x:v>USDT</x:v>
      </x:c>
      <x:c r="D548" s="30" t="str">
        <x:v>TRADING</x:v>
      </x:c>
      <x:c r="E548" s="31" t="b">
        <x:v>1</x:v>
      </x:c>
      <x:c r="F548" s="32" t="n">
        <x:v>46184</x:v>
      </x:c>
      <x:c r="G548" s="32" t="n">
        <x:v>46184.999999988424</x:v>
      </x:c>
      <x:c r="H548" s="33" t="n">
        <x:f>IF(F548="","",('Summary'!$B$5-F548)/365.25)</x:f>
        <x:v>0.14514029108677606</x:v>
      </x:c>
      <x:c r="I548" s="34" t="n">
        <x:v>1248.29</x:v>
      </x:c>
      <x:c r="J548" s="35" t="n">
        <x:v>0.02268</x:v>
      </x:c>
      <x:c r="K548" s="36" t="n">
        <x:v>5381.575</x:v>
      </x:c>
      <x:c r="L548" s="36" t="n">
        <x:v>6672468.751103</x:v>
      </x:c>
      <x:c r="M548" s="37" t="n">
        <x:v>74482</x:v>
      </x:c>
      <x:c r="N548" s="34" t="n">
        <x:v>1248.3</x:v>
      </x:c>
      <x:c r="O548" s="34" t="n">
        <x:v>1248.72</x:v>
      </x:c>
      <x:c r="P548" s="38" t="n">
        <x:f>IF(OR(N548="",O548="",N548=0,O548=0),"",(O548-N548)/((O548+N548)/2))</x:f>
        <x:v>0.00033640098998011453</x:v>
      </x:c>
      <x:c r="Q548" s="34" t="n">
        <x:v>1239.87285341</x:v>
      </x:c>
      <x:c r="R548" s="34" t="n">
        <x:v>1259.1</x:v>
      </x:c>
      <x:c r="S548" s="34" t="n">
        <x:v>1213.91</x:v>
      </x:c>
      <x:c r="T548" s="32" t="n">
        <x:v>46236.012482418984</x:v>
      </x:c>
      <x:c r="U548" s="32" t="n">
        <x:v>46237.012482418984</x:v>
      </x:c>
      <x:c r="V548" s="34" t="n">
        <x:v>5</x:v>
      </x:c>
      <x:c r="W548" s="34" t="n">
        <x:v>0.0001</x:v>
      </x:c>
      <x:c r="X548" s="34" t="n">
        <x:v>0.0001</x:v>
      </x:c>
      <x:c r="Y548" s="34" t="n">
        <x:v>0.01</x:v>
      </x:c>
      <x:c r="Z548" s="30" t="str">
        <x:f>IF(AND(D548="TRADING",I548&lt;&gt;"",L548&lt;&gt;"",M548&lt;&gt;"",N548&lt;&gt;"",O548&lt;&gt;""),"Yes","No")</x:f>
        <x:v>Yes</x:v>
      </x:c>
      <x:c r="AA548" s="39" t="str">
        <x:v>https://developers.binance.com/en/docs/catalog/core-trading-spot-trading/api/rest-api</x:v>
      </x:c>
    </x:row>
    <x:row r="549">
      <x:c r="A549" s="30" t="str">
        <x:v>SNTUSDT</x:v>
      </x:c>
      <x:c r="B549" s="30" t="str">
        <x:v>SNT</x:v>
      </x:c>
      <x:c r="C549" s="30" t="str">
        <x:v>USDT</x:v>
      </x:c>
      <x:c r="D549" s="30" t="str">
        <x:v>BREAK</x:v>
      </x:c>
      <x:c r="E549" s="31" t="b">
        <x:v>1</x:v>
      </x:c>
      <x:c r="F549" s="32" t="n">
        <x:v>45065</x:v>
      </x:c>
      <x:c r="G549" s="32" t="n">
        <x:v>45065.999999988424</x:v>
      </x:c>
      <x:c r="H549" s="33" t="n">
        <x:f>IF(F549="","",('Summary'!$B$5-F549)/365.25)</x:f>
        <x:v>3.2087953218875973</x:v>
      </x:c>
      <x:c r="I549" s="34" t="n">
        <x:v>0.0272</x:v>
      </x:c>
      <x:c r="J549" s="35" t="n">
        <x:v>-0.03134</x:v>
      </x:c>
      <x:c r="K549" s="36" t="n">
        <x:v>12387737</x:v>
      </x:c>
      <x:c r="L549" s="36" t="n">
        <x:v>336732.21259</x:v>
      </x:c>
      <x:c r="M549" s="37" t="n">
        <x:v>4001</x:v>
      </x:c>
      <x:c r="N549" s="34" t="n">
        <x:v>0</x:v>
      </x:c>
      <x:c r="O549" s="34" t="n">
        <x:v>0</x:v>
      </x:c>
      <x:c r="P549" s="38" t="str">
        <x:f>IF(OR(N549="",O549="",N549=0,O549=0),"",(O549-N549)/((O549+N549)/2))</x:f>
      </x:c>
      <x:c r="Q549" s="34" t="n">
        <x:v>0.02718271</x:v>
      </x:c>
      <x:c r="R549" s="34" t="n">
        <x:v>0.03</x:v>
      </x:c>
      <x:c r="S549" s="34" t="n">
        <x:v>0.02522</x:v>
      </x:c>
      <x:c r="T549" s="32" t="n">
        <x:v>46209.26112309028</x:v>
      </x:c>
      <x:c r="U549" s="32" t="n">
        <x:v>46210.26112309028</x:v>
      </x:c>
      <x:c r="V549" s="34" t="n">
        <x:v>5</x:v>
      </x:c>
      <x:c r="W549" s="34" t="n">
        <x:v>1</x:v>
      </x:c>
      <x:c r="X549" s="34" t="n">
        <x:v>1</x:v>
      </x:c>
      <x:c r="Y549" s="34" t="n">
        <x:v>0.00001</x:v>
      </x:c>
      <x:c r="Z549" s="30" t="str">
        <x:f>IF(AND(D549="TRADING",I549&lt;&gt;"",L549&lt;&gt;"",M549&lt;&gt;"",N549&lt;&gt;"",O549&lt;&gt;""),"Yes","No")</x:f>
        <x:v>No</x:v>
      </x:c>
      <x:c r="AA549" s="39" t="str">
        <x:v>https://developers.binance.com/en/docs/catalog/core-trading-spot-trading/api/rest-api</x:v>
      </x:c>
    </x:row>
    <x:row r="550">
      <x:c r="A550" s="30" t="str">
        <x:v>SNXUSDT</x:v>
      </x:c>
      <x:c r="B550" s="30" t="str">
        <x:v>SNX</x:v>
      </x:c>
      <x:c r="C550" s="30" t="str">
        <x:v>USDT</x:v>
      </x:c>
      <x:c r="D550" s="30" t="str">
        <x:v>TRADING</x:v>
      </x:c>
      <x:c r="E550" s="31" t="b">
        <x:v>1</x:v>
      </x:c>
      <x:c r="F550" s="32" t="n">
        <x:v>44021</x:v>
      </x:c>
      <x:c r="G550" s="32" t="n">
        <x:v>44021.999999988424</x:v>
      </x:c>
      <x:c r="H550" s="33" t="n">
        <x:f>IF(F550="","",('Summary'!$B$5-F550)/365.25)</x:f>
        <x:v>6.067111543653511</x:v>
      </x:c>
      <x:c r="I550" s="34" t="n">
        <x:v>0.211</x:v>
      </x:c>
      <x:c r="J550" s="35" t="n">
        <x:v>-0.004719999999999999</x:v>
      </x:c>
      <x:c r="K550" s="36" t="n">
        <x:v>2297358.5</x:v>
      </x:c>
      <x:c r="L550" s="36" t="n">
        <x:v>488563.0349</x:v>
      </x:c>
      <x:c r="M550" s="37" t="n">
        <x:v>2827</x:v>
      </x:c>
      <x:c r="N550" s="34" t="n">
        <x:v>0.21</x:v>
      </x:c>
      <x:c r="O550" s="34" t="n">
        <x:v>0.211</x:v>
      </x:c>
      <x:c r="P550" s="38" t="n">
        <x:f>IF(OR(N550="",O550="",N550=0,O550=0),"",(O550-N550)/((O550+N550)/2))</x:f>
        <x:v>0.004750593824228033</x:v>
      </x:c>
      <x:c r="Q550" s="34" t="n">
        <x:v>0.21266295</x:v>
      </x:c>
      <x:c r="R550" s="34" t="n">
        <x:v>0.216</x:v>
      </x:c>
      <x:c r="S550" s="34" t="n">
        <x:v>0.209</x:v>
      </x:c>
      <x:c r="T550" s="32" t="n">
        <x:v>46236.01247884259</x:v>
      </x:c>
      <x:c r="U550" s="32" t="n">
        <x:v>46237.01247884259</x:v>
      </x:c>
      <x:c r="V550" s="34" t="n">
        <x:v>5</x:v>
      </x:c>
      <x:c r="W550" s="34" t="n">
        <x:v>0.1</x:v>
      </x:c>
      <x:c r="X550" s="34" t="n">
        <x:v>0.1</x:v>
      </x:c>
      <x:c r="Y550" s="34" t="n">
        <x:v>0.001</x:v>
      </x:c>
      <x:c r="Z550" s="30" t="str">
        <x:f>IF(AND(D550="TRADING",I550&lt;&gt;"",L550&lt;&gt;"",M550&lt;&gt;"",N550&lt;&gt;"",O550&lt;&gt;""),"Yes","No")</x:f>
        <x:v>Yes</x:v>
      </x:c>
      <x:c r="AA550" s="39" t="str">
        <x:v>https://developers.binance.com/en/docs/catalog/core-trading-spot-trading/api/rest-api</x:v>
      </x:c>
    </x:row>
    <x:row r="551">
      <x:c r="A551" s="30" t="str">
        <x:v>SNXXBUSDT</x:v>
      </x:c>
      <x:c r="B551" s="30" t="str">
        <x:v>SNXXB</x:v>
      </x:c>
      <x:c r="C551" s="30" t="str">
        <x:v>USDT</x:v>
      </x:c>
      <x:c r="D551" s="30" t="str">
        <x:v>TRADING</x:v>
      </x:c>
      <x:c r="E551" s="31" t="b">
        <x:v>1</x:v>
      </x:c>
      <x:c r="F551" s="32" t="n">
        <x:v>46225</x:v>
      </x:c>
      <x:c r="G551" s="32" t="n">
        <x:v>46225.999999988424</x:v>
      </x:c>
      <x:c r="H551" s="33" t="n">
        <x:f>IF(F551="","",('Summary'!$B$5-F551)/365.25)</x:f>
        <x:v>0.03288840881435992</x:v>
      </x:c>
      <x:c r="I551" s="34" t="n">
        <x:v>9.81</x:v>
      </x:c>
      <x:c r="J551" s="35" t="n">
        <x:v>0.04473</x:v>
      </x:c>
      <x:c r="K551" s="36" t="n">
        <x:v>361635.01</x:v>
      </x:c>
      <x:c r="L551" s="36" t="n">
        <x:v>3462263.22</x:v>
      </x:c>
      <x:c r="M551" s="37" t="n">
        <x:v>26127</x:v>
      </x:c>
      <x:c r="N551" s="34" t="n">
        <x:v>9.79</x:v>
      </x:c>
      <x:c r="O551" s="34" t="n">
        <x:v>9.81</x:v>
      </x:c>
      <x:c r="P551" s="38" t="n">
        <x:f>IF(OR(N551="",O551="",N551=0,O551=0),"",(O551-N551)/((O551+N551)/2))</x:f>
        <x:v>0.00204081632653075</x:v>
      </x:c>
      <x:c r="Q551" s="34" t="n">
        <x:v>9.57391603</x:v>
      </x:c>
      <x:c r="R551" s="34" t="n">
        <x:v>9.85</x:v>
      </x:c>
      <x:c r="S551" s="34" t="n">
        <x:v>9.15</x:v>
      </x:c>
      <x:c r="T551" s="32" t="n">
        <x:v>46236.01246168982</x:v>
      </x:c>
      <x:c r="U551" s="32" t="n">
        <x:v>46237.01246168982</x:v>
      </x:c>
      <x:c r="V551" s="34" t="n">
        <x:v>5</x:v>
      </x:c>
      <x:c r="W551" s="34" t="n">
        <x:v>0.01</x:v>
      </x:c>
      <x:c r="X551" s="34" t="n">
        <x:v>0.01</x:v>
      </x:c>
      <x:c r="Y551" s="34" t="n">
        <x:v>0.01</x:v>
      </x:c>
      <x:c r="Z551" s="30" t="str">
        <x:f>IF(AND(D551="TRADING",I551&lt;&gt;"",L551&lt;&gt;"",M551&lt;&gt;"",N551&lt;&gt;"",O551&lt;&gt;""),"Yes","No")</x:f>
        <x:v>Yes</x:v>
      </x:c>
      <x:c r="AA551" s="39" t="str">
        <x:v>https://developers.binance.com/en/docs/catalog/core-trading-spot-trading/api/rest-api</x:v>
      </x:c>
    </x:row>
    <x:row r="552">
      <x:c r="A552" s="30" t="str">
        <x:v>SOLUSDT</x:v>
      </x:c>
      <x:c r="B552" s="30" t="str">
        <x:v>SOL</x:v>
      </x:c>
      <x:c r="C552" s="30" t="str">
        <x:v>USDT</x:v>
      </x:c>
      <x:c r="D552" s="30" t="str">
        <x:v>TRADING</x:v>
      </x:c>
      <x:c r="E552" s="31" t="b">
        <x:v>1</x:v>
      </x:c>
      <x:c r="F552" s="32" t="n">
        <x:v>44054</x:v>
      </x:c>
      <x:c r="G552" s="32" t="n">
        <x:v>44054.999999988424</x:v>
      </x:c>
      <x:c r="H552" s="33" t="n">
        <x:f>IF(F552="","",('Summary'!$B$5-F552)/365.25)</x:f>
        <x:v>5.976762467678152</x:v>
      </x:c>
      <x:c r="I552" s="34" t="n">
        <x:v>73.47</x:v>
      </x:c>
      <x:c r="J552" s="35" t="n">
        <x:v>0.0183</x:v>
      </x:c>
      <x:c r="K552" s="36" t="n">
        <x:v>844625.037</x:v>
      </x:c>
      <x:c r="L552" s="36" t="n">
        <x:v>61924242.07145</x:v>
      </x:c>
      <x:c r="M552" s="37" t="n">
        <x:v>251355</x:v>
      </x:c>
      <x:c r="N552" s="34" t="n">
        <x:v>73.47</x:v>
      </x:c>
      <x:c r="O552" s="34" t="n">
        <x:v>73.48</x:v>
      </x:c>
      <x:c r="P552" s="38" t="n">
        <x:f>IF(OR(N552="",O552="",N552=0,O552=0),"",(O552-N552)/((O552+N552)/2))</x:f>
        <x:v>0.0001361007145288209</x:v>
      </x:c>
      <x:c r="Q552" s="34" t="n">
        <x:v>73.31566004</x:v>
      </x:c>
      <x:c r="R552" s="34" t="n">
        <x:v>74.33</x:v>
      </x:c>
      <x:c r="S552" s="34" t="n">
        <x:v>72</x:v>
      </x:c>
      <x:c r="T552" s="32" t="n">
        <x:v>46236.01248462963</x:v>
      </x:c>
      <x:c r="U552" s="32" t="n">
        <x:v>46237.01248462963</x:v>
      </x:c>
      <x:c r="V552" s="34" t="n">
        <x:v>5</x:v>
      </x:c>
      <x:c r="W552" s="34" t="n">
        <x:v>0.001</x:v>
      </x:c>
      <x:c r="X552" s="34" t="n">
        <x:v>0.001</x:v>
      </x:c>
      <x:c r="Y552" s="34" t="n">
        <x:v>0.01</x:v>
      </x:c>
      <x:c r="Z552" s="30" t="str">
        <x:f>IF(AND(D552="TRADING",I552&lt;&gt;"",L552&lt;&gt;"",M552&lt;&gt;"",N552&lt;&gt;"",O552&lt;&gt;""),"Yes","No")</x:f>
        <x:v>Yes</x:v>
      </x:c>
      <x:c r="AA552" s="39" t="str">
        <x:v>https://developers.binance.com/en/docs/catalog/core-trading-spot-trading/api/rest-api</x:v>
      </x:c>
    </x:row>
    <x:row r="553">
      <x:c r="A553" s="30" t="str">
        <x:v>SOLVUSDT</x:v>
      </x:c>
      <x:c r="B553" s="30" t="str">
        <x:v>SOLV</x:v>
      </x:c>
      <x:c r="C553" s="30" t="str">
        <x:v>USDT</x:v>
      </x:c>
      <x:c r="D553" s="30" t="str">
        <x:v>TRADING</x:v>
      </x:c>
      <x:c r="E553" s="31" t="b">
        <x:v>1</x:v>
      </x:c>
      <x:c r="F553" s="32" t="n">
        <x:v>45674</x:v>
      </x:c>
      <x:c r="G553" s="32" t="n">
        <x:v>45674.999999988424</x:v>
      </x:c>
      <x:c r="H553" s="33" t="n">
        <x:f>IF(F553="","",('Summary'!$B$5-F553)/365.25)</x:f>
        <x:v>1.5414441925241478</x:v>
      </x:c>
      <x:c r="I553" s="34" t="n">
        <x:v>0.00235</x:v>
      </x:c>
      <x:c r="J553" s="35" t="n">
        <x:v>0</x:v>
      </x:c>
      <x:c r="K553" s="36" t="n">
        <x:v>42976528</x:v>
      </x:c>
      <x:c r="L553" s="36" t="n">
        <x:v>101709.42512</x:v>
      </x:c>
      <x:c r="M553" s="37" t="n">
        <x:v>2357</x:v>
      </x:c>
      <x:c r="N553" s="34" t="n">
        <x:v>0.00235</x:v>
      </x:c>
      <x:c r="O553" s="34" t="n">
        <x:v>0.00236</x:v>
      </x:c>
      <x:c r="P553" s="38" t="n">
        <x:f>IF(OR(N553="",O553="",N553=0,O553=0),"",(O553-N553)/((O553+N553)/2))</x:f>
        <x:v>0.0042462845010615815</x:v>
      </x:c>
      <x:c r="Q553" s="34" t="n">
        <x:v>0.00236663</x:v>
      </x:c>
      <x:c r="R553" s="34" t="n">
        <x:v>0.0024</x:v>
      </x:c>
      <x:c r="S553" s="34" t="n">
        <x:v>0.00233</x:v>
      </x:c>
      <x:c r="T553" s="32" t="n">
        <x:v>46236.01234872685</x:v>
      </x:c>
      <x:c r="U553" s="32" t="n">
        <x:v>46237.01234872685</x:v>
      </x:c>
      <x:c r="V553" s="34" t="n">
        <x:v>5</x:v>
      </x:c>
      <x:c r="W553" s="34" t="n">
        <x:v>1</x:v>
      </x:c>
      <x:c r="X553" s="34" t="n">
        <x:v>1</x:v>
      </x:c>
      <x:c r="Y553" s="34" t="n">
        <x:v>0.00001</x:v>
      </x:c>
      <x:c r="Z553" s="30" t="str">
        <x:f>IF(AND(D553="TRADING",I553&lt;&gt;"",L553&lt;&gt;"",M553&lt;&gt;"",N553&lt;&gt;"",O553&lt;&gt;""),"Yes","No")</x:f>
        <x:v>Yes</x:v>
      </x:c>
      <x:c r="AA553" s="39" t="str">
        <x:v>https://developers.binance.com/en/docs/catalog/core-trading-spot-trading/api/rest-api</x:v>
      </x:c>
    </x:row>
    <x:row r="554">
      <x:c r="A554" s="30" t="str">
        <x:v>SOMIUSDT</x:v>
      </x:c>
      <x:c r="B554" s="30" t="str">
        <x:v>SOMI</x:v>
      </x:c>
      <x:c r="C554" s="30" t="str">
        <x:v>USDT</x:v>
      </x:c>
      <x:c r="D554" s="30" t="str">
        <x:v>TRADING</x:v>
      </x:c>
      <x:c r="E554" s="31" t="b">
        <x:v>1</x:v>
      </x:c>
      <x:c r="F554" s="32" t="n">
        <x:v>45902</x:v>
      </x:c>
      <x:c r="G554" s="32" t="n">
        <x:v>45902.999999988424</x:v>
      </x:c>
      <x:c r="H554" s="33" t="n">
        <x:f>IF(F554="","",('Summary'!$B$5-F554)/365.25)</x:f>
        <x:v>0.9172142130580286</x:v>
      </x:c>
      <x:c r="I554" s="34" t="n">
        <x:v>0.0837</x:v>
      </x:c>
      <x:c r="J554" s="35" t="n">
        <x:v>-0.00712</x:v>
      </x:c>
      <x:c r="K554" s="36" t="n">
        <x:v>1428076.1</x:v>
      </x:c>
      <x:c r="L554" s="36" t="n">
        <x:v>120054.79534</x:v>
      </x:c>
      <x:c r="M554" s="37" t="n">
        <x:v>1549</x:v>
      </x:c>
      <x:c r="N554" s="34" t="n">
        <x:v>0.0836</x:v>
      </x:c>
      <x:c r="O554" s="34" t="n">
        <x:v>0.0837</x:v>
      </x:c>
      <x:c r="P554" s="38" t="n">
        <x:f>IF(OR(N554="",O554="",N554=0,O554=0),"",(O554-N554)/((O554+N554)/2))</x:f>
        <x:v>0.0011954572624029033</x:v>
      </x:c>
      <x:c r="Q554" s="34" t="n">
        <x:v>0.08406751</x:v>
      </x:c>
      <x:c r="R554" s="34" t="n">
        <x:v>0.0853</x:v>
      </x:c>
      <x:c r="S554" s="34" t="n">
        <x:v>0.083</x:v>
      </x:c>
      <x:c r="T554" s="32" t="n">
        <x:v>46236.01244104167</x:v>
      </x:c>
      <x:c r="U554" s="32" t="n">
        <x:v>46237.01244104167</x:v>
      </x:c>
      <x:c r="V554" s="34" t="n">
        <x:v>5</x:v>
      </x:c>
      <x:c r="W554" s="34" t="n">
        <x:v>0.1</x:v>
      </x:c>
      <x:c r="X554" s="34" t="n">
        <x:v>0.1</x:v>
      </x:c>
      <x:c r="Y554" s="34" t="n">
        <x:v>0.0001</x:v>
      </x:c>
      <x:c r="Z554" s="30" t="str">
        <x:f>IF(AND(D554="TRADING",I554&lt;&gt;"",L554&lt;&gt;"",M554&lt;&gt;"",N554&lt;&gt;"",O554&lt;&gt;""),"Yes","No")</x:f>
        <x:v>Yes</x:v>
      </x:c>
      <x:c r="AA554" s="39" t="str">
        <x:v>https://developers.binance.com/en/docs/catalog/core-trading-spot-trading/api/rest-api</x:v>
      </x:c>
    </x:row>
    <x:row r="555">
      <x:c r="A555" s="30" t="str">
        <x:v>SOPHUSDT</x:v>
      </x:c>
      <x:c r="B555" s="30" t="str">
        <x:v>SOPH</x:v>
      </x:c>
      <x:c r="C555" s="30" t="str">
        <x:v>USDT</x:v>
      </x:c>
      <x:c r="D555" s="30" t="str">
        <x:v>TRADING</x:v>
      </x:c>
      <x:c r="E555" s="31" t="b">
        <x:v>1</x:v>
      </x:c>
      <x:c r="F555" s="32" t="n">
        <x:v>45805</x:v>
      </x:c>
      <x:c r="G555" s="32" t="n">
        <x:v>45805.999999988424</x:v>
      </x:c>
      <x:c r="H555" s="33" t="n">
        <x:f>IF(F555="","",('Summary'!$B$5-F555)/365.25)</x:f>
        <x:v>1.1827857394098424</x:v>
      </x:c>
      <x:c r="I555" s="34" t="n">
        <x:v>0.00393</x:v>
      </x:c>
      <x:c r="J555" s="35" t="n">
        <x:v>-0.00254</x:v>
      </x:c>
      <x:c r="K555" s="36" t="n">
        <x:v>11776084</x:v>
      </x:c>
      <x:c r="L555" s="36" t="n">
        <x:v>46374.59704</x:v>
      </x:c>
      <x:c r="M555" s="37" t="n">
        <x:v>1325</x:v>
      </x:c>
      <x:c r="N555" s="34" t="n">
        <x:v>0.00392</x:v>
      </x:c>
      <x:c r="O555" s="34" t="n">
        <x:v>0.00393</x:v>
      </x:c>
      <x:c r="P555" s="38" t="n">
        <x:f>IF(OR(N555="",O555="",N555=0,O555=0),"",(O555-N555)/((O555+N555)/2))</x:f>
        <x:v>0.00254777070063706</x:v>
      </x:c>
      <x:c r="Q555" s="34" t="n">
        <x:v>0.00393803</x:v>
      </x:c>
      <x:c r="R555" s="34" t="n">
        <x:v>0.00398</x:v>
      </x:c>
      <x:c r="S555" s="34" t="n">
        <x:v>0.00391</x:v>
      </x:c>
      <x:c r="T555" s="32" t="n">
        <x:v>46236.01247645833</x:v>
      </x:c>
      <x:c r="U555" s="32" t="n">
        <x:v>46237.01247645833</x:v>
      </x:c>
      <x:c r="V555" s="34" t="n">
        <x:v>5</x:v>
      </x:c>
      <x:c r="W555" s="34" t="n">
        <x:v>1</x:v>
      </x:c>
      <x:c r="X555" s="34" t="n">
        <x:v>1</x:v>
      </x:c>
      <x:c r="Y555" s="34" t="n">
        <x:v>0.00001</x:v>
      </x:c>
      <x:c r="Z555" s="30" t="str">
        <x:f>IF(AND(D555="TRADING",I555&lt;&gt;"",L555&lt;&gt;"",M555&lt;&gt;"",N555&lt;&gt;"",O555&lt;&gt;""),"Yes","No")</x:f>
        <x:v>Yes</x:v>
      </x:c>
      <x:c r="AA555" s="39" t="str">
        <x:v>https://developers.binance.com/en/docs/catalog/core-trading-spot-trading/api/rest-api</x:v>
      </x:c>
    </x:row>
    <x:row r="556">
      <x:c r="A556" s="30" t="str">
        <x:v>SOXLBUSDT</x:v>
      </x:c>
      <x:c r="B556" s="30" t="str">
        <x:v>SOXLB</x:v>
      </x:c>
      <x:c r="C556" s="30" t="str">
        <x:v>USDT</x:v>
      </x:c>
      <x:c r="D556" s="30" t="str">
        <x:v>TRADING</x:v>
      </x:c>
      <x:c r="E556" s="31" t="b">
        <x:v>1</x:v>
      </x:c>
      <x:c r="F556" s="32" t="n">
        <x:v>46210</x:v>
      </x:c>
      <x:c r="G556" s="32" t="n">
        <x:v>46210.999999988424</x:v>
      </x:c>
      <x:c r="H556" s="33" t="n">
        <x:f>IF(F556="","",('Summary'!$B$5-F556)/365.25)</x:f>
        <x:v>0.07395617062134144</x:v>
      </x:c>
      <x:c r="I556" s="34" t="n">
        <x:v>119.95</x:v>
      </x:c>
      <x:c r="J556" s="35" t="n">
        <x:v>0.058410000000000004</x:v>
      </x:c>
      <x:c r="K556" s="36" t="n">
        <x:v>90719.454</x:v>
      </x:c>
      <x:c r="L556" s="36" t="n">
        <x:v>10946696.26015</x:v>
      </x:c>
      <x:c r="M556" s="37" t="n">
        <x:v>88146</x:v>
      </x:c>
      <x:c r="N556" s="34" t="n">
        <x:v>119.94</x:v>
      </x:c>
      <x:c r="O556" s="34" t="n">
        <x:v>119.95</x:v>
      </x:c>
      <x:c r="P556" s="38" t="n">
        <x:f>IF(OR(N556="",O556="",N556=0,O556=0),"",(O556-N556)/((O556+N556)/2))</x:f>
        <x:v>0.00008337154529163464</x:v>
      </x:c>
      <x:c r="Q556" s="34" t="n">
        <x:v>120.66536754</x:v>
      </x:c>
      <x:c r="R556" s="34" t="n">
        <x:v>125.64</x:v>
      </x:c>
      <x:c r="S556" s="34" t="n">
        <x:v>113.21</x:v>
      </x:c>
      <x:c r="T556" s="32" t="n">
        <x:v>46236.01248456018</x:v>
      </x:c>
      <x:c r="U556" s="32" t="n">
        <x:v>46237.01248456018</x:v>
      </x:c>
      <x:c r="V556" s="34" t="n">
        <x:v>5</x:v>
      </x:c>
      <x:c r="W556" s="34" t="n">
        <x:v>0.001</x:v>
      </x:c>
      <x:c r="X556" s="34" t="n">
        <x:v>0.001</x:v>
      </x:c>
      <x:c r="Y556" s="34" t="n">
        <x:v>0.01</x:v>
      </x:c>
      <x:c r="Z556" s="30" t="str">
        <x:f>IF(AND(D556="TRADING",I556&lt;&gt;"",L556&lt;&gt;"",M556&lt;&gt;"",N556&lt;&gt;"",O556&lt;&gt;""),"Yes","No")</x:f>
        <x:v>Yes</x:v>
      </x:c>
      <x:c r="AA556" s="39" t="str">
        <x:v>https://developers.binance.com/en/docs/catalog/core-trading-spot-trading/api/rest-api</x:v>
      </x:c>
    </x:row>
    <x:row r="557">
      <x:c r="A557" s="30" t="str">
        <x:v>SOXSBUSDT</x:v>
      </x:c>
      <x:c r="B557" s="30" t="str">
        <x:v>SOXSB</x:v>
      </x:c>
      <x:c r="C557" s="30" t="str">
        <x:v>USDT</x:v>
      </x:c>
      <x:c r="D557" s="30" t="str">
        <x:v>TRADING</x:v>
      </x:c>
      <x:c r="E557" s="31" t="b">
        <x:v>1</x:v>
      </x:c>
      <x:c r="F557" s="32" t="n">
        <x:v>46232</x:v>
      </x:c>
      <x:c r="G557" s="32" t="n">
        <x:v>46232.999999988424</x:v>
      </x:c>
      <x:c r="H557" s="33" t="n">
        <x:f>IF(F557="","",('Summary'!$B$5-F557)/365.25)</x:f>
        <x:v>0.013723453304435213</x:v>
      </x:c>
      <x:c r="I557" s="34" t="n">
        <x:v>51.78</x:v>
      </x:c>
      <x:c r="J557" s="35" t="n">
        <x:v>-0.05234</x:v>
      </x:c>
      <x:c r="K557" s="36" t="n">
        <x:v>6306.78</x:v>
      </x:c>
      <x:c r="L557" s="36" t="n">
        <x:v>323858.988</x:v>
      </x:c>
      <x:c r="M557" s="37" t="n">
        <x:v>1619</x:v>
      </x:c>
      <x:c r="N557" s="34" t="n">
        <x:v>51.8</x:v>
      </x:c>
      <x:c r="O557" s="34" t="n">
        <x:v>51.93</x:v>
      </x:c>
      <x:c r="P557" s="38" t="n">
        <x:f>IF(OR(N557="",O557="",N557=0,O557=0),"",(O557-N557)/((O557+N557)/2))</x:f>
        <x:v>0.00250650727851157</x:v>
      </x:c>
      <x:c r="Q557" s="34" t="n">
        <x:v>51.35092519</x:v>
      </x:c>
      <x:c r="R557" s="34" t="n">
        <x:v>54.66</x:v>
      </x:c>
      <x:c r="S557" s="34" t="n">
        <x:v>50.01</x:v>
      </x:c>
      <x:c r="T557" s="32" t="n">
        <x:v>46236.012484837964</x:v>
      </x:c>
      <x:c r="U557" s="32" t="n">
        <x:v>46237.012484837964</x:v>
      </x:c>
      <x:c r="V557" s="34" t="n">
        <x:v>5</x:v>
      </x:c>
      <x:c r="W557" s="34" t="n">
        <x:v>0.01</x:v>
      </x:c>
      <x:c r="X557" s="34" t="n">
        <x:v>0.01</x:v>
      </x:c>
      <x:c r="Y557" s="34" t="n">
        <x:v>0.01</x:v>
      </x:c>
      <x:c r="Z557" s="30" t="str">
        <x:f>IF(AND(D557="TRADING",I557&lt;&gt;"",L557&lt;&gt;"",M557&lt;&gt;"",N557&lt;&gt;"",O557&lt;&gt;""),"Yes","No")</x:f>
        <x:v>Yes</x:v>
      </x:c>
      <x:c r="AA557" s="39" t="str">
        <x:v>https://developers.binance.com/en/docs/catalog/core-trading-spot-trading/api/rest-api</x:v>
      </x:c>
    </x:row>
    <x:row r="558">
      <x:c r="A558" s="30" t="str">
        <x:v>SPCXBUSDT</x:v>
      </x:c>
      <x:c r="B558" s="30" t="str">
        <x:v>SPCXB</x:v>
      </x:c>
      <x:c r="C558" s="30" t="str">
        <x:v>USDT</x:v>
      </x:c>
      <x:c r="D558" s="30" t="str">
        <x:v>TRADING</x:v>
      </x:c>
      <x:c r="E558" s="31" t="b">
        <x:v>1</x:v>
      </x:c>
      <x:c r="F558" s="32" t="n">
        <x:v>46185</x:v>
      </x:c>
      <x:c r="G558" s="32" t="n">
        <x:v>46185.999999988424</x:v>
      </x:c>
      <x:c r="H558" s="33" t="n">
        <x:f>IF(F558="","",('Summary'!$B$5-F558)/365.25)</x:f>
        <x:v>0.14240244029964397</x:v>
      </x:c>
      <x:c r="I558" s="34" t="n">
        <x:v>108.83</x:v>
      </x:c>
      <x:c r="J558" s="35" t="n">
        <x:v>0.0023</x:v>
      </x:c>
      <x:c r="K558" s="36" t="n">
        <x:v>43181.661</x:v>
      </x:c>
      <x:c r="L558" s="36" t="n">
        <x:v>4700426.46785</x:v>
      </x:c>
      <x:c r="M558" s="37" t="n">
        <x:v>23450</x:v>
      </x:c>
      <x:c r="N558" s="34" t="n">
        <x:v>108.8</x:v>
      </x:c>
      <x:c r="O558" s="34" t="n">
        <x:v>108.81</x:v>
      </x:c>
      <x:c r="P558" s="38" t="n">
        <x:f>IF(OR(N558="",O558="",N558=0,O558=0),"",(O558-N558)/((O558+N558)/2))</x:f>
        <x:v>0.0000919075410137872</x:v>
      </x:c>
      <x:c r="Q558" s="34" t="n">
        <x:v>108.85237758</x:v>
      </x:c>
      <x:c r="R558" s="34" t="n">
        <x:v>109.61</x:v>
      </x:c>
      <x:c r="S558" s="34" t="n">
        <x:v>108.19</x:v>
      </x:c>
      <x:c r="T558" s="32" t="n">
        <x:v>46236.0124818287</x:v>
      </x:c>
      <x:c r="U558" s="32" t="n">
        <x:v>46237.0124818287</x:v>
      </x:c>
      <x:c r="V558" s="34" t="n">
        <x:v>5</x:v>
      </x:c>
      <x:c r="W558" s="34" t="n">
        <x:v>0.001</x:v>
      </x:c>
      <x:c r="X558" s="34" t="n">
        <x:v>0.001</x:v>
      </x:c>
      <x:c r="Y558" s="34" t="n">
        <x:v>0.01</x:v>
      </x:c>
      <x:c r="Z558" s="30" t="str">
        <x:f>IF(AND(D558="TRADING",I558&lt;&gt;"",L558&lt;&gt;"",M558&lt;&gt;"",N558&lt;&gt;"",O558&lt;&gt;""),"Yes","No")</x:f>
        <x:v>Yes</x:v>
      </x:c>
      <x:c r="AA558" s="39" t="str">
        <x:v>https://developers.binance.com/en/docs/catalog/core-trading-spot-trading/api/rest-api</x:v>
      </x:c>
    </x:row>
    <x:row r="559">
      <x:c r="A559" s="30" t="str">
        <x:v>SPELLUSDT</x:v>
      </x:c>
      <x:c r="B559" s="30" t="str">
        <x:v>SPELL</x:v>
      </x:c>
      <x:c r="C559" s="30" t="str">
        <x:v>USDT</x:v>
      </x:c>
      <x:c r="D559" s="30" t="str">
        <x:v>TRADING</x:v>
      </x:c>
      <x:c r="E559" s="31" t="b">
        <x:v>1</x:v>
      </x:c>
      <x:c r="F559" s="32" t="n">
        <x:v>44554</x:v>
      </x:c>
      <x:c r="G559" s="32" t="n">
        <x:v>44554.999999988424</x:v>
      </x:c>
      <x:c r="H559" s="33" t="n">
        <x:f>IF(F559="","",('Summary'!$B$5-F559)/365.25)</x:f>
        <x:v>4.607837074112101</x:v>
      </x:c>
      <x:c r="I559" s="34" t="n">
        <x:v>0.0000772</x:v>
      </x:c>
      <x:c r="J559" s="35" t="n">
        <x:v>0.00783</x:v>
      </x:c>
      <x:c r="K559" s="36" t="n">
        <x:v>1098369206</x:v>
      </x:c>
      <x:c r="L559" s="36" t="n">
        <x:v>84770.5356621</x:v>
      </x:c>
      <x:c r="M559" s="37" t="n">
        <x:v>1820</x:v>
      </x:c>
      <x:c r="N559" s="34" t="n">
        <x:v>0.0000771</x:v>
      </x:c>
      <x:c r="O559" s="34" t="n">
        <x:v>0.0000772</x:v>
      </x:c>
      <x:c r="P559" s="38" t="n">
        <x:f>IF(OR(N559="",O559="",N559=0,O559=0),"",(O559-N559)/((O559+N559)/2))</x:f>
        <x:v>0.001296176279974108</x:v>
      </x:c>
      <x:c r="Q559" s="34" t="n">
        <x:v>0.00007718</x:v>
      </x:c>
      <x:c r="R559" s="34" t="n">
        <x:v>0.0000778</x:v>
      </x:c>
      <x:c r="S559" s="34" t="n">
        <x:v>0.0000765</x:v>
      </x:c>
      <x:c r="T559" s="32" t="n">
        <x:v>46236.00893146991</x:v>
      </x:c>
      <x:c r="U559" s="32" t="n">
        <x:v>46237.00893146991</x:v>
      </x:c>
      <x:c r="V559" s="34" t="n">
        <x:v>5</x:v>
      </x:c>
      <x:c r="W559" s="34" t="n">
        <x:v>1</x:v>
      </x:c>
      <x:c r="X559" s="34" t="n">
        <x:v>1</x:v>
      </x:c>
      <x:c r="Y559" s="34" t="n">
        <x:v>1e-7</x:v>
      </x:c>
      <x:c r="Z559" s="30" t="str">
        <x:f>IF(AND(D559="TRADING",I559&lt;&gt;"",L559&lt;&gt;"",M559&lt;&gt;"",N559&lt;&gt;"",O559&lt;&gt;""),"Yes","No")</x:f>
        <x:v>Yes</x:v>
      </x:c>
      <x:c r="AA559" s="39" t="str">
        <x:v>https://developers.binance.com/en/docs/catalog/core-trading-spot-trading/api/rest-api</x:v>
      </x:c>
    </x:row>
    <x:row r="560">
      <x:c r="A560" s="30" t="str">
        <x:v>SPKUSDT</x:v>
      </x:c>
      <x:c r="B560" s="30" t="str">
        <x:v>SPK</x:v>
      </x:c>
      <x:c r="C560" s="30" t="str">
        <x:v>USDT</x:v>
      </x:c>
      <x:c r="D560" s="30" t="str">
        <x:v>TRADING</x:v>
      </x:c>
      <x:c r="E560" s="31" t="b">
        <x:v>1</x:v>
      </x:c>
      <x:c r="F560" s="32" t="n">
        <x:v>45825</x:v>
      </x:c>
      <x:c r="G560" s="32" t="n">
        <x:v>45825.999999988424</x:v>
      </x:c>
      <x:c r="H560" s="33" t="n">
        <x:f>IF(F560="","",('Summary'!$B$5-F560)/365.25)</x:f>
        <x:v>1.1280287236672004</x:v>
      </x:c>
      <x:c r="I560" s="34" t="n">
        <x:v>0.015825</x:v>
      </x:c>
      <x:c r="J560" s="35" t="n">
        <x:v>-0.004719999999999999</x:v>
      </x:c>
      <x:c r="K560" s="36" t="n">
        <x:v>24510735</x:v>
      </x:c>
      <x:c r="L560" s="36" t="n">
        <x:v>390541.866081</x:v>
      </x:c>
      <x:c r="M560" s="37" t="n">
        <x:v>9763</x:v>
      </x:c>
      <x:c r="N560" s="34" t="n">
        <x:v>0.015831</x:v>
      </x:c>
      <x:c r="O560" s="34" t="n">
        <x:v>0.015832</x:v>
      </x:c>
      <x:c r="P560" s="38" t="n">
        <x:f>IF(OR(N560="",O560="",N560=0,O560=0),"",(O560-N560)/((O560+N560)/2))</x:f>
        <x:v>0.00006316520860294545</x:v>
      </x:c>
      <x:c r="Q560" s="34" t="n">
        <x:v>0.0159335</x:v>
      </x:c>
      <x:c r="R560" s="34" t="n">
        <x:v>0.016102</x:v>
      </x:c>
      <x:c r="S560" s="34" t="n">
        <x:v>0.015779</x:v>
      </x:c>
      <x:c r="T560" s="32" t="n">
        <x:v>46236.012006157405</x:v>
      </x:c>
      <x:c r="U560" s="32" t="n">
        <x:v>46237.012006157405</x:v>
      </x:c>
      <x:c r="V560" s="34" t="n">
        <x:v>5</x:v>
      </x:c>
      <x:c r="W560" s="34" t="n">
        <x:v>1</x:v>
      </x:c>
      <x:c r="X560" s="34" t="n">
        <x:v>1</x:v>
      </x:c>
      <x:c r="Y560" s="34" t="n">
        <x:v>0.000001</x:v>
      </x:c>
      <x:c r="Z560" s="30" t="str">
        <x:f>IF(AND(D560="TRADING",I560&lt;&gt;"",L560&lt;&gt;"",M560&lt;&gt;"",N560&lt;&gt;"",O560&lt;&gt;""),"Yes","No")</x:f>
        <x:v>Yes</x:v>
      </x:c>
      <x:c r="AA560" s="39" t="str">
        <x:v>https://developers.binance.com/en/docs/catalog/core-trading-spot-trading/api/rest-api</x:v>
      </x:c>
    </x:row>
    <x:row r="561">
      <x:c r="A561" s="30" t="str">
        <x:v>SPYBUSDT</x:v>
      </x:c>
      <x:c r="B561" s="30" t="str">
        <x:v>SPYB</x:v>
      </x:c>
      <x:c r="C561" s="30" t="str">
        <x:v>USDT</x:v>
      </x:c>
      <x:c r="D561" s="30" t="str">
        <x:v>TRADING</x:v>
      </x:c>
      <x:c r="E561" s="31" t="b">
        <x:v>1</x:v>
      </x:c>
      <x:c r="F561" s="32" t="n">
        <x:v>46210</x:v>
      </x:c>
      <x:c r="G561" s="32" t="n">
        <x:v>46210.999999988424</x:v>
      </x:c>
      <x:c r="H561" s="33" t="n">
        <x:f>IF(F561="","",('Summary'!$B$5-F561)/365.25)</x:f>
        <x:v>0.07395617062134144</x:v>
      </x:c>
      <x:c r="I561" s="34" t="n">
        <x:v>750.95</x:v>
      </x:c>
      <x:c r="J561" s="35" t="n">
        <x:v>0.0068000000000000005</x:v>
      </x:c>
      <x:c r="K561" s="36" t="n">
        <x:v>179.542</x:v>
      </x:c>
      <x:c r="L561" s="36" t="n">
        <x:v>134462.52021</x:v>
      </x:c>
      <x:c r="M561" s="37" t="n">
        <x:v>2014</x:v>
      </x:c>
      <x:c r="N561" s="34" t="n">
        <x:v>750.81</x:v>
      </x:c>
      <x:c r="O561" s="34" t="n">
        <x:v>751.09</x:v>
      </x:c>
      <x:c r="P561" s="38" t="n">
        <x:f>IF(OR(N561="",O561="",N561=0,O561=0),"",(O561-N561)/((O561+N561)/2))</x:f>
        <x:v>0.00037286104267938796</x:v>
      </x:c>
      <x:c r="Q561" s="34" t="n">
        <x:v>748.91958545</x:v>
      </x:c>
      <x:c r="R561" s="34" t="n">
        <x:v>751.11</x:v>
      </x:c>
      <x:c r="S561" s="34" t="n">
        <x:v>745.88</x:v>
      </x:c>
      <x:c r="T561" s="32" t="n">
        <x:v>46236.01246748843</x:v>
      </x:c>
      <x:c r="U561" s="32" t="n">
        <x:v>46237.01246748843</x:v>
      </x:c>
      <x:c r="V561" s="34" t="n">
        <x:v>5</x:v>
      </x:c>
      <x:c r="W561" s="34" t="n">
        <x:v>0.001</x:v>
      </x:c>
      <x:c r="X561" s="34" t="n">
        <x:v>0.001</x:v>
      </x:c>
      <x:c r="Y561" s="34" t="n">
        <x:v>0.01</x:v>
      </x:c>
      <x:c r="Z561" s="30" t="str">
        <x:f>IF(AND(D561="TRADING",I561&lt;&gt;"",L561&lt;&gt;"",M561&lt;&gt;"",N561&lt;&gt;"",O561&lt;&gt;""),"Yes","No")</x:f>
        <x:v>Yes</x:v>
      </x:c>
      <x:c r="AA561" s="39" t="str">
        <x:v>https://developers.binance.com/en/docs/catalog/core-trading-spot-trading/api/rest-api</x:v>
      </x:c>
    </x:row>
    <x:row r="562">
      <x:c r="A562" s="30" t="str">
        <x:v>SRMUSDT</x:v>
      </x:c>
      <x:c r="B562" s="30" t="str">
        <x:v>SRM</x:v>
      </x:c>
      <x:c r="C562" s="30" t="str">
        <x:v>USDT</x:v>
      </x:c>
      <x:c r="D562" s="30" t="str">
        <x:v>BREAK</x:v>
      </x:c>
      <x:c r="E562" s="31" t="b">
        <x:v>1</x:v>
      </x:c>
      <x:c r="F562" s="32" t="n">
        <x:v>44054</x:v>
      </x:c>
      <x:c r="G562" s="32" t="n">
        <x:v>44054.999999988424</x:v>
      </x:c>
      <x:c r="H562" s="33" t="n">
        <x:f>IF(F562="","",('Summary'!$B$5-F562)/365.25)</x:f>
        <x:v>5.976762467678152</x:v>
      </x:c>
      <x:c r="I562" s="34" t="n">
        <x:v>0.24442</x:v>
      </x:c>
      <x:c r="J562" s="35" t="n">
        <x:v>-0.054610000000000006</x:v>
      </x:c>
      <x:c r="K562" s="36" t="n">
        <x:v>1875814</x:v>
      </x:c>
      <x:c r="L562" s="36" t="n">
        <x:v>472900.205855</x:v>
      </x:c>
      <x:c r="M562" s="37" t="n">
        <x:v>4001</x:v>
      </x:c>
      <x:c r="N562" s="34" t="n">
        <x:v>0</x:v>
      </x:c>
      <x:c r="O562" s="34" t="n">
        <x:v>0</x:v>
      </x:c>
      <x:c r="P562" s="38" t="str">
        <x:f>IF(OR(N562="",O562="",N562=0,O562=0),"",(O562-N562)/((O562+N562)/2))</x:f>
      </x:c>
      <x:c r="Q562" s="34" t="n">
        <x:v>0.252104</x:v>
      </x:c>
      <x:c r="R562" s="34" t="n">
        <x:v>0.26478</x:v>
      </x:c>
      <x:c r="S562" s="34" t="n">
        <x:v>0.23855</x:v>
      </x:c>
      <x:c r="T562" s="32" t="n">
        <x:v>46209.26112309028</x:v>
      </x:c>
      <x:c r="U562" s="32" t="n">
        <x:v>46210.26112309028</x:v>
      </x:c>
      <x:c r="V562" s="34" t="n">
        <x:v>10</x:v>
      </x:c>
      <x:c r="W562" s="34" t="n">
        <x:v>0.1</x:v>
      </x:c>
      <x:c r="X562" s="34" t="n">
        <x:v>0.1</x:v>
      </x:c>
      <x:c r="Y562" s="34" t="n">
        <x:v>0.00001</x:v>
      </x:c>
      <x:c r="Z562" s="30" t="str">
        <x:f>IF(AND(D562="TRADING",I562&lt;&gt;"",L562&lt;&gt;"",M562&lt;&gt;"",N562&lt;&gt;"",O562&lt;&gt;""),"Yes","No")</x:f>
        <x:v>No</x:v>
      </x:c>
      <x:c r="AA562" s="39" t="str">
        <x:v>https://developers.binance.com/en/docs/catalog/core-trading-spot-trading/api/rest-api</x:v>
      </x:c>
    </x:row>
    <x:row r="563">
      <x:c r="A563" s="30" t="str">
        <x:v>SSVUSDT</x:v>
      </x:c>
      <x:c r="B563" s="30" t="str">
        <x:v>SSV</x:v>
      </x:c>
      <x:c r="C563" s="30" t="str">
        <x:v>USDT</x:v>
      </x:c>
      <x:c r="D563" s="30" t="str">
        <x:v>TRADING</x:v>
      </x:c>
      <x:c r="E563" s="31" t="b">
        <x:v>1</x:v>
      </x:c>
      <x:c r="F563" s="32" t="n">
        <x:v>44981</x:v>
      </x:c>
      <x:c r="G563" s="32" t="n">
        <x:v>44981.999999988424</x:v>
      </x:c>
      <x:c r="H563" s="33" t="n">
        <x:f>IF(F563="","",('Summary'!$B$5-F563)/365.25)</x:f>
        <x:v>3.438774788006694</x:v>
      </x:c>
      <x:c r="I563" s="34" t="n">
        <x:v>2.303</x:v>
      </x:c>
      <x:c r="J563" s="35" t="n">
        <x:v>0.03459</x:v>
      </x:c>
      <x:c r="K563" s="36" t="n">
        <x:v>91821.202</x:v>
      </x:c>
      <x:c r="L563" s="36" t="n">
        <x:v>206078.912598</x:v>
      </x:c>
      <x:c r="M563" s="37" t="n">
        <x:v>4603</x:v>
      </x:c>
      <x:c r="N563" s="34" t="n">
        <x:v>2.302</x:v>
      </x:c>
      <x:c r="O563" s="34" t="n">
        <x:v>2.306</x:v>
      </x:c>
      <x:c r="P563" s="38" t="n">
        <x:f>IF(OR(N563="",O563="",N563=0,O563=0),"",(O563-N563)/((O563+N563)/2))</x:f>
        <x:v>0.0017361111111111125</x:v>
      </x:c>
      <x:c r="Q563" s="34" t="n">
        <x:v>2.24434998</x:v>
      </x:c>
      <x:c r="R563" s="34" t="n">
        <x:v>2.325</x:v>
      </x:c>
      <x:c r="S563" s="34" t="n">
        <x:v>2.183</x:v>
      </x:c>
      <x:c r="T563" s="32" t="n">
        <x:v>46236.012449166665</x:v>
      </x:c>
      <x:c r="U563" s="32" t="n">
        <x:v>46237.012449166665</x:v>
      </x:c>
      <x:c r="V563" s="34" t="n">
        <x:v>5</x:v>
      </x:c>
      <x:c r="W563" s="34" t="n">
        <x:v>0.001</x:v>
      </x:c>
      <x:c r="X563" s="34" t="n">
        <x:v>0.001</x:v>
      </x:c>
      <x:c r="Y563" s="34" t="n">
        <x:v>0.001</x:v>
      </x:c>
      <x:c r="Z563" s="30" t="str">
        <x:f>IF(AND(D563="TRADING",I563&lt;&gt;"",L563&lt;&gt;"",M563&lt;&gt;"",N563&lt;&gt;"",O563&lt;&gt;""),"Yes","No")</x:f>
        <x:v>Yes</x:v>
      </x:c>
      <x:c r="AA563" s="39" t="str">
        <x:v>https://developers.binance.com/en/docs/catalog/core-trading-spot-trading/api/rest-api</x:v>
      </x:c>
    </x:row>
    <x:row r="564">
      <x:c r="A564" s="30" t="str">
        <x:v>STEEMUSDT</x:v>
      </x:c>
      <x:c r="B564" s="30" t="str">
        <x:v>STEEM</x:v>
      </x:c>
      <x:c r="C564" s="30" t="str">
        <x:v>USDT</x:v>
      </x:c>
      <x:c r="D564" s="30" t="str">
        <x:v>TRADING</x:v>
      </x:c>
      <x:c r="E564" s="31" t="b">
        <x:v>1</x:v>
      </x:c>
      <x:c r="F564" s="32" t="n">
        <x:v>44673</x:v>
      </x:c>
      <x:c r="G564" s="32" t="n">
        <x:v>44673.999999988424</x:v>
      </x:c>
      <x:c r="H564" s="33" t="n">
        <x:f>IF(F564="","",('Summary'!$B$5-F564)/365.25)</x:f>
        <x:v>4.282032830443381</x:v>
      </x:c>
      <x:c r="I564" s="34" t="n">
        <x:v>0.03613</x:v>
      </x:c>
      <x:c r="J564" s="35" t="n">
        <x:v>-0.01821</x:v>
      </x:c>
      <x:c r="K564" s="36" t="n">
        <x:v>2579981.8</x:v>
      </x:c>
      <x:c r="L564" s="36" t="n">
        <x:v>93976.476432</x:v>
      </x:c>
      <x:c r="M564" s="37" t="n">
        <x:v>1187</x:v>
      </x:c>
      <x:c r="N564" s="34" t="n">
        <x:v>0.03612</x:v>
      </x:c>
      <x:c r="O564" s="34" t="n">
        <x:v>0.03616</x:v>
      </x:c>
      <x:c r="P564" s="38" t="n">
        <x:f>IF(OR(N564="",O564="",N564=0,O564=0),"",(O564-N564)/((O564+N564)/2))</x:f>
        <x:v>0.0011068068622025007</x:v>
      </x:c>
      <x:c r="Q564" s="34" t="n">
        <x:v>0.03642525</x:v>
      </x:c>
      <x:c r="R564" s="34" t="n">
        <x:v>0.03708</x:v>
      </x:c>
      <x:c r="S564" s="34" t="n">
        <x:v>0.03586</x:v>
      </x:c>
      <x:c r="T564" s="32" t="n">
        <x:v>46236.012103368055</x:v>
      </x:c>
      <x:c r="U564" s="32" t="n">
        <x:v>46237.012103368055</x:v>
      </x:c>
      <x:c r="V564" s="34" t="n">
        <x:v>5</x:v>
      </x:c>
      <x:c r="W564" s="34" t="n">
        <x:v>0.1</x:v>
      </x:c>
      <x:c r="X564" s="34" t="n">
        <x:v>0.1</x:v>
      </x:c>
      <x:c r="Y564" s="34" t="n">
        <x:v>0.00001</x:v>
      </x:c>
      <x:c r="Z564" s="30" t="str">
        <x:f>IF(AND(D564="TRADING",I564&lt;&gt;"",L564&lt;&gt;"",M564&lt;&gt;"",N564&lt;&gt;"",O564&lt;&gt;""),"Yes","No")</x:f>
        <x:v>Yes</x:v>
      </x:c>
      <x:c r="AA564" s="39" t="str">
        <x:v>https://developers.binance.com/en/docs/catalog/core-trading-spot-trading/api/rest-api</x:v>
      </x:c>
    </x:row>
    <x:row r="565">
      <x:c r="A565" s="30" t="str">
        <x:v>STGUSDT</x:v>
      </x:c>
      <x:c r="B565" s="30" t="str">
        <x:v>STG</x:v>
      </x:c>
      <x:c r="C565" s="30" t="str">
        <x:v>USDT</x:v>
      </x:c>
      <x:c r="D565" s="30" t="str">
        <x:v>TRADING</x:v>
      </x:c>
      <x:c r="E565" s="31" t="b">
        <x:v>1</x:v>
      </x:c>
      <x:c r="F565" s="32" t="n">
        <x:v>44792</x:v>
      </x:c>
      <x:c r="G565" s="32" t="n">
        <x:v>44792.999999988424</x:v>
      </x:c>
      <x:c r="H565" s="33" t="n">
        <x:f>IF(F565="","",('Summary'!$B$5-F565)/365.25)</x:f>
        <x:v>3.956228586774661</x:v>
      </x:c>
      <x:c r="I565" s="34" t="n">
        <x:v>0.1188</x:v>
      </x:c>
      <x:c r="J565" s="35" t="n">
        <x:v>-0.014110000000000001</x:v>
      </x:c>
      <x:c r="K565" s="36" t="n">
        <x:v>721056.8</x:v>
      </x:c>
      <x:c r="L565" s="36" t="n">
        <x:v>86440.2156</x:v>
      </x:c>
      <x:c r="M565" s="37" t="n">
        <x:v>1432</x:v>
      </x:c>
      <x:c r="N565" s="34" t="n">
        <x:v>0.1187</x:v>
      </x:c>
      <x:c r="O565" s="34" t="n">
        <x:v>0.1188</x:v>
      </x:c>
      <x:c r="P565" s="38" t="n">
        <x:f>IF(OR(N565="",O565="",N565=0,O565=0),"",(O565-N565)/((O565+N565)/2))</x:f>
        <x:v>0.0008421052631579189</x:v>
      </x:c>
      <x:c r="Q565" s="34" t="n">
        <x:v>0.1198799</x:v>
      </x:c>
      <x:c r="R565" s="34" t="n">
        <x:v>0.1216</x:v>
      </x:c>
      <x:c r="S565" s="34" t="n">
        <x:v>0.1179</x:v>
      </x:c>
      <x:c r="T565" s="32" t="n">
        <x:v>46236.01189962963</x:v>
      </x:c>
      <x:c r="U565" s="32" t="n">
        <x:v>46237.01189962963</x:v>
      </x:c>
      <x:c r="V565" s="34" t="n">
        <x:v>5</x:v>
      </x:c>
      <x:c r="W565" s="34" t="n">
        <x:v>0.1</x:v>
      </x:c>
      <x:c r="X565" s="34" t="n">
        <x:v>0.1</x:v>
      </x:c>
      <x:c r="Y565" s="34" t="n">
        <x:v>0.0001</x:v>
      </x:c>
      <x:c r="Z565" s="30" t="str">
        <x:f>IF(AND(D565="TRADING",I565&lt;&gt;"",L565&lt;&gt;"",M565&lt;&gt;"",N565&lt;&gt;"",O565&lt;&gt;""),"Yes","No")</x:f>
        <x:v>Yes</x:v>
      </x:c>
      <x:c r="AA565" s="39" t="str">
        <x:v>https://developers.binance.com/en/docs/catalog/core-trading-spot-trading/api/rest-api</x:v>
      </x:c>
    </x:row>
    <x:row r="566">
      <x:c r="A566" s="30" t="str">
        <x:v>STMXUSDT</x:v>
      </x:c>
      <x:c r="B566" s="30" t="str">
        <x:v>STMX</x:v>
      </x:c>
      <x:c r="C566" s="30" t="str">
        <x:v>USDT</x:v>
      </x:c>
      <x:c r="D566" s="30" t="str">
        <x:v>BREAK</x:v>
      </x:c>
      <x:c r="E566" s="31" t="b">
        <x:v>1</x:v>
      </x:c>
      <x:c r="F566" s="32" t="n">
        <x:v>43993</x:v>
      </x:c>
      <x:c r="G566" s="32" t="n">
        <x:v>43993.999999988424</x:v>
      </x:c>
      <x:c r="H566" s="33" t="n">
        <x:f>IF(F566="","",('Summary'!$B$5-F566)/365.25)</x:f>
        <x:v>6.14377136569321</x:v>
      </x:c>
      <x:c r="I566" s="34" t="n">
        <x:v>0.004565</x:v>
      </x:c>
      <x:c r="J566" s="35" t="n">
        <x:v>-0.01997</x:v>
      </x:c>
      <x:c r="K566" s="36" t="n">
        <x:v>62904741</x:v>
      </x:c>
      <x:c r="L566" s="36" t="n">
        <x:v>290032.911534</x:v>
      </x:c>
      <x:c r="M566" s="37" t="n">
        <x:v>4001</x:v>
      </x:c>
      <x:c r="N566" s="34" t="n">
        <x:v>0</x:v>
      </x:c>
      <x:c r="O566" s="34" t="n">
        <x:v>0</x:v>
      </x:c>
      <x:c r="P566" s="38" t="str">
        <x:f>IF(OR(N566="",O566="",N566=0,O566=0),"",(O566-N566)/((O566+N566)/2))</x:f>
      </x:c>
      <x:c r="Q566" s="34" t="n">
        <x:v>0.00461067</x:v>
      </x:c>
      <x:c r="R566" s="34" t="n">
        <x:v>0.004767</x:v>
      </x:c>
      <x:c r="S566" s="34" t="n">
        <x:v>0.004368</x:v>
      </x:c>
      <x:c r="T566" s="32" t="n">
        <x:v>46209.26112309028</x:v>
      </x:c>
      <x:c r="U566" s="32" t="n">
        <x:v>46210.26112309028</x:v>
      </x:c>
      <x:c r="V566" s="34" t="n">
        <x:v>5</x:v>
      </x:c>
      <x:c r="W566" s="34" t="n">
        <x:v>1</x:v>
      </x:c>
      <x:c r="X566" s="34" t="n">
        <x:v>1</x:v>
      </x:c>
      <x:c r="Y566" s="34" t="n">
        <x:v>0.000001</x:v>
      </x:c>
      <x:c r="Z566" s="30" t="str">
        <x:f>IF(AND(D566="TRADING",I566&lt;&gt;"",L566&lt;&gt;"",M566&lt;&gt;"",N566&lt;&gt;"",O566&lt;&gt;""),"Yes","No")</x:f>
        <x:v>No</x:v>
      </x:c>
      <x:c r="AA566" s="39" t="str">
        <x:v>https://developers.binance.com/en/docs/catalog/core-trading-spot-trading/api/rest-api</x:v>
      </x:c>
    </x:row>
    <x:row r="567">
      <x:c r="A567" s="30" t="str">
        <x:v>STORJUSDT</x:v>
      </x:c>
      <x:c r="B567" s="30" t="str">
        <x:v>STORJ</x:v>
      </x:c>
      <x:c r="C567" s="30" t="str">
        <x:v>USDT</x:v>
      </x:c>
      <x:c r="D567" s="30" t="str">
        <x:v>TRADING</x:v>
      </x:c>
      <x:c r="E567" s="31" t="b">
        <x:v>1</x:v>
      </x:c>
      <x:c r="F567" s="32" t="n">
        <x:v>44042</x:v>
      </x:c>
      <x:c r="G567" s="32" t="n">
        <x:v>44042.999999988424</x:v>
      </x:c>
      <x:c r="H567" s="33" t="n">
        <x:f>IF(F567="","",('Summary'!$B$5-F567)/365.25)</x:f>
        <x:v>6.009616677123737</x:v>
      </x:c>
      <x:c r="I567" s="34" t="n">
        <x:v>0.0451</x:v>
      </x:c>
      <x:c r="J567" s="35" t="n">
        <x:v>-0.023809999999999998</x:v>
      </x:c>
      <x:c r="K567" s="36" t="n">
        <x:v>6173257</x:v>
      </x:c>
      <x:c r="L567" s="36" t="n">
        <x:v>285916.9944</x:v>
      </x:c>
      <x:c r="M567" s="37" t="n">
        <x:v>3701</x:v>
      </x:c>
      <x:c r="N567" s="34" t="n">
        <x:v>0.0451</x:v>
      </x:c>
      <x:c r="O567" s="34" t="n">
        <x:v>0.0452</x:v>
      </x:c>
      <x:c r="P567" s="38" t="n">
        <x:f>IF(OR(N567="",O567="",N567=0,O567=0),"",(O567-N567)/((O567+N567)/2))</x:f>
        <x:v>0.00221483942414166</x:v>
      </x:c>
      <x:c r="Q567" s="34" t="n">
        <x:v>0.04631542</x:v>
      </x:c>
      <x:c r="R567" s="34" t="n">
        <x:v>0.0482</x:v>
      </x:c>
      <x:c r="S567" s="34" t="n">
        <x:v>0.0449</x:v>
      </x:c>
      <x:c r="T567" s="32" t="n">
        <x:v>46236.01241751157</x:v>
      </x:c>
      <x:c r="U567" s="32" t="n">
        <x:v>46237.01241751157</x:v>
      </x:c>
      <x:c r="V567" s="34" t="n">
        <x:v>5</x:v>
      </x:c>
      <x:c r="W567" s="34" t="n">
        <x:v>1</x:v>
      </x:c>
      <x:c r="X567" s="34" t="n">
        <x:v>1</x:v>
      </x:c>
      <x:c r="Y567" s="34" t="n">
        <x:v>0.0001</x:v>
      </x:c>
      <x:c r="Z567" s="30" t="str">
        <x:f>IF(AND(D567="TRADING",I567&lt;&gt;"",L567&lt;&gt;"",M567&lt;&gt;"",N567&lt;&gt;"",O567&lt;&gt;""),"Yes","No")</x:f>
        <x:v>Yes</x:v>
      </x:c>
      <x:c r="AA567" s="39" t="str">
        <x:v>https://developers.binance.com/en/docs/catalog/core-trading-spot-trading/api/rest-api</x:v>
      </x:c>
    </x:row>
    <x:row r="568">
      <x:c r="A568" s="30" t="str">
        <x:v>STORMUSDT</x:v>
      </x:c>
      <x:c r="B568" s="30" t="str">
        <x:v>STORM</x:v>
      </x:c>
      <x:c r="C568" s="30" t="str">
        <x:v>USDT</x:v>
      </x:c>
      <x:c r="D568" s="30" t="str">
        <x:v>BREAK</x:v>
      </x:c>
      <x:c r="E568" s="31" t="b">
        <x:v>1</x:v>
      </x:c>
      <x:c r="F568" s="32" t="n">
        <x:v>43704</x:v>
      </x:c>
      <x:c r="G568" s="32" t="n">
        <x:v>43704.999999988424</x:v>
      </x:c>
      <x:c r="H568" s="33" t="n">
        <x:f>IF(F568="","",('Summary'!$B$5-F568)/365.25)</x:f>
        <x:v>6.935010243174387</x:v>
      </x:c>
      <x:c r="I568" s="34" t="n">
        <x:v>0</x:v>
      </x:c>
      <x:c r="J568" s="35" t="n">
        <x:v>0</x:v>
      </x:c>
      <x:c r="K568" s="36" t="n">
        <x:v>0</x:v>
      </x:c>
      <x:c r="L568" s="36" t="n">
        <x:v>0</x:v>
      </x:c>
      <x:c r="M568" s="37" t="n">
        <x:v>0</x:v>
      </x:c>
      <x:c r="N568" s="34" t="n">
        <x:v>0</x:v>
      </x:c>
      <x:c r="O568" s="34" t="n">
        <x:v>0</x:v>
      </x:c>
      <x:c r="P568" s="38" t="str">
        <x:f>IF(OR(N568="",O568="",N568=0,O568=0),"",(O568-N568)/((O568+N568)/2))</x:f>
      </x:c>
      <x:c r="Q568" s="34" t="n">
        <x:v>0</x:v>
      </x:c>
      <x:c r="R568" s="34" t="n">
        <x:v>0</x:v>
      </x:c>
      <x:c r="S568" s="34" t="n">
        <x:v>0</x:v>
      </x:c>
      <x:c r="T568" s="32" t="n">
        <x:v>46209.26112309028</x:v>
      </x:c>
      <x:c r="U568" s="32" t="n">
        <x:v>46210.26112309028</x:v>
      </x:c>
      <x:c r="V568" s="34" t="n">
        <x:v>10</x:v>
      </x:c>
      <x:c r="W568" s="34" t="n">
        <x:v>1</x:v>
      </x:c>
      <x:c r="X568" s="34" t="n">
        <x:v>1</x:v>
      </x:c>
      <x:c r="Y568" s="34" t="n">
        <x:v>0.000001</x:v>
      </x:c>
      <x:c r="Z568" s="30" t="str">
        <x:f>IF(AND(D568="TRADING",I568&lt;&gt;"",L568&lt;&gt;"",M568&lt;&gt;"",N568&lt;&gt;"",O568&lt;&gt;""),"Yes","No")</x:f>
        <x:v>No</x:v>
      </x:c>
      <x:c r="AA568" s="39" t="str">
        <x:v>https://developers.binance.com/en/docs/catalog/core-trading-spot-trading/api/rest-api</x:v>
      </x:c>
    </x:row>
    <x:row r="569">
      <x:c r="A569" s="30" t="str">
        <x:v>STOUSDT</x:v>
      </x:c>
      <x:c r="B569" s="30" t="str">
        <x:v>STO</x:v>
      </x:c>
      <x:c r="C569" s="30" t="str">
        <x:v>USDT</x:v>
      </x:c>
      <x:c r="D569" s="30" t="str">
        <x:v>TRADING</x:v>
      </x:c>
      <x:c r="E569" s="31" t="b">
        <x:v>1</x:v>
      </x:c>
      <x:c r="F569" s="32" t="n">
        <x:v>45779</x:v>
      </x:c>
      <x:c r="G569" s="32" t="n">
        <x:v>45779.999999988424</x:v>
      </x:c>
      <x:c r="H569" s="33" t="n">
        <x:f>IF(F569="","",('Summary'!$B$5-F569)/365.25)</x:f>
        <x:v>1.253969859875277</x:v>
      </x:c>
      <x:c r="I569" s="34" t="n">
        <x:v>0.037</x:v>
      </x:c>
      <x:c r="J569" s="35" t="n">
        <x:v>0.00271</x:v>
      </x:c>
      <x:c r="K569" s="36" t="n">
        <x:v>4741737.3</x:v>
      </x:c>
      <x:c r="L569" s="36" t="n">
        <x:v>175847.67362</x:v>
      </x:c>
      <x:c r="M569" s="37" t="n">
        <x:v>1613</x:v>
      </x:c>
      <x:c r="N569" s="34" t="n">
        <x:v>0.0369</x:v>
      </x:c>
      <x:c r="O569" s="34" t="n">
        <x:v>0.037</x:v>
      </x:c>
      <x:c r="P569" s="38" t="n">
        <x:f>IF(OR(N569="",O569="",N569=0,O569=0),"",(O569-N569)/((O569+N569)/2))</x:f>
        <x:v>0.002706359945872691</x:v>
      </x:c>
      <x:c r="Q569" s="34" t="n">
        <x:v>0.03708507</x:v>
      </x:c>
      <x:c r="R569" s="34" t="n">
        <x:v>0.0375</x:v>
      </x:c>
      <x:c r="S569" s="34" t="n">
        <x:v>0.0367</x:v>
      </x:c>
      <x:c r="T569" s="32" t="n">
        <x:v>46236.01247849537</x:v>
      </x:c>
      <x:c r="U569" s="32" t="n">
        <x:v>46237.01247849537</x:v>
      </x:c>
      <x:c r="V569" s="34" t="n">
        <x:v>5</x:v>
      </x:c>
      <x:c r="W569" s="34" t="n">
        <x:v>0.1</x:v>
      </x:c>
      <x:c r="X569" s="34" t="n">
        <x:v>0.1</x:v>
      </x:c>
      <x:c r="Y569" s="34" t="n">
        <x:v>0.0001</x:v>
      </x:c>
      <x:c r="Z569" s="30" t="str">
        <x:f>IF(AND(D569="TRADING",I569&lt;&gt;"",L569&lt;&gt;"",M569&lt;&gt;"",N569&lt;&gt;"",O569&lt;&gt;""),"Yes","No")</x:f>
        <x:v>Yes</x:v>
      </x:c>
      <x:c r="AA569" s="39" t="str">
        <x:v>https://developers.binance.com/en/docs/catalog/core-trading-spot-trading/api/rest-api</x:v>
      </x:c>
    </x:row>
    <x:row r="570">
      <x:c r="A570" s="30" t="str">
        <x:v>STPTUSDT</x:v>
      </x:c>
      <x:c r="B570" s="30" t="str">
        <x:v>STPT</x:v>
      </x:c>
      <x:c r="C570" s="30" t="str">
        <x:v>USDT</x:v>
      </x:c>
      <x:c r="D570" s="30" t="str">
        <x:v>BREAK</x:v>
      </x:c>
      <x:c r="E570" s="31" t="b">
        <x:v>1</x:v>
      </x:c>
      <x:c r="F570" s="32" t="n">
        <x:v>43915</x:v>
      </x:c>
      <x:c r="G570" s="32" t="n">
        <x:v>43915.999999988424</x:v>
      </x:c>
      <x:c r="H570" s="33" t="n">
        <x:f>IF(F570="","",('Summary'!$B$5-F570)/365.25)</x:f>
        <x:v>6.357323727089514</x:v>
      </x:c>
      <x:c r="I570" s="34" t="n">
        <x:v>0.07042</x:v>
      </x:c>
      <x:c r="J570" s="35" t="n">
        <x:v>0.02206</x:v>
      </x:c>
      <x:c r="K570" s="36" t="n">
        <x:v>6539537.4</x:v>
      </x:c>
      <x:c r="L570" s="36" t="n">
        <x:v>463191.942588</x:v>
      </x:c>
      <x:c r="M570" s="37" t="n">
        <x:v>4001</x:v>
      </x:c>
      <x:c r="N570" s="34" t="n">
        <x:v>0</x:v>
      </x:c>
      <x:c r="O570" s="34" t="n">
        <x:v>0</x:v>
      </x:c>
      <x:c r="P570" s="38" t="str">
        <x:f>IF(OR(N570="",O570="",N570=0,O570=0),"",(O570-N570)/((O570+N570)/2))</x:f>
      </x:c>
      <x:c r="Q570" s="34" t="n">
        <x:v>0.07082947</x:v>
      </x:c>
      <x:c r="R570" s="34" t="n">
        <x:v>0.07455</x:v>
      </x:c>
      <x:c r="S570" s="34" t="n">
        <x:v>0.06836</x:v>
      </x:c>
      <x:c r="T570" s="32" t="n">
        <x:v>46209.26112309028</x:v>
      </x:c>
      <x:c r="U570" s="32" t="n">
        <x:v>46210.26112309028</x:v>
      </x:c>
      <x:c r="V570" s="34" t="n">
        <x:v>5</x:v>
      </x:c>
      <x:c r="W570" s="34" t="n">
        <x:v>0.1</x:v>
      </x:c>
      <x:c r="X570" s="34" t="n">
        <x:v>0.1</x:v>
      </x:c>
      <x:c r="Y570" s="34" t="n">
        <x:v>0.00001</x:v>
      </x:c>
      <x:c r="Z570" s="30" t="str">
        <x:f>IF(AND(D570="TRADING",I570&lt;&gt;"",L570&lt;&gt;"",M570&lt;&gt;"",N570&lt;&gt;"",O570&lt;&gt;""),"Yes","No")</x:f>
        <x:v>No</x:v>
      </x:c>
      <x:c r="AA570" s="39" t="str">
        <x:v>https://developers.binance.com/en/docs/catalog/core-trading-spot-trading/api/rest-api</x:v>
      </x:c>
    </x:row>
    <x:row r="571">
      <x:c r="A571" s="30" t="str">
        <x:v>STRATUSDT</x:v>
      </x:c>
      <x:c r="B571" s="30" t="str">
        <x:v>STRAT</x:v>
      </x:c>
      <x:c r="C571" s="30" t="str">
        <x:v>USDT</x:v>
      </x:c>
      <x:c r="D571" s="30" t="str">
        <x:v>BREAK</x:v>
      </x:c>
      <x:c r="E571" s="31" t="b">
        <x:v>1</x:v>
      </x:c>
      <x:c r="F571" s="32" t="n">
        <x:v>43880</x:v>
      </x:c>
      <x:c r="G571" s="32" t="n">
        <x:v>43880.999999988424</x:v>
      </x:c>
      <x:c r="H571" s="33" t="n">
        <x:f>IF(F571="","",('Summary'!$B$5-F571)/365.25)</x:f>
        <x:v>6.453148504639137</x:v>
      </x:c>
      <x:c r="I571" s="34" t="n">
        <x:v>0</x:v>
      </x:c>
      <x:c r="J571" s="35" t="n">
        <x:v>0</x:v>
      </x:c>
      <x:c r="K571" s="36" t="n">
        <x:v>0</x:v>
      </x:c>
      <x:c r="L571" s="36" t="n">
        <x:v>0</x:v>
      </x:c>
      <x:c r="M571" s="37" t="n">
        <x:v>0</x:v>
      </x:c>
      <x:c r="N571" s="34" t="n">
        <x:v>0</x:v>
      </x:c>
      <x:c r="O571" s="34" t="n">
        <x:v>0</x:v>
      </x:c>
      <x:c r="P571" s="38" t="str">
        <x:f>IF(OR(N571="",O571="",N571=0,O571=0),"",(O571-N571)/((O571+N571)/2))</x:f>
      </x:c>
      <x:c r="Q571" s="34" t="n">
        <x:v>0</x:v>
      </x:c>
      <x:c r="R571" s="34" t="n">
        <x:v>0</x:v>
      </x:c>
      <x:c r="S571" s="34" t="n">
        <x:v>0</x:v>
      </x:c>
      <x:c r="T571" s="32" t="n">
        <x:v>46209.26112309028</x:v>
      </x:c>
      <x:c r="U571" s="32" t="n">
        <x:v>46210.26112309028</x:v>
      </x:c>
      <x:c r="V571" s="34" t="n">
        <x:v>10</x:v>
      </x:c>
      <x:c r="W571" s="34" t="n">
        <x:v>0.01</x:v>
      </x:c>
      <x:c r="X571" s="34" t="n">
        <x:v>0.01</x:v>
      </x:c>
      <x:c r="Y571" s="34" t="n">
        <x:v>0.0001</x:v>
      </x:c>
      <x:c r="Z571" s="30" t="str">
        <x:f>IF(AND(D571="TRADING",I571&lt;&gt;"",L571&lt;&gt;"",M571&lt;&gt;"",N571&lt;&gt;"",O571&lt;&gt;""),"Yes","No")</x:f>
        <x:v>No</x:v>
      </x:c>
      <x:c r="AA571" s="39" t="str">
        <x:v>https://developers.binance.com/en/docs/catalog/core-trading-spot-trading/api/rest-api</x:v>
      </x:c>
    </x:row>
    <x:row r="572">
      <x:c r="A572" s="30" t="str">
        <x:v>STRAXUSDT</x:v>
      </x:c>
      <x:c r="B572" s="30" t="str">
        <x:v>STRAX</x:v>
      </x:c>
      <x:c r="C572" s="30" t="str">
        <x:v>USDT</x:v>
      </x:c>
      <x:c r="D572" s="30" t="str">
        <x:v>TRADING</x:v>
      </x:c>
      <x:c r="E572" s="31" t="b">
        <x:v>1</x:v>
      </x:c>
      <x:c r="F572" s="32" t="n">
        <x:v>44153</x:v>
      </x:c>
      <x:c r="G572" s="32" t="n">
        <x:v>44153.999999988424</x:v>
      </x:c>
      <x:c r="H572" s="33" t="n">
        <x:f>IF(F572="","",('Summary'!$B$5-F572)/365.25)</x:f>
        <x:v>5.705715239752074</x:v>
      </x:c>
      <x:c r="I572" s="34" t="n">
        <x:v>0.0086</x:v>
      </x:c>
      <x:c r="J572" s="35" t="n">
        <x:v>0.00703</x:v>
      </x:c>
      <x:c r="K572" s="36" t="n">
        <x:v>44826525</x:v>
      </x:c>
      <x:c r="L572" s="36" t="n">
        <x:v>391683.54588</x:v>
      </x:c>
      <x:c r="M572" s="37" t="n">
        <x:v>7296</x:v>
      </x:c>
      <x:c r="N572" s="34" t="n">
        <x:v>0.0086</x:v>
      </x:c>
      <x:c r="O572" s="34" t="n">
        <x:v>0.00861</x:v>
      </x:c>
      <x:c r="P572" s="38" t="n">
        <x:f>IF(OR(N572="",O572="",N572=0,O572=0),"",(O572-N572)/((O572+N572)/2))</x:f>
        <x:v>0.0011621150493898423</x:v>
      </x:c>
      <x:c r="Q572" s="34" t="n">
        <x:v>0.00873776</x:v>
      </x:c>
      <x:c r="R572" s="34" t="n">
        <x:v>0.00905</x:v>
      </x:c>
      <x:c r="S572" s="34" t="n">
        <x:v>0.00851</x:v>
      </x:c>
      <x:c r="T572" s="32" t="n">
        <x:v>46236.0122996875</x:v>
      </x:c>
      <x:c r="U572" s="32" t="n">
        <x:v>46237.0122996875</x:v>
      </x:c>
      <x:c r="V572" s="34" t="n">
        <x:v>5</x:v>
      </x:c>
      <x:c r="W572" s="34" t="n">
        <x:v>1</x:v>
      </x:c>
      <x:c r="X572" s="34" t="n">
        <x:v>1</x:v>
      </x:c>
      <x:c r="Y572" s="34" t="n">
        <x:v>0.00001</x:v>
      </x:c>
      <x:c r="Z572" s="30" t="str">
        <x:f>IF(AND(D572="TRADING",I572&lt;&gt;"",L572&lt;&gt;"",M572&lt;&gt;"",N572&lt;&gt;"",O572&lt;&gt;""),"Yes","No")</x:f>
        <x:v>Yes</x:v>
      </x:c>
      <x:c r="AA572" s="39" t="str">
        <x:v>https://developers.binance.com/en/docs/catalog/core-trading-spot-trading/api/rest-api</x:v>
      </x:c>
    </x:row>
    <x:row r="573">
      <x:c r="A573" s="30" t="str">
        <x:v>STRKUSDT</x:v>
      </x:c>
      <x:c r="B573" s="30" t="str">
        <x:v>STRK</x:v>
      </x:c>
      <x:c r="C573" s="30" t="str">
        <x:v>USDT</x:v>
      </x:c>
      <x:c r="D573" s="30" t="str">
        <x:v>TRADING</x:v>
      </x:c>
      <x:c r="E573" s="31" t="b">
        <x:v>1</x:v>
      </x:c>
      <x:c r="F573" s="32" t="n">
        <x:v>45342</x:v>
      </x:c>
      <x:c r="G573" s="32" t="n">
        <x:v>45342.999999988424</x:v>
      </x:c>
      <x:c r="H573" s="33" t="n">
        <x:f>IF(F573="","",('Summary'!$B$5-F573)/365.25)</x:f>
        <x:v>2.450410653852005</x:v>
      </x:c>
      <x:c r="I573" s="34" t="n">
        <x:v>0.02559</x:v>
      </x:c>
      <x:c r="J573" s="35" t="n">
        <x:v>0.05831</x:v>
      </x:c>
      <x:c r="K573" s="36" t="n">
        <x:v>60524056.29</x:v>
      </x:c>
      <x:c r="L573" s="36" t="n">
        <x:v>1507519.2185763</x:v>
      </x:c>
      <x:c r="M573" s="37" t="n">
        <x:v>19791</x:v>
      </x:c>
      <x:c r="N573" s="34" t="n">
        <x:v>0.02559</x:v>
      </x:c>
      <x:c r="O573" s="34" t="n">
        <x:v>0.0256</x:v>
      </x:c>
      <x:c r="P573" s="38" t="n">
        <x:f>IF(OR(N573="",O573="",N573=0,O573=0),"",(O573-N573)/((O573+N573)/2))</x:f>
        <x:v>0.00039070130884936874</x:v>
      </x:c>
      <x:c r="Q573" s="34" t="n">
        <x:v>0.02490777</x:v>
      </x:c>
      <x:c r="R573" s="34" t="n">
        <x:v>0.02608</x:v>
      </x:c>
      <x:c r="S573" s="34" t="n">
        <x:v>0.02394</x:v>
      </x:c>
      <x:c r="T573" s="32" t="n">
        <x:v>46236.012447789355</x:v>
      </x:c>
      <x:c r="U573" s="32" t="n">
        <x:v>46237.012447789355</x:v>
      </x:c>
      <x:c r="V573" s="34" t="n">
        <x:v>5</x:v>
      </x:c>
      <x:c r="W573" s="34" t="n">
        <x:v>0.01</x:v>
      </x:c>
      <x:c r="X573" s="34" t="n">
        <x:v>0.01</x:v>
      </x:c>
      <x:c r="Y573" s="34" t="n">
        <x:v>0.00001</x:v>
      </x:c>
      <x:c r="Z573" s="30" t="str">
        <x:f>IF(AND(D573="TRADING",I573&lt;&gt;"",L573&lt;&gt;"",M573&lt;&gt;"",N573&lt;&gt;"",O573&lt;&gt;""),"Yes","No")</x:f>
        <x:v>Yes</x:v>
      </x:c>
      <x:c r="AA573" s="39" t="str">
        <x:v>https://developers.binance.com/en/docs/catalog/core-trading-spot-trading/api/rest-api</x:v>
      </x:c>
    </x:row>
    <x:row r="574">
      <x:c r="A574" s="30" t="str">
        <x:v>STXUSDT</x:v>
      </x:c>
      <x:c r="B574" s="30" t="str">
        <x:v>STX</x:v>
      </x:c>
      <x:c r="C574" s="30" t="str">
        <x:v>USDT</x:v>
      </x:c>
      <x:c r="D574" s="30" t="str">
        <x:v>TRADING</x:v>
      </x:c>
      <x:c r="E574" s="31" t="b">
        <x:v>1</x:v>
      </x:c>
      <x:c r="F574" s="32" t="n">
        <x:v>43763</x:v>
      </x:c>
      <x:c r="G574" s="32" t="n">
        <x:v>43763.999999988424</x:v>
      </x:c>
      <x:c r="H574" s="33" t="n">
        <x:f>IF(F574="","",('Summary'!$B$5-F574)/365.25)</x:f>
        <x:v>6.773477046733594</x:v>
      </x:c>
      <x:c r="I574" s="34" t="n">
        <x:v>0.139</x:v>
      </x:c>
      <x:c r="J574" s="35" t="n">
        <x:v>-0.00215</x:v>
      </x:c>
      <x:c r="K574" s="36" t="n">
        <x:v>2871494.4</x:v>
      </x:c>
      <x:c r="L574" s="36" t="n">
        <x:v>400915.70541</x:v>
      </x:c>
      <x:c r="M574" s="37" t="n">
        <x:v>6412</x:v>
      </x:c>
      <x:c r="N574" s="34" t="n">
        <x:v>0.1389</x:v>
      </x:c>
      <x:c r="O574" s="34" t="n">
        <x:v>0.139</x:v>
      </x:c>
      <x:c r="P574" s="38" t="n">
        <x:f>IF(OR(N574="",O574="",N574=0,O574=0),"",(O574-N574)/((O574+N574)/2))</x:f>
        <x:v>0.0007196833393308149</x:v>
      </x:c>
      <x:c r="Q574" s="34" t="n">
        <x:v>0.13961918</x:v>
      </x:c>
      <x:c r="R574" s="34" t="n">
        <x:v>0.1419</x:v>
      </x:c>
      <x:c r="S574" s="34" t="n">
        <x:v>0.1371</x:v>
      </x:c>
      <x:c r="T574" s="32" t="n">
        <x:v>46236.011222152774</x:v>
      </x:c>
      <x:c r="U574" s="32" t="n">
        <x:v>46237.011222152774</x:v>
      </x:c>
      <x:c r="V574" s="34" t="n">
        <x:v>5</x:v>
      </x:c>
      <x:c r="W574" s="34" t="n">
        <x:v>0.1</x:v>
      </x:c>
      <x:c r="X574" s="34" t="n">
        <x:v>0.1</x:v>
      </x:c>
      <x:c r="Y574" s="34" t="n">
        <x:v>0.0001</x:v>
      </x:c>
      <x:c r="Z574" s="30" t="str">
        <x:f>IF(AND(D574="TRADING",I574&lt;&gt;"",L574&lt;&gt;"",M574&lt;&gt;"",N574&lt;&gt;"",O574&lt;&gt;""),"Yes","No")</x:f>
        <x:v>Yes</x:v>
      </x:c>
      <x:c r="AA574" s="39" t="str">
        <x:v>https://developers.binance.com/en/docs/catalog/core-trading-spot-trading/api/rest-api</x:v>
      </x:c>
    </x:row>
    <x:row r="575">
      <x:c r="A575" s="30" t="str">
        <x:v>SUIUSDT</x:v>
      </x:c>
      <x:c r="B575" s="30" t="str">
        <x:v>SUI</x:v>
      </x:c>
      <x:c r="C575" s="30" t="str">
        <x:v>USDT</x:v>
      </x:c>
      <x:c r="D575" s="30" t="str">
        <x:v>TRADING</x:v>
      </x:c>
      <x:c r="E575" s="31" t="b">
        <x:v>1</x:v>
      </x:c>
      <x:c r="F575" s="32" t="n">
        <x:v>45049</x:v>
      </x:c>
      <x:c r="G575" s="32" t="n">
        <x:v>45049.999999988424</x:v>
      </x:c>
      <x:c r="H575" s="33" t="n">
        <x:f>IF(F575="","",('Summary'!$B$5-F575)/365.25)</x:f>
        <x:v>3.252600934481711</x:v>
      </x:c>
      <x:c r="I575" s="34" t="n">
        <x:v>0.6878</x:v>
      </x:c>
      <x:c r="J575" s="35" t="n">
        <x:v>0.014159999999999999</x:v>
      </x:c>
      <x:c r="K575" s="36" t="n">
        <x:v>13559292.7</x:v>
      </x:c>
      <x:c r="L575" s="36" t="n">
        <x:v>9347551.47169</x:v>
      </x:c>
      <x:c r="M575" s="37" t="n">
        <x:v>69887</x:v>
      </x:c>
      <x:c r="N575" s="34" t="n">
        <x:v>0.6878</x:v>
      </x:c>
      <x:c r="O575" s="34" t="n">
        <x:v>0.6879</x:v>
      </x:c>
      <x:c r="P575" s="38" t="n">
        <x:f>IF(OR(N575="",O575="",N575=0,O575=0),"",(O575-N575)/((O575+N575)/2))</x:f>
        <x:v>0.00014538053354654212</x:v>
      </x:c>
      <x:c r="Q575" s="34" t="n">
        <x:v>0.68938341</x:v>
      </x:c>
      <x:c r="R575" s="34" t="n">
        <x:v>0.696</x:v>
      </x:c>
      <x:c r="S575" s="34" t="n">
        <x:v>0.676</x:v>
      </x:c>
      <x:c r="T575" s="32" t="n">
        <x:v>46236.012489409724</x:v>
      </x:c>
      <x:c r="U575" s="32" t="n">
        <x:v>46237.012489409724</x:v>
      </x:c>
      <x:c r="V575" s="34" t="n">
        <x:v>5</x:v>
      </x:c>
      <x:c r="W575" s="34" t="n">
        <x:v>0.1</x:v>
      </x:c>
      <x:c r="X575" s="34" t="n">
        <x:v>0.1</x:v>
      </x:c>
      <x:c r="Y575" s="34" t="n">
        <x:v>0.0001</x:v>
      </x:c>
      <x:c r="Z575" s="30" t="str">
        <x:f>IF(AND(D575="TRADING",I575&lt;&gt;"",L575&lt;&gt;"",M575&lt;&gt;"",N575&lt;&gt;"",O575&lt;&gt;""),"Yes","No")</x:f>
        <x:v>Yes</x:v>
      </x:c>
      <x:c r="AA575" s="39" t="str">
        <x:v>https://developers.binance.com/en/docs/catalog/core-trading-spot-trading/api/rest-api</x:v>
      </x:c>
    </x:row>
    <x:row r="576">
      <x:c r="A576" s="30" t="str">
        <x:v>SUNUSDT</x:v>
      </x:c>
      <x:c r="B576" s="30" t="str">
        <x:v>SUN</x:v>
      </x:c>
      <x:c r="C576" s="30" t="str">
        <x:v>USDT</x:v>
      </x:c>
      <x:c r="D576" s="30" t="str">
        <x:v>TRADING</x:v>
      </x:c>
      <x:c r="E576" s="31" t="b">
        <x:v>1</x:v>
      </x:c>
      <x:c r="F576" s="32" t="n">
        <x:v>44095</x:v>
      </x:c>
      <x:c r="G576" s="32" t="n">
        <x:v>44095.999999988424</x:v>
      </x:c>
      <x:c r="H576" s="33" t="n">
        <x:f>IF(F576="","",('Summary'!$B$5-F576)/365.25)</x:f>
        <x:v>5.8645105854057356</x:v>
      </x:c>
      <x:c r="I576" s="34" t="n">
        <x:v>0.01796</x:v>
      </x:c>
      <x:c r="J576" s="35" t="n">
        <x:v>0.00335</x:v>
      </x:c>
      <x:c r="K576" s="36" t="n">
        <x:v>15091204</x:v>
      </x:c>
      <x:c r="L576" s="36" t="n">
        <x:v>271457.53568</x:v>
      </x:c>
      <x:c r="M576" s="37" t="n">
        <x:v>1704</x:v>
      </x:c>
      <x:c r="N576" s="34" t="n">
        <x:v>0.01795</x:v>
      </x:c>
      <x:c r="O576" s="34" t="n">
        <x:v>0.01796</x:v>
      </x:c>
      <x:c r="P576" s="38" t="n">
        <x:f>IF(OR(N576="",O576="",N576=0,O576=0),"",(O576-N576)/((O576+N576)/2))</x:f>
        <x:v>0.0005569479253689553</x:v>
      </x:c>
      <x:c r="Q576" s="34" t="n">
        <x:v>0.0179878</x:v>
      </x:c>
      <x:c r="R576" s="34" t="n">
        <x:v>0.01806</x:v>
      </x:c>
      <x:c r="S576" s="34" t="n">
        <x:v>0.01788</x:v>
      </x:c>
      <x:c r="T576" s="32" t="n">
        <x:v>46236.01248787037</x:v>
      </x:c>
      <x:c r="U576" s="32" t="n">
        <x:v>46237.01248787037</x:v>
      </x:c>
      <x:c r="V576" s="34" t="n">
        <x:v>5</x:v>
      </x:c>
      <x:c r="W576" s="34" t="n">
        <x:v>1</x:v>
      </x:c>
      <x:c r="X576" s="34" t="n">
        <x:v>1</x:v>
      </x:c>
      <x:c r="Y576" s="34" t="n">
        <x:v>0.00001</x:v>
      </x:c>
      <x:c r="Z576" s="30" t="str">
        <x:f>IF(AND(D576="TRADING",I576&lt;&gt;"",L576&lt;&gt;"",M576&lt;&gt;"",N576&lt;&gt;"",O576&lt;&gt;""),"Yes","No")</x:f>
        <x:v>Yes</x:v>
      </x:c>
      <x:c r="AA576" s="39" t="str">
        <x:v>https://developers.binance.com/en/docs/catalog/core-trading-spot-trading/api/rest-api</x:v>
      </x:c>
    </x:row>
    <x:row r="577">
      <x:c r="A577" s="30" t="str">
        <x:v>SUPERUSDT</x:v>
      </x:c>
      <x:c r="B577" s="30" t="str">
        <x:v>SUPER</x:v>
      </x:c>
      <x:c r="C577" s="30" t="str">
        <x:v>USDT</x:v>
      </x:c>
      <x:c r="D577" s="30" t="str">
        <x:v>TRADING</x:v>
      </x:c>
      <x:c r="E577" s="31" t="b">
        <x:v>1</x:v>
      </x:c>
      <x:c r="F577" s="32" t="n">
        <x:v>44280</x:v>
      </x:c>
      <x:c r="G577" s="32" t="n">
        <x:v>44280.999999988424</x:v>
      </x:c>
      <x:c r="H577" s="33" t="n">
        <x:f>IF(F577="","",('Summary'!$B$5-F577)/365.25)</x:f>
        <x:v>5.358008189786297</x:v>
      </x:c>
      <x:c r="I577" s="34" t="n">
        <x:v>0.0821</x:v>
      </x:c>
      <x:c r="J577" s="35" t="n">
        <x:v>0.0086</x:v>
      </x:c>
      <x:c r="K577" s="36" t="n">
        <x:v>1273016</x:v>
      </x:c>
      <x:c r="L577" s="36" t="n">
        <x:v>104269.3927</x:v>
      </x:c>
      <x:c r="M577" s="37" t="n">
        <x:v>1715</x:v>
      </x:c>
      <x:c r="N577" s="34" t="n">
        <x:v>0.0819</x:v>
      </x:c>
      <x:c r="O577" s="34" t="n">
        <x:v>0.0821</x:v>
      </x:c>
      <x:c r="P577" s="38" t="n">
        <x:f>IF(OR(N577="",O577="",N577=0,O577=0),"",(O577-N577)/((O577+N577)/2))</x:f>
        <x:v>0.0024390243902439723</x:v>
      </x:c>
      <x:c r="Q577" s="34" t="n">
        <x:v>0.08190737</x:v>
      </x:c>
      <x:c r="R577" s="34" t="n">
        <x:v>0.0827</x:v>
      </x:c>
      <x:c r="S577" s="34" t="n">
        <x:v>0.0813</x:v>
      </x:c>
      <x:c r="T577" s="32" t="n">
        <x:v>46236.01247638889</x:v>
      </x:c>
      <x:c r="U577" s="32" t="n">
        <x:v>46237.01247638889</x:v>
      </x:c>
      <x:c r="V577" s="34" t="n">
        <x:v>5</x:v>
      </x:c>
      <x:c r="W577" s="34" t="n">
        <x:v>1</x:v>
      </x:c>
      <x:c r="X577" s="34" t="n">
        <x:v>1</x:v>
      </x:c>
      <x:c r="Y577" s="34" t="n">
        <x:v>0.0001</x:v>
      </x:c>
      <x:c r="Z577" s="30" t="str">
        <x:f>IF(AND(D577="TRADING",I577&lt;&gt;"",L577&lt;&gt;"",M577&lt;&gt;"",N577&lt;&gt;"",O577&lt;&gt;""),"Yes","No")</x:f>
        <x:v>Yes</x:v>
      </x:c>
      <x:c r="AA577" s="39" t="str">
        <x:v>https://developers.binance.com/en/docs/catalog/core-trading-spot-trading/api/rest-api</x:v>
      </x:c>
    </x:row>
    <x:row r="578">
      <x:c r="A578" s="30" t="str">
        <x:v>SUSDT</x:v>
      </x:c>
      <x:c r="B578" s="30" t="str">
        <x:v>S</x:v>
      </x:c>
      <x:c r="C578" s="30" t="str">
        <x:v>USDT</x:v>
      </x:c>
      <x:c r="D578" s="30" t="str">
        <x:v>TRADING</x:v>
      </x:c>
      <x:c r="E578" s="31" t="b">
        <x:v>1</x:v>
      </x:c>
      <x:c r="F578" s="32" t="n">
        <x:v>45673</x:v>
      </x:c>
      <x:c r="G578" s="32" t="n">
        <x:v>45673.999999988424</x:v>
      </x:c>
      <x:c r="H578" s="33" t="n">
        <x:f>IF(F578="","",('Summary'!$B$5-F578)/365.25)</x:f>
        <x:v>1.5441820433112798</x:v>
      </x:c>
      <x:c r="I578" s="34" t="n">
        <x:v>0.02181</x:v>
      </x:c>
      <x:c r="J578" s="35" t="n">
        <x:v>0.01395</x:v>
      </x:c>
      <x:c r="K578" s="36" t="n">
        <x:v>15424656.3</x:v>
      </x:c>
      <x:c r="L578" s="36" t="n">
        <x:v>335723.940053</x:v>
      </x:c>
      <x:c r="M578" s="37" t="n">
        <x:v>5741</x:v>
      </x:c>
      <x:c r="N578" s="34" t="n">
        <x:v>0.02179</x:v>
      </x:c>
      <x:c r="O578" s="34" t="n">
        <x:v>0.02181</x:v>
      </x:c>
      <x:c r="P578" s="38" t="n">
        <x:f>IF(OR(N578="",O578="",N578=0,O578=0),"",(O578-N578)/((O578+N578)/2))</x:f>
        <x:v>0.0009174311926605131</x:v>
      </x:c>
      <x:c r="Q578" s="34" t="n">
        <x:v>0.02176541</x:v>
      </x:c>
      <x:c r="R578" s="34" t="n">
        <x:v>0.02207</x:v>
      </x:c>
      <x:c r="S578" s="34" t="n">
        <x:v>0.02143</x:v>
      </x:c>
      <x:c r="T578" s="32" t="n">
        <x:v>46236.01247642361</x:v>
      </x:c>
      <x:c r="U578" s="32" t="n">
        <x:v>46237.01247642361</x:v>
      </x:c>
      <x:c r="V578" s="34" t="n">
        <x:v>5</x:v>
      </x:c>
      <x:c r="W578" s="34" t="n">
        <x:v>0.1</x:v>
      </x:c>
      <x:c r="X578" s="34" t="n">
        <x:v>0.1</x:v>
      </x:c>
      <x:c r="Y578" s="34" t="n">
        <x:v>0.00001</x:v>
      </x:c>
      <x:c r="Z578" s="30" t="str">
        <x:f>IF(AND(D578="TRADING",I578&lt;&gt;"",L578&lt;&gt;"",M578&lt;&gt;"",N578&lt;&gt;"",O578&lt;&gt;""),"Yes","No")</x:f>
        <x:v>Yes</x:v>
      </x:c>
      <x:c r="AA578" s="39" t="str">
        <x:v>https://developers.binance.com/en/docs/catalog/core-trading-spot-trading/api/rest-api</x:v>
      </x:c>
    </x:row>
    <x:row r="579">
      <x:c r="A579" s="30" t="str">
        <x:v>SUSDUSDT</x:v>
      </x:c>
      <x:c r="B579" s="30" t="str">
        <x:v>SUSD</x:v>
      </x:c>
      <x:c r="C579" s="30" t="str">
        <x:v>USDT</x:v>
      </x:c>
      <x:c r="D579" s="30" t="str">
        <x:v>BREAK</x:v>
      </x:c>
      <x:c r="E579" s="31" t="b">
        <x:v>1</x:v>
      </x:c>
      <x:c r="F579" s="32" t="n">
        <x:v>44169</x:v>
      </x:c>
      <x:c r="G579" s="32" t="n">
        <x:v>44169.999999988424</x:v>
      </x:c>
      <x:c r="H579" s="33" t="n">
        <x:f>IF(F579="","",('Summary'!$B$5-F579)/365.25)</x:f>
        <x:v>5.66190962715796</x:v>
      </x:c>
      <x:c r="I579" s="34" t="n">
        <x:v>0</x:v>
      </x:c>
      <x:c r="J579" s="35" t="n">
        <x:v>0</x:v>
      </x:c>
      <x:c r="K579" s="36" t="n">
        <x:v>0</x:v>
      </x:c>
      <x:c r="L579" s="36" t="n">
        <x:v>0</x:v>
      </x:c>
      <x:c r="M579" s="37" t="n">
        <x:v>0</x:v>
      </x:c>
      <x:c r="N579" s="34" t="n">
        <x:v>0</x:v>
      </x:c>
      <x:c r="O579" s="34" t="n">
        <x:v>0</x:v>
      </x:c>
      <x:c r="P579" s="38" t="str">
        <x:f>IF(OR(N579="",O579="",N579=0,O579=0),"",(O579-N579)/((O579+N579)/2))</x:f>
      </x:c>
      <x:c r="Q579" s="34" t="n">
        <x:v>0</x:v>
      </x:c>
      <x:c r="R579" s="34" t="n">
        <x:v>0</x:v>
      </x:c>
      <x:c r="S579" s="34" t="n">
        <x:v>0</x:v>
      </x:c>
      <x:c r="T579" s="32" t="n">
        <x:v>46209.26112309028</x:v>
      </x:c>
      <x:c r="U579" s="32" t="n">
        <x:v>46210.26112309028</x:v>
      </x:c>
      <x:c r="V579" s="34" t="n">
        <x:v>10</x:v>
      </x:c>
      <x:c r="W579" s="34" t="n">
        <x:v>0.1</x:v>
      </x:c>
      <x:c r="X579" s="34" t="n">
        <x:v>0.1</x:v>
      </x:c>
      <x:c r="Y579" s="34" t="n">
        <x:v>0.001</x:v>
      </x:c>
      <x:c r="Z579" s="30" t="str">
        <x:f>IF(AND(D579="TRADING",I579&lt;&gt;"",L579&lt;&gt;"",M579&lt;&gt;"",N579&lt;&gt;"",O579&lt;&gt;""),"Yes","No")</x:f>
        <x:v>No</x:v>
      </x:c>
      <x:c r="AA579" s="39" t="str">
        <x:v>https://developers.binance.com/en/docs/catalog/core-trading-spot-trading/api/rest-api</x:v>
      </x:c>
    </x:row>
    <x:row r="580">
      <x:c r="A580" s="30" t="str">
        <x:v>SUSHIUSDT</x:v>
      </x:c>
      <x:c r="B580" s="30" t="str">
        <x:v>SUSHI</x:v>
      </x:c>
      <x:c r="C580" s="30" t="str">
        <x:v>USDT</x:v>
      </x:c>
      <x:c r="D580" s="30" t="str">
        <x:v>TRADING</x:v>
      </x:c>
      <x:c r="E580" s="31" t="b">
        <x:v>1</x:v>
      </x:c>
      <x:c r="F580" s="32" t="n">
        <x:v>44075</x:v>
      </x:c>
      <x:c r="G580" s="32" t="n">
        <x:v>44075.999999988424</x:v>
      </x:c>
      <x:c r="H580" s="33" t="n">
        <x:f>IF(F580="","",('Summary'!$B$5-F580)/365.25)</x:f>
        <x:v>5.919267601148378</x:v>
      </x:c>
      <x:c r="I580" s="34" t="n">
        <x:v>0.1554</x:v>
      </x:c>
      <x:c r="J580" s="35" t="n">
        <x:v>0.024390000000000002</x:v>
      </x:c>
      <x:c r="K580" s="36" t="n">
        <x:v>780166.4</x:v>
      </x:c>
      <x:c r="L580" s="36" t="n">
        <x:v>121363.51136</x:v>
      </x:c>
      <x:c r="M580" s="37" t="n">
        <x:v>1741</x:v>
      </x:c>
      <x:c r="N580" s="34" t="n">
        <x:v>0.1554</x:v>
      </x:c>
      <x:c r="O580" s="34" t="n">
        <x:v>0.1555</x:v>
      </x:c>
      <x:c r="P580" s="38" t="n">
        <x:f>IF(OR(N580="",O580="",N580=0,O580=0),"",(O580-N580)/((O580+N580)/2))</x:f>
        <x:v>0.000643293663557343</x:v>
      </x:c>
      <x:c r="Q580" s="34" t="n">
        <x:v>0.15556106</x:v>
      </x:c>
      <x:c r="R580" s="34" t="n">
        <x:v>0.1571</x:v>
      </x:c>
      <x:c r="S580" s="34" t="n">
        <x:v>0.1517</x:v>
      </x:c>
      <x:c r="T580" s="32" t="n">
        <x:v>46236.0118191088</x:v>
      </x:c>
      <x:c r="U580" s="32" t="n">
        <x:v>46237.0118191088</x:v>
      </x:c>
      <x:c r="V580" s="34" t="n">
        <x:v>5</x:v>
      </x:c>
      <x:c r="W580" s="34" t="n">
        <x:v>0.1</x:v>
      </x:c>
      <x:c r="X580" s="34" t="n">
        <x:v>0.1</x:v>
      </x:c>
      <x:c r="Y580" s="34" t="n">
        <x:v>0.0001</x:v>
      </x:c>
      <x:c r="Z580" s="30" t="str">
        <x:f>IF(AND(D580="TRADING",I580&lt;&gt;"",L580&lt;&gt;"",M580&lt;&gt;"",N580&lt;&gt;"",O580&lt;&gt;""),"Yes","No")</x:f>
        <x:v>Yes</x:v>
      </x:c>
      <x:c r="AA580" s="39" t="str">
        <x:v>https://developers.binance.com/en/docs/catalog/core-trading-spot-trading/api/rest-api</x:v>
      </x:c>
    </x:row>
    <x:row r="581">
      <x:c r="A581" s="30" t="str">
        <x:v>SXPUSDT</x:v>
      </x:c>
      <x:c r="B581" s="30" t="str">
        <x:v>SXP</x:v>
      </x:c>
      <x:c r="C581" s="30" t="str">
        <x:v>USDT</x:v>
      </x:c>
      <x:c r="D581" s="30" t="str">
        <x:v>BREAK</x:v>
      </x:c>
      <x:c r="E581" s="31" t="b">
        <x:v>1</x:v>
      </x:c>
      <x:c r="F581" s="32" t="n">
        <x:v>44032</x:v>
      </x:c>
      <x:c r="G581" s="32" t="n">
        <x:v>44032.999999988424</x:v>
      </x:c>
      <x:c r="H581" s="33" t="n">
        <x:f>IF(F581="","",('Summary'!$B$5-F581)/365.25)</x:f>
        <x:v>6.0369951849950585</x:v>
      </x:c>
      <x:c r="I581" s="34" t="n">
        <x:v>0.0022</x:v>
      </x:c>
      <x:c r="J581" s="35" t="n">
        <x:v>-0.45</x:v>
      </x:c>
      <x:c r="K581" s="36" t="n">
        <x:v>260225225.7</x:v>
      </x:c>
      <x:c r="L581" s="36" t="n">
        <x:v>829784.86163</x:v>
      </x:c>
      <x:c r="M581" s="37" t="n">
        <x:v>8496</x:v>
      </x:c>
      <x:c r="N581" s="34" t="n">
        <x:v>0</x:v>
      </x:c>
      <x:c r="O581" s="34" t="n">
        <x:v>0</x:v>
      </x:c>
      <x:c r="P581" s="38" t="str">
        <x:f>IF(OR(N581="",O581="",N581=0,O581=0),"",(O581-N581)/((O581+N581)/2))</x:f>
      </x:c>
      <x:c r="Q581" s="34" t="n">
        <x:v>0.00318872</x:v>
      </x:c>
      <x:c r="R581" s="34" t="n">
        <x:v>0.0042</x:v>
      </x:c>
      <x:c r="S581" s="34" t="n">
        <x:v>0.0019</x:v>
      </x:c>
      <x:c r="T581" s="32" t="n">
        <x:v>46209.26112309028</x:v>
      </x:c>
      <x:c r="U581" s="32" t="n">
        <x:v>46210.26112309028</x:v>
      </x:c>
      <x:c r="V581" s="34" t="n">
        <x:v>5</x:v>
      </x:c>
      <x:c r="W581" s="34" t="n">
        <x:v>0.1</x:v>
      </x:c>
      <x:c r="X581" s="34" t="n">
        <x:v>0.1</x:v>
      </x:c>
      <x:c r="Y581" s="34" t="n">
        <x:v>0.0001</x:v>
      </x:c>
      <x:c r="Z581" s="30" t="str">
        <x:f>IF(AND(D581="TRADING",I581&lt;&gt;"",L581&lt;&gt;"",M581&lt;&gt;"",N581&lt;&gt;"",O581&lt;&gt;""),"Yes","No")</x:f>
        <x:v>No</x:v>
      </x:c>
      <x:c r="AA581" s="39" t="str">
        <x:v>https://developers.binance.com/en/docs/catalog/core-trading-spot-trading/api/rest-api</x:v>
      </x:c>
    </x:row>
    <x:row r="582">
      <x:c r="A582" s="30" t="str">
        <x:v>SXTUSDT</x:v>
      </x:c>
      <x:c r="B582" s="30" t="str">
        <x:v>SXT</x:v>
      </x:c>
      <x:c r="C582" s="30" t="str">
        <x:v>USDT</x:v>
      </x:c>
      <x:c r="D582" s="30" t="str">
        <x:v>TRADING</x:v>
      </x:c>
      <x:c r="E582" s="31" t="b">
        <x:v>1</x:v>
      </x:c>
      <x:c r="F582" s="32" t="n">
        <x:v>45785</x:v>
      </x:c>
      <x:c r="G582" s="32" t="n">
        <x:v>45785.999999988424</x:v>
      </x:c>
      <x:c r="H582" s="33" t="n">
        <x:f>IF(F582="","",('Summary'!$B$5-F582)/365.25)</x:f>
        <x:v>1.2375427551524845</x:v>
      </x:c>
      <x:c r="I582" s="34" t="n">
        <x:v>0.00689</x:v>
      </x:c>
      <x:c r="J582" s="35" t="n">
        <x:v>0.01773</x:v>
      </x:c>
      <x:c r="K582" s="36" t="n">
        <x:v>28082054.2</x:v>
      </x:c>
      <x:c r="L582" s="36" t="n">
        <x:v>193536.839263</x:v>
      </x:c>
      <x:c r="M582" s="37" t="n">
        <x:v>2441</x:v>
      </x:c>
      <x:c r="N582" s="34" t="n">
        <x:v>0.00688</x:v>
      </x:c>
      <x:c r="O582" s="34" t="n">
        <x:v>0.00689</x:v>
      </x:c>
      <x:c r="P582" s="38" t="n">
        <x:f>IF(OR(N582="",O582="",N582=0,O582=0),"",(O582-N582)/((O582+N582)/2))</x:f>
        <x:v>0.0014524328249819114</x:v>
      </x:c>
      <x:c r="Q582" s="34" t="n">
        <x:v>0.00689183</x:v>
      </x:c>
      <x:c r="R582" s="34" t="n">
        <x:v>0.00699</x:v>
      </x:c>
      <x:c r="S582" s="34" t="n">
        <x:v>0.00675</x:v>
      </x:c>
      <x:c r="T582" s="32" t="n">
        <x:v>46236.01228084491</x:v>
      </x:c>
      <x:c r="U582" s="32" t="n">
        <x:v>46237.01228084491</x:v>
      </x:c>
      <x:c r="V582" s="34" t="n">
        <x:v>5</x:v>
      </x:c>
      <x:c r="W582" s="34" t="n">
        <x:v>0.1</x:v>
      </x:c>
      <x:c r="X582" s="34" t="n">
        <x:v>0.1</x:v>
      </x:c>
      <x:c r="Y582" s="34" t="n">
        <x:v>0.00001</x:v>
      </x:c>
      <x:c r="Z582" s="30" t="str">
        <x:f>IF(AND(D582="TRADING",I582&lt;&gt;"",L582&lt;&gt;"",M582&lt;&gt;"",N582&lt;&gt;"",O582&lt;&gt;""),"Yes","No")</x:f>
        <x:v>Yes</x:v>
      </x:c>
      <x:c r="AA582" s="39" t="str">
        <x:v>https://developers.binance.com/en/docs/catalog/core-trading-spot-trading/api/rest-api</x:v>
      </x:c>
    </x:row>
    <x:row r="583">
      <x:c r="A583" s="30" t="str">
        <x:v>SYNUSDT</x:v>
      </x:c>
      <x:c r="B583" s="30" t="str">
        <x:v>SYN</x:v>
      </x:c>
      <x:c r="C583" s="30" t="str">
        <x:v>USDT</x:v>
      </x:c>
      <x:c r="D583" s="30" t="str">
        <x:v>TRADING</x:v>
      </x:c>
      <x:c r="E583" s="31" t="b">
        <x:v>1</x:v>
      </x:c>
      <x:c r="F583" s="32" t="n">
        <x:v>44979</x:v>
      </x:c>
      <x:c r="G583" s="32" t="n">
        <x:v>44979.999999988424</x:v>
      </x:c>
      <x:c r="H583" s="33" t="n">
        <x:f>IF(F583="","",('Summary'!$B$5-F583)/365.25)</x:f>
        <x:v>3.4442504895809583</x:v>
      </x:c>
      <x:c r="I583" s="34" t="n">
        <x:v>0.0892</x:v>
      </x:c>
      <x:c r="J583" s="35" t="n">
        <x:v>0.02388</x:v>
      </x:c>
      <x:c r="K583" s="36" t="n">
        <x:v>36425432.5</x:v>
      </x:c>
      <x:c r="L583" s="36" t="n">
        <x:v>3338335.854432</x:v>
      </x:c>
      <x:c r="M583" s="37" t="n">
        <x:v>41706</x:v>
      </x:c>
      <x:c r="N583" s="34" t="n">
        <x:v>0.08918</x:v>
      </x:c>
      <x:c r="O583" s="34" t="n">
        <x:v>0.08924</x:v>
      </x:c>
      <x:c r="P583" s="38" t="n">
        <x:f>IF(OR(N583="",O583="",N583=0,O583=0),"",(O583-N583)/((O583+N583)/2))</x:f>
        <x:v>0.0006725703396480719</x:v>
      </x:c>
      <x:c r="Q583" s="34" t="n">
        <x:v>0.09164849</x:v>
      </x:c>
      <x:c r="R583" s="34" t="n">
        <x:v>0.09672</x:v>
      </x:c>
      <x:c r="S583" s="34" t="n">
        <x:v>0.08672</x:v>
      </x:c>
      <x:c r="T583" s="32" t="n">
        <x:v>46236.01248989583</x:v>
      </x:c>
      <x:c r="U583" s="32" t="n">
        <x:v>46237.01248989583</x:v>
      </x:c>
      <x:c r="V583" s="34" t="n">
        <x:v>5</x:v>
      </x:c>
      <x:c r="W583" s="34" t="n">
        <x:v>0.1</x:v>
      </x:c>
      <x:c r="X583" s="34" t="n">
        <x:v>0.1</x:v>
      </x:c>
      <x:c r="Y583" s="34" t="n">
        <x:v>0.00001</x:v>
      </x:c>
      <x:c r="Z583" s="30" t="str">
        <x:f>IF(AND(D583="TRADING",I583&lt;&gt;"",L583&lt;&gt;"",M583&lt;&gt;"",N583&lt;&gt;"",O583&lt;&gt;""),"Yes","No")</x:f>
        <x:v>Yes</x:v>
      </x:c>
      <x:c r="AA583" s="39" t="str">
        <x:v>https://developers.binance.com/en/docs/catalog/core-trading-spot-trading/api/rest-api</x:v>
      </x:c>
    </x:row>
    <x:row r="584">
      <x:c r="A584" s="30" t="str">
        <x:v>SYRUPUSDT</x:v>
      </x:c>
      <x:c r="B584" s="30" t="str">
        <x:v>SYRUP</x:v>
      </x:c>
      <x:c r="C584" s="30" t="str">
        <x:v>USDT</x:v>
      </x:c>
      <x:c r="D584" s="30" t="str">
        <x:v>TRADING</x:v>
      </x:c>
      <x:c r="E584" s="31" t="b">
        <x:v>1</x:v>
      </x:c>
      <x:c r="F584" s="32" t="n">
        <x:v>45783</x:v>
      </x:c>
      <x:c r="G584" s="32" t="n">
        <x:v>45783.999999988424</x:v>
      </x:c>
      <x:c r="H584" s="33" t="n">
        <x:f>IF(F584="","",('Summary'!$B$5-F584)/365.25)</x:f>
        <x:v>1.2430184567267486</x:v>
      </x:c>
      <x:c r="I584" s="34" t="n">
        <x:v>0.1543</x:v>
      </x:c>
      <x:c r="J584" s="35" t="n">
        <x:v>-0.01845</x:v>
      </x:c>
      <x:c r="K584" s="36" t="n">
        <x:v>2305392.5</x:v>
      </x:c>
      <x:c r="L584" s="36" t="n">
        <x:v>357711.92876</x:v>
      </x:c>
      <x:c r="M584" s="37" t="n">
        <x:v>8708</x:v>
      </x:c>
      <x:c r="N584" s="34" t="n">
        <x:v>0.1543</x:v>
      </x:c>
      <x:c r="O584" s="34" t="n">
        <x:v>0.1544</x:v>
      </x:c>
      <x:c r="P584" s="38" t="n">
        <x:f>IF(OR(N584="",O584="",N584=0,O584=0),"",(O584-N584)/((O584+N584)/2))</x:f>
        <x:v>0.0006478781988987156</x:v>
      </x:c>
      <x:c r="Q584" s="34" t="n">
        <x:v>0.15516314</x:v>
      </x:c>
      <x:c r="R584" s="34" t="n">
        <x:v>0.1574</x:v>
      </x:c>
      <x:c r="S584" s="34" t="n">
        <x:v>0.1529</x:v>
      </x:c>
      <x:c r="T584" s="32" t="n">
        <x:v>46236.01247952546</x:v>
      </x:c>
      <x:c r="U584" s="32" t="n">
        <x:v>46237.01247952546</x:v>
      </x:c>
      <x:c r="V584" s="34" t="n">
        <x:v>5</x:v>
      </x:c>
      <x:c r="W584" s="34" t="n">
        <x:v>0.1</x:v>
      </x:c>
      <x:c r="X584" s="34" t="n">
        <x:v>0.1</x:v>
      </x:c>
      <x:c r="Y584" s="34" t="n">
        <x:v>0.0001</x:v>
      </x:c>
      <x:c r="Z584" s="30" t="str">
        <x:f>IF(AND(D584="TRADING",I584&lt;&gt;"",L584&lt;&gt;"",M584&lt;&gt;"",N584&lt;&gt;"",O584&lt;&gt;""),"Yes","No")</x:f>
        <x:v>Yes</x:v>
      </x:c>
      <x:c r="AA584" s="39" t="str">
        <x:v>https://developers.binance.com/en/docs/catalog/core-trading-spot-trading/api/rest-api</x:v>
      </x:c>
    </x:row>
    <x:row r="585">
      <x:c r="A585" s="30" t="str">
        <x:v>SYSUSDT</x:v>
      </x:c>
      <x:c r="B585" s="30" t="str">
        <x:v>SYS</x:v>
      </x:c>
      <x:c r="C585" s="30" t="str">
        <x:v>USDT</x:v>
      </x:c>
      <x:c r="D585" s="30" t="str">
        <x:v>BREAK</x:v>
      </x:c>
      <x:c r="E585" s="31" t="b">
        <x:v>1</x:v>
      </x:c>
      <x:c r="F585" s="32" t="n">
        <x:v>44463</x:v>
      </x:c>
      <x:c r="G585" s="32" t="n">
        <x:v>44463.999999988424</x:v>
      </x:c>
      <x:c r="H585" s="33" t="n">
        <x:f>IF(F585="","",('Summary'!$B$5-F585)/365.25)</x:f>
        <x:v>4.856981495741122</x:v>
      </x:c>
      <x:c r="I585" s="34" t="n">
        <x:v>0.00223</x:v>
      </x:c>
      <x:c r="J585" s="35" t="n">
        <x:v>-0.23103</x:v>
      </x:c>
      <x:c r="K585" s="36" t="n">
        <x:v>296087390</x:v>
      </x:c>
      <x:c r="L585" s="36" t="n">
        <x:v>873642.81093</x:v>
      </x:c>
      <x:c r="M585" s="37" t="n">
        <x:v>26638</x:v>
      </x:c>
      <x:c r="N585" s="34" t="n">
        <x:v>0</x:v>
      </x:c>
      <x:c r="O585" s="34" t="n">
        <x:v>0</x:v>
      </x:c>
      <x:c r="P585" s="38" t="str">
        <x:f>IF(OR(N585="",O585="",N585=0,O585=0),"",(O585-N585)/((O585+N585)/2))</x:f>
      </x:c>
      <x:c r="Q585" s="34" t="n">
        <x:v>0.00295062</x:v>
      </x:c>
      <x:c r="R585" s="34" t="n">
        <x:v>0.00538</x:v>
      </x:c>
      <x:c r="S585" s="34" t="n">
        <x:v>0.00193</x:v>
      </x:c>
      <x:c r="T585" s="32" t="n">
        <x:v>46209.26112309028</x:v>
      </x:c>
      <x:c r="U585" s="32" t="n">
        <x:v>46210.26112309028</x:v>
      </x:c>
      <x:c r="V585" s="34" t="n">
        <x:v>5</x:v>
      </x:c>
      <x:c r="W585" s="34" t="n">
        <x:v>1</x:v>
      </x:c>
      <x:c r="X585" s="34" t="n">
        <x:v>1</x:v>
      </x:c>
      <x:c r="Y585" s="34" t="n">
        <x:v>0.00001</x:v>
      </x:c>
      <x:c r="Z585" s="30" t="str">
        <x:f>IF(AND(D585="TRADING",I585&lt;&gt;"",L585&lt;&gt;"",M585&lt;&gt;"",N585&lt;&gt;"",O585&lt;&gt;""),"Yes","No")</x:f>
        <x:v>No</x:v>
      </x:c>
      <x:c r="AA585" s="39" t="str">
        <x:v>https://developers.binance.com/en/docs/catalog/core-trading-spot-trading/api/rest-api</x:v>
      </x:c>
    </x:row>
    <x:row r="586">
      <x:c r="A586" s="30" t="str">
        <x:v>TAOUSDT</x:v>
      </x:c>
      <x:c r="B586" s="30" t="str">
        <x:v>TAO</x:v>
      </x:c>
      <x:c r="C586" s="30" t="str">
        <x:v>USDT</x:v>
      </x:c>
      <x:c r="D586" s="30" t="str">
        <x:v>TRADING</x:v>
      </x:c>
      <x:c r="E586" s="31" t="b">
        <x:v>1</x:v>
      </x:c>
      <x:c r="F586" s="32" t="n">
        <x:v>45393</x:v>
      </x:c>
      <x:c r="G586" s="32" t="n">
        <x:v>45393.999999988424</x:v>
      </x:c>
      <x:c r="H586" s="33" t="n">
        <x:f>IF(F586="","",('Summary'!$B$5-F586)/365.25)</x:f>
        <x:v>2.3107802637082684</x:v>
      </x:c>
      <x:c r="I586" s="34" t="n">
        <x:v>191.6</x:v>
      </x:c>
      <x:c r="J586" s="35" t="n">
        <x:v>-0.00416</x:v>
      </x:c>
      <x:c r="K586" s="36" t="n">
        <x:v>25321.1636</x:v>
      </x:c>
      <x:c r="L586" s="36" t="n">
        <x:v>4900527.03762</x:v>
      </x:c>
      <x:c r="M586" s="37" t="n">
        <x:v>29410</x:v>
      </x:c>
      <x:c r="N586" s="34" t="n">
        <x:v>191.5</x:v>
      </x:c>
      <x:c r="O586" s="34" t="n">
        <x:v>191.6</x:v>
      </x:c>
      <x:c r="P586" s="38" t="n">
        <x:f>IF(OR(N586="",O586="",N586=0,O586=0),"",(O586-N586)/((O586+N586)/2))</x:f>
        <x:v>0.0005220569042025284</x:v>
      </x:c>
      <x:c r="Q586" s="34" t="n">
        <x:v>193.53482782</x:v>
      </x:c>
      <x:c r="R586" s="34" t="n">
        <x:v>195.9</x:v>
      </x:c>
      <x:c r="S586" s="34" t="n">
        <x:v>191.2</x:v>
      </x:c>
      <x:c r="T586" s="32" t="n">
        <x:v>46236.012481956015</x:v>
      </x:c>
      <x:c r="U586" s="32" t="n">
        <x:v>46237.012481956015</x:v>
      </x:c>
      <x:c r="V586" s="34" t="n">
        <x:v>5</x:v>
      </x:c>
      <x:c r="W586" s="34" t="n">
        <x:v>0.0001</x:v>
      </x:c>
      <x:c r="X586" s="34" t="n">
        <x:v>0.0001</x:v>
      </x:c>
      <x:c r="Y586" s="34" t="n">
        <x:v>0.1</x:v>
      </x:c>
      <x:c r="Z586" s="30" t="str">
        <x:f>IF(AND(D586="TRADING",I586&lt;&gt;"",L586&lt;&gt;"",M586&lt;&gt;"",N586&lt;&gt;"",O586&lt;&gt;""),"Yes","No")</x:f>
        <x:v>Yes</x:v>
      </x:c>
      <x:c r="AA586" s="39" t="str">
        <x:v>https://developers.binance.com/en/docs/catalog/core-trading-spot-trading/api/rest-api</x:v>
      </x:c>
    </x:row>
    <x:row r="587">
      <x:c r="A587" s="30" t="str">
        <x:v>TCTUSDT</x:v>
      </x:c>
      <x:c r="B587" s="30" t="str">
        <x:v>TCT</x:v>
      </x:c>
      <x:c r="C587" s="30" t="str">
        <x:v>USDT</x:v>
      </x:c>
      <x:c r="D587" s="30" t="str">
        <x:v>BREAK</x:v>
      </x:c>
      <x:c r="E587" s="31" t="b">
        <x:v>1</x:v>
      </x:c>
      <x:c r="F587" s="32" t="n">
        <x:v>43851</x:v>
      </x:c>
      <x:c r="G587" s="32" t="n">
        <x:v>43851.999999988424</x:v>
      </x:c>
      <x:c r="H587" s="33" t="n">
        <x:f>IF(F587="","",('Summary'!$B$5-F587)/365.25)</x:f>
        <x:v>6.532546177465968</x:v>
      </x:c>
      <x:c r="I587" s="34" t="n">
        <x:v>0.00312</x:v>
      </x:c>
      <x:c r="J587" s="35" t="n">
        <x:v>-0.06587</x:v>
      </x:c>
      <x:c r="K587" s="36" t="n">
        <x:v>152215525</x:v>
      </x:c>
      <x:c r="L587" s="36" t="n">
        <x:v>502387.03863</x:v>
      </x:c>
      <x:c r="M587" s="37" t="n">
        <x:v>4001</x:v>
      </x:c>
      <x:c r="N587" s="34" t="n">
        <x:v>0</x:v>
      </x:c>
      <x:c r="O587" s="34" t="n">
        <x:v>0</x:v>
      </x:c>
      <x:c r="P587" s="38" t="str">
        <x:f>IF(OR(N587="",O587="",N587=0,O587=0),"",(O587-N587)/((O587+N587)/2))</x:f>
      </x:c>
      <x:c r="Q587" s="34" t="n">
        <x:v>0.0033005</x:v>
      </x:c>
      <x:c r="R587" s="34" t="n">
        <x:v>0.00346</x:v>
      </x:c>
      <x:c r="S587" s="34" t="n">
        <x:v>0.0031</x:v>
      </x:c>
      <x:c r="T587" s="32" t="n">
        <x:v>46209.26112309028</x:v>
      </x:c>
      <x:c r="U587" s="32" t="n">
        <x:v>46210.26112309028</x:v>
      </x:c>
      <x:c r="V587" s="34" t="n">
        <x:v>10</x:v>
      </x:c>
      <x:c r="W587" s="34" t="n">
        <x:v>1</x:v>
      </x:c>
      <x:c r="X587" s="34" t="n">
        <x:v>1</x:v>
      </x:c>
      <x:c r="Y587" s="34" t="n">
        <x:v>0.00001</x:v>
      </x:c>
      <x:c r="Z587" s="30" t="str">
        <x:f>IF(AND(D587="TRADING",I587&lt;&gt;"",L587&lt;&gt;"",M587&lt;&gt;"",N587&lt;&gt;"",O587&lt;&gt;""),"Yes","No")</x:f>
        <x:v>No</x:v>
      </x:c>
      <x:c r="AA587" s="39" t="str">
        <x:v>https://developers.binance.com/en/docs/catalog/core-trading-spot-trading/api/rest-api</x:v>
      </x:c>
    </x:row>
    <x:row r="588">
      <x:c r="A588" s="30" t="str">
        <x:v>TFUELUSDT</x:v>
      </x:c>
      <x:c r="B588" s="30" t="str">
        <x:v>TFUEL</x:v>
      </x:c>
      <x:c r="C588" s="30" t="str">
        <x:v>USDT</x:v>
      </x:c>
      <x:c r="D588" s="30" t="str">
        <x:v>TRADING</x:v>
      </x:c>
      <x:c r="E588" s="31" t="b">
        <x:v>1</x:v>
      </x:c>
      <x:c r="F588" s="32" t="n">
        <x:v>43609</x:v>
      </x:c>
      <x:c r="G588" s="32" t="n">
        <x:v>43609.999999988424</x:v>
      </x:c>
      <x:c r="H588" s="33" t="n">
        <x:f>IF(F588="","",('Summary'!$B$5-F588)/365.25)</x:f>
        <x:v>7.1951060679519365</x:v>
      </x:c>
      <x:c r="I588" s="34" t="n">
        <x:v>0.00737</x:v>
      </x:c>
      <x:c r="J588" s="35" t="n">
        <x:v>0.01655</x:v>
      </x:c>
      <x:c r="K588" s="36" t="n">
        <x:v>5922350</x:v>
      </x:c>
      <x:c r="L588" s="36" t="n">
        <x:v>43346.84776</x:v>
      </x:c>
      <x:c r="M588" s="37" t="n">
        <x:v>1053</x:v>
      </x:c>
      <x:c r="N588" s="34" t="n">
        <x:v>0.00735</x:v>
      </x:c>
      <x:c r="O588" s="34" t="n">
        <x:v>0.00737</x:v>
      </x:c>
      <x:c r="P588" s="38" t="n">
        <x:f>IF(OR(N588="",O588="",N588=0,O588=0),"",(O588-N588)/((O588+N588)/2))</x:f>
        <x:v>0.002717391304347833</x:v>
      </x:c>
      <x:c r="Q588" s="34" t="n">
        <x:v>0.0073192</x:v>
      </x:c>
      <x:c r="R588" s="34" t="n">
        <x:v>0.0074</x:v>
      </x:c>
      <x:c r="S588" s="34" t="n">
        <x:v>0.00724</x:v>
      </x:c>
      <x:c r="T588" s="32" t="n">
        <x:v>46236.01179568287</x:v>
      </x:c>
      <x:c r="U588" s="32" t="n">
        <x:v>46237.01179568287</x:v>
      </x:c>
      <x:c r="V588" s="34" t="n">
        <x:v>5</x:v>
      </x:c>
      <x:c r="W588" s="34" t="n">
        <x:v>1</x:v>
      </x:c>
      <x:c r="X588" s="34" t="n">
        <x:v>1</x:v>
      </x:c>
      <x:c r="Y588" s="34" t="n">
        <x:v>0.00001</x:v>
      </x:c>
      <x:c r="Z588" s="30" t="str">
        <x:f>IF(AND(D588="TRADING",I588&lt;&gt;"",L588&lt;&gt;"",M588&lt;&gt;"",N588&lt;&gt;"",O588&lt;&gt;""),"Yes","No")</x:f>
        <x:v>Yes</x:v>
      </x:c>
      <x:c r="AA588" s="39" t="str">
        <x:v>https://developers.binance.com/en/docs/catalog/core-trading-spot-trading/api/rest-api</x:v>
      </x:c>
    </x:row>
    <x:row r="589">
      <x:c r="A589" s="30" t="str">
        <x:v>THETAUSDT</x:v>
      </x:c>
      <x:c r="B589" s="30" t="str">
        <x:v>THETA</x:v>
      </x:c>
      <x:c r="C589" s="30" t="str">
        <x:v>USDT</x:v>
      </x:c>
      <x:c r="D589" s="30" t="str">
        <x:v>TRADING</x:v>
      </x:c>
      <x:c r="E589" s="31" t="b">
        <x:v>1</x:v>
      </x:c>
      <x:c r="F589" s="32" t="n">
        <x:v>43565</x:v>
      </x:c>
      <x:c r="G589" s="32" t="n">
        <x:v>43565.999999988424</x:v>
      </x:c>
      <x:c r="H589" s="33" t="n">
        <x:f>IF(F589="","",('Summary'!$B$5-F589)/365.25)</x:f>
        <x:v>7.315571502585749</x:v>
      </x:c>
      <x:c r="I589" s="34" t="n">
        <x:v>0.1253</x:v>
      </x:c>
      <x:c r="J589" s="35" t="n">
        <x:v>-0.0008</x:v>
      </x:c>
      <x:c r="K589" s="36" t="n">
        <x:v>801896.3</x:v>
      </x:c>
      <x:c r="L589" s="36" t="n">
        <x:v>100829.78902</x:v>
      </x:c>
      <x:c r="M589" s="37" t="n">
        <x:v>1533</x:v>
      </x:c>
      <x:c r="N589" s="34" t="n">
        <x:v>0.1252</x:v>
      </x:c>
      <x:c r="O589" s="34" t="n">
        <x:v>0.1253</x:v>
      </x:c>
      <x:c r="P589" s="38" t="n">
        <x:f>IF(OR(N589="",O589="",N589=0,O589=0),"",(O589-N589)/((O589+N589)/2))</x:f>
        <x:v>0.0007984031936126865</x:v>
      </x:c>
      <x:c r="Q589" s="34" t="n">
        <x:v>0.12573919</x:v>
      </x:c>
      <x:c r="R589" s="34" t="n">
        <x:v>0.1271</x:v>
      </x:c>
      <x:c r="S589" s="34" t="n">
        <x:v>0.1242</x:v>
      </x:c>
      <x:c r="T589" s="32" t="n">
        <x:v>46236.01151365741</x:v>
      </x:c>
      <x:c r="U589" s="32" t="n">
        <x:v>46237.01151365741</x:v>
      </x:c>
      <x:c r="V589" s="34" t="n">
        <x:v>5</x:v>
      </x:c>
      <x:c r="W589" s="34" t="n">
        <x:v>0.1</x:v>
      </x:c>
      <x:c r="X589" s="34" t="n">
        <x:v>0.1</x:v>
      </x:c>
      <x:c r="Y589" s="34" t="n">
        <x:v>0.0001</x:v>
      </x:c>
      <x:c r="Z589" s="30" t="str">
        <x:f>IF(AND(D589="TRADING",I589&lt;&gt;"",L589&lt;&gt;"",M589&lt;&gt;"",N589&lt;&gt;"",O589&lt;&gt;""),"Yes","No")</x:f>
        <x:v>Yes</x:v>
      </x:c>
      <x:c r="AA589" s="39" t="str">
        <x:v>https://developers.binance.com/en/docs/catalog/core-trading-spot-trading/api/rest-api</x:v>
      </x:c>
    </x:row>
    <x:row r="590">
      <x:c r="A590" s="30" t="str">
        <x:v>THEUSDT</x:v>
      </x:c>
      <x:c r="B590" s="30" t="str">
        <x:v>THE</x:v>
      </x:c>
      <x:c r="C590" s="30" t="str">
        <x:v>USDT</x:v>
      </x:c>
      <x:c r="D590" s="30" t="str">
        <x:v>TRADING</x:v>
      </x:c>
      <x:c r="E590" s="31" t="b">
        <x:v>1</x:v>
      </x:c>
      <x:c r="F590" s="32" t="n">
        <x:v>45623</x:v>
      </x:c>
      <x:c r="G590" s="32" t="n">
        <x:v>45623.999999988424</x:v>
      </x:c>
      <x:c r="H590" s="33" t="n">
        <x:f>IF(F590="","",('Summary'!$B$5-F590)/365.25)</x:f>
        <x:v>1.681074582667885</x:v>
      </x:c>
      <x:c r="I590" s="34" t="n">
        <x:v>0.051</x:v>
      </x:c>
      <x:c r="J590" s="35" t="n">
        <x:v>0</x:v>
      </x:c>
      <x:c r="K590" s="36" t="n">
        <x:v>2495528.9</x:v>
      </x:c>
      <x:c r="L590" s="36" t="n">
        <x:v>128226.77198</x:v>
      </x:c>
      <x:c r="M590" s="37" t="n">
        <x:v>1764</x:v>
      </x:c>
      <x:c r="N590" s="34" t="n">
        <x:v>0.051</x:v>
      </x:c>
      <x:c r="O590" s="34" t="n">
        <x:v>0.0511</x:v>
      </x:c>
      <x:c r="P590" s="38" t="n">
        <x:f>IF(OR(N590="",O590="",N590=0,O590=0),"",(O590-N590)/((O590+N590)/2))</x:f>
        <x:v>0.001958863858961858</x:v>
      </x:c>
      <x:c r="Q590" s="34" t="n">
        <x:v>0.0513826</x:v>
      </x:c>
      <x:c r="R590" s="34" t="n">
        <x:v>0.0521</x:v>
      </x:c>
      <x:c r="S590" s="34" t="n">
        <x:v>0.0506</x:v>
      </x:c>
      <x:c r="T590" s="32" t="n">
        <x:v>46236.012323773146</x:v>
      </x:c>
      <x:c r="U590" s="32" t="n">
        <x:v>46237.012323773146</x:v>
      </x:c>
      <x:c r="V590" s="34" t="n">
        <x:v>5</x:v>
      </x:c>
      <x:c r="W590" s="34" t="n">
        <x:v>0.1</x:v>
      </x:c>
      <x:c r="X590" s="34" t="n">
        <x:v>0.1</x:v>
      </x:c>
      <x:c r="Y590" s="34" t="n">
        <x:v>0.0001</x:v>
      </x:c>
      <x:c r="Z590" s="30" t="str">
        <x:f>IF(AND(D590="TRADING",I590&lt;&gt;"",L590&lt;&gt;"",M590&lt;&gt;"",N590&lt;&gt;"",O590&lt;&gt;""),"Yes","No")</x:f>
        <x:v>Yes</x:v>
      </x:c>
      <x:c r="AA590" s="39" t="str">
        <x:v>https://developers.binance.com/en/docs/catalog/core-trading-spot-trading/api/rest-api</x:v>
      </x:c>
    </x:row>
    <x:row r="591">
      <x:c r="A591" s="30" t="str">
        <x:v>TIAUSDT</x:v>
      </x:c>
      <x:c r="B591" s="30" t="str">
        <x:v>TIA</x:v>
      </x:c>
      <x:c r="C591" s="30" t="str">
        <x:v>USDT</x:v>
      </x:c>
      <x:c r="D591" s="30" t="str">
        <x:v>TRADING</x:v>
      </x:c>
      <x:c r="E591" s="31" t="b">
        <x:v>1</x:v>
      </x:c>
      <x:c r="F591" s="32" t="n">
        <x:v>45230</x:v>
      </x:c>
      <x:c r="G591" s="32" t="n">
        <x:v>45230.999999988424</x:v>
      </x:c>
      <x:c r="H591" s="33" t="n">
        <x:f>IF(F591="","",('Summary'!$B$5-F591)/365.25)</x:f>
        <x:v>2.757049942010801</x:v>
      </x:c>
      <x:c r="I591" s="34" t="n">
        <x:v>0.3296</x:v>
      </x:c>
      <x:c r="J591" s="35" t="n">
        <x:v>0.02519</x:v>
      </x:c>
      <x:c r="K591" s="36" t="n">
        <x:v>2830254.18</x:v>
      </x:c>
      <x:c r="L591" s="36" t="n">
        <x:v>932567.936799</x:v>
      </x:c>
      <x:c r="M591" s="37" t="n">
        <x:v>17400</x:v>
      </x:c>
      <x:c r="N591" s="34" t="n">
        <x:v>0.3296</x:v>
      </x:c>
      <x:c r="O591" s="34" t="n">
        <x:v>0.3297</x:v>
      </x:c>
      <x:c r="P591" s="38" t="n">
        <x:f>IF(OR(N591="",O591="",N591=0,O591=0),"",(O591-N591)/((O591+N591)/2))</x:f>
        <x:v>0.0003033520400424359</x:v>
      </x:c>
      <x:c r="Q591" s="34" t="n">
        <x:v>0.32949971</x:v>
      </x:c>
      <x:c r="R591" s="34" t="n">
        <x:v>0.3328</x:v>
      </x:c>
      <x:c r="S591" s="34" t="n">
        <x:v>0.3208</x:v>
      </x:c>
      <x:c r="T591" s="32" t="n">
        <x:v>46236.012467326385</x:v>
      </x:c>
      <x:c r="U591" s="32" t="n">
        <x:v>46237.012467326385</x:v>
      </x:c>
      <x:c r="V591" s="34" t="n">
        <x:v>5</x:v>
      </x:c>
      <x:c r="W591" s="34" t="n">
        <x:v>0.01</x:v>
      </x:c>
      <x:c r="X591" s="34" t="n">
        <x:v>0.01</x:v>
      </x:c>
      <x:c r="Y591" s="34" t="n">
        <x:v>0.0001</x:v>
      </x:c>
      <x:c r="Z591" s="30" t="str">
        <x:f>IF(AND(D591="TRADING",I591&lt;&gt;"",L591&lt;&gt;"",M591&lt;&gt;"",N591&lt;&gt;"",O591&lt;&gt;""),"Yes","No")</x:f>
        <x:v>Yes</x:v>
      </x:c>
      <x:c r="AA591" s="39" t="str">
        <x:v>https://developers.binance.com/en/docs/catalog/core-trading-spot-trading/api/rest-api</x:v>
      </x:c>
    </x:row>
    <x:row r="592">
      <x:c r="A592" s="30" t="str">
        <x:v>TKOUSDT</x:v>
      </x:c>
      <x:c r="B592" s="30" t="str">
        <x:v>TKO</x:v>
      </x:c>
      <x:c r="C592" s="30" t="str">
        <x:v>USDT</x:v>
      </x:c>
      <x:c r="D592" s="30" t="str">
        <x:v>TRADING</x:v>
      </x:c>
      <x:c r="E592" s="31" t="b">
        <x:v>1</x:v>
      </x:c>
      <x:c r="F592" s="32" t="n">
        <x:v>44293</x:v>
      </x:c>
      <x:c r="G592" s="32" t="n">
        <x:v>44293.999999988424</x:v>
      </x:c>
      <x:c r="H592" s="33" t="n">
        <x:f>IF(F592="","",('Summary'!$B$5-F592)/365.25)</x:f>
        <x:v>5.32241612955358</x:v>
      </x:c>
      <x:c r="I592" s="34" t="n">
        <x:v>0.0483</x:v>
      </x:c>
      <x:c r="J592" s="35" t="n">
        <x:v>0.0432</x:v>
      </x:c>
      <x:c r="K592" s="36" t="n">
        <x:v>3373845.4</x:v>
      </x:c>
      <x:c r="L592" s="36" t="n">
        <x:v>160452.00206</x:v>
      </x:c>
      <x:c r="M592" s="37" t="n">
        <x:v>4477</x:v>
      </x:c>
      <x:c r="N592" s="34" t="n">
        <x:v>0.0482</x:v>
      </x:c>
      <x:c r="O592" s="34" t="n">
        <x:v>0.0483</x:v>
      </x:c>
      <x:c r="P592" s="38" t="n">
        <x:f>IF(OR(N592="",O592="",N592=0,O592=0),"",(O592-N592)/((O592+N592)/2))</x:f>
        <x:v>0.0020725388601036863</x:v>
      </x:c>
      <x:c r="Q592" s="34" t="n">
        <x:v>0.0475576</x:v>
      </x:c>
      <x:c r="R592" s="34" t="n">
        <x:v>0.0495</x:v>
      </x:c>
      <x:c r="S592" s="34" t="n">
        <x:v>0.0461</x:v>
      </x:c>
      <x:c r="T592" s="32" t="n">
        <x:v>46236.01237900463</x:v>
      </x:c>
      <x:c r="U592" s="32" t="n">
        <x:v>46237.01237900463</x:v>
      </x:c>
      <x:c r="V592" s="34" t="n">
        <x:v>5</x:v>
      </x:c>
      <x:c r="W592" s="34" t="n">
        <x:v>0.1</x:v>
      </x:c>
      <x:c r="X592" s="34" t="n">
        <x:v>0.1</x:v>
      </x:c>
      <x:c r="Y592" s="34" t="n">
        <x:v>0.0001</x:v>
      </x:c>
      <x:c r="Z592" s="30" t="str">
        <x:f>IF(AND(D592="TRADING",I592&lt;&gt;"",L592&lt;&gt;"",M592&lt;&gt;"",N592&lt;&gt;"",O592&lt;&gt;""),"Yes","No")</x:f>
        <x:v>Yes</x:v>
      </x:c>
      <x:c r="AA592" s="39" t="str">
        <x:v>https://developers.binance.com/en/docs/catalog/core-trading-spot-trading/api/rest-api</x:v>
      </x:c>
    </x:row>
    <x:row r="593">
      <x:c r="A593" s="30" t="str">
        <x:v>TLMUSDT</x:v>
      </x:c>
      <x:c r="B593" s="30" t="str">
        <x:v>TLM</x:v>
      </x:c>
      <x:c r="C593" s="30" t="str">
        <x:v>USDT</x:v>
      </x:c>
      <x:c r="D593" s="30" t="str">
        <x:v>TRADING</x:v>
      </x:c>
      <x:c r="E593" s="31" t="b">
        <x:v>1</x:v>
      </x:c>
      <x:c r="F593" s="32" t="n">
        <x:v>44299</x:v>
      </x:c>
      <x:c r="G593" s="32" t="n">
        <x:v>44299.999999988424</x:v>
      </x:c>
      <x:c r="H593" s="33" t="n">
        <x:f>IF(F593="","",('Summary'!$B$5-F593)/365.25)</x:f>
        <x:v>5.305989024830787</x:v>
      </x:c>
      <x:c r="I593" s="34" t="n">
        <x:v>0.00162</x:v>
      </x:c>
      <x:c r="J593" s="35" t="n">
        <x:v>-0.012199999999999999</x:v>
      </x:c>
      <x:c r="K593" s="36" t="n">
        <x:v>976919343</x:v>
      </x:c>
      <x:c r="L593" s="36" t="n">
        <x:v>1616703.37657</x:v>
      </x:c>
      <x:c r="M593" s="37" t="n">
        <x:v>28290</x:v>
      </x:c>
      <x:c r="N593" s="34" t="n">
        <x:v>0.001619</x:v>
      </x:c>
      <x:c r="O593" s="34" t="n">
        <x:v>0.001621</x:v>
      </x:c>
      <x:c r="P593" s="38" t="n">
        <x:f>IF(OR(N593="",O593="",N593=0,O593=0),"",(O593-N593)/((O593+N593)/2))</x:f>
        <x:v>0.001234567901234598</x:v>
      </x:c>
      <x:c r="Q593" s="34" t="n">
        <x:v>0.0016549</x:v>
      </x:c>
      <x:c r="R593" s="34" t="n">
        <x:v>0.001747</x:v>
      </x:c>
      <x:c r="S593" s="34" t="n">
        <x:v>0.001574</x:v>
      </x:c>
      <x:c r="T593" s="32" t="n">
        <x:v>46236.01231896991</x:v>
      </x:c>
      <x:c r="U593" s="32" t="n">
        <x:v>46237.01231896991</x:v>
      </x:c>
      <x:c r="V593" s="34" t="n">
        <x:v>5</x:v>
      </x:c>
      <x:c r="W593" s="34" t="n">
        <x:v>1</x:v>
      </x:c>
      <x:c r="X593" s="34" t="n">
        <x:v>1</x:v>
      </x:c>
      <x:c r="Y593" s="34" t="n">
        <x:v>0.000001</x:v>
      </x:c>
      <x:c r="Z593" s="30" t="str">
        <x:f>IF(AND(D593="TRADING",I593&lt;&gt;"",L593&lt;&gt;"",M593&lt;&gt;"",N593&lt;&gt;"",O593&lt;&gt;""),"Yes","No")</x:f>
        <x:v>Yes</x:v>
      </x:c>
      <x:c r="AA593" s="39" t="str">
        <x:v>https://developers.binance.com/en/docs/catalog/core-trading-spot-trading/api/rest-api</x:v>
      </x:c>
    </x:row>
    <x:row r="594">
      <x:c r="A594" s="30" t="str">
        <x:v>TNSRUSDT</x:v>
      </x:c>
      <x:c r="B594" s="30" t="str">
        <x:v>TNSR</x:v>
      </x:c>
      <x:c r="C594" s="30" t="str">
        <x:v>USDT</x:v>
      </x:c>
      <x:c r="D594" s="30" t="str">
        <x:v>TRADING</x:v>
      </x:c>
      <x:c r="E594" s="31" t="b">
        <x:v>1</x:v>
      </x:c>
      <x:c r="F594" s="32" t="n">
        <x:v>45390</x:v>
      </x:c>
      <x:c r="G594" s="32" t="n">
        <x:v>45390.999999988424</x:v>
      </x:c>
      <x:c r="H594" s="33" t="n">
        <x:f>IF(F594="","",('Summary'!$B$5-F594)/365.25)</x:f>
        <x:v>2.3189938160696646</x:v>
      </x:c>
      <x:c r="I594" s="34" t="n">
        <x:v>0.0297</x:v>
      </x:c>
      <x:c r="J594" s="35" t="n">
        <x:v>-0.01</x:v>
      </x:c>
      <x:c r="K594" s="36" t="n">
        <x:v>8096341.1</x:v>
      </x:c>
      <x:c r="L594" s="36" t="n">
        <x:v>241507.95077</x:v>
      </x:c>
      <x:c r="M594" s="37" t="n">
        <x:v>2845</x:v>
      </x:c>
      <x:c r="N594" s="34" t="n">
        <x:v>0.0297</x:v>
      </x:c>
      <x:c r="O594" s="34" t="n">
        <x:v>0.0298</x:v>
      </x:c>
      <x:c r="P594" s="38" t="n">
        <x:f>IF(OR(N594="",O594="",N594=0,O594=0),"",(O594-N594)/((O594+N594)/2))</x:f>
        <x:v>0.003361344537815106</x:v>
      </x:c>
      <x:c r="Q594" s="34" t="n">
        <x:v>0.02982927</x:v>
      </x:c>
      <x:c r="R594" s="34" t="n">
        <x:v>0.0303</x:v>
      </x:c>
      <x:c r="S594" s="34" t="n">
        <x:v>0.0295</x:v>
      </x:c>
      <x:c r="T594" s="32" t="n">
        <x:v>46236.0123447338</x:v>
      </x:c>
      <x:c r="U594" s="32" t="n">
        <x:v>46237.0123447338</x:v>
      </x:c>
      <x:c r="V594" s="34" t="n">
        <x:v>5</x:v>
      </x:c>
      <x:c r="W594" s="34" t="n">
        <x:v>0.1</x:v>
      </x:c>
      <x:c r="X594" s="34" t="n">
        <x:v>0.1</x:v>
      </x:c>
      <x:c r="Y594" s="34" t="n">
        <x:v>0.0001</x:v>
      </x:c>
      <x:c r="Z594" s="30" t="str">
        <x:f>IF(AND(D594="TRADING",I594&lt;&gt;"",L594&lt;&gt;"",M594&lt;&gt;"",N594&lt;&gt;"",O594&lt;&gt;""),"Yes","No")</x:f>
        <x:v>Yes</x:v>
      </x:c>
      <x:c r="AA594" s="39" t="str">
        <x:v>https://developers.binance.com/en/docs/catalog/core-trading-spot-trading/api/rest-api</x:v>
      </x:c>
    </x:row>
    <x:row r="595">
      <x:c r="A595" s="30" t="str">
        <x:v>TOMOUSDT</x:v>
      </x:c>
      <x:c r="B595" s="30" t="str">
        <x:v>TOMO</x:v>
      </x:c>
      <x:c r="C595" s="30" t="str">
        <x:v>USDT</x:v>
      </x:c>
      <x:c r="D595" s="30" t="str">
        <x:v>BREAK</x:v>
      </x:c>
      <x:c r="E595" s="31" t="b">
        <x:v>1</x:v>
      </x:c>
      <x:c r="F595" s="32" t="n">
        <x:v>43701</x:v>
      </x:c>
      <x:c r="G595" s="32" t="n">
        <x:v>43701.999999988424</x:v>
      </x:c>
      <x:c r="H595" s="33" t="n">
        <x:f>IF(F595="","",('Summary'!$B$5-F595)/365.25)</x:f>
        <x:v>6.943223795535784</x:v>
      </x:c>
      <x:c r="I595" s="34" t="n">
        <x:v>1.3819</x:v>
      </x:c>
      <x:c r="J595" s="35" t="n">
        <x:v>0.032189999999999996</x:v>
      </x:c>
      <x:c r="K595" s="36" t="n">
        <x:v>811812</x:v>
      </x:c>
      <x:c r="L595" s="36" t="n">
        <x:v>1094187.90188</x:v>
      </x:c>
      <x:c r="M595" s="37" t="n">
        <x:v>4001</x:v>
      </x:c>
      <x:c r="N595" s="34" t="n">
        <x:v>0</x:v>
      </x:c>
      <x:c r="O595" s="34" t="n">
        <x:v>0</x:v>
      </x:c>
      <x:c r="P595" s="38" t="str">
        <x:f>IF(OR(N595="",O595="",N595=0,O595=0),"",(O595-N595)/((O595+N595)/2))</x:f>
      </x:c>
      <x:c r="Q595" s="34" t="n">
        <x:v>1.34783411</x:v>
      </x:c>
      <x:c r="R595" s="34" t="n">
        <x:v>1.39</x:v>
      </x:c>
      <x:c r="S595" s="34" t="n">
        <x:v>1.31</x:v>
      </x:c>
      <x:c r="T595" s="32" t="n">
        <x:v>46209.26112309028</x:v>
      </x:c>
      <x:c r="U595" s="32" t="n">
        <x:v>46210.26112309028</x:v>
      </x:c>
      <x:c r="V595" s="34" t="n">
        <x:v>5</x:v>
      </x:c>
      <x:c r="W595" s="34" t="n">
        <x:v>0.1</x:v>
      </x:c>
      <x:c r="X595" s="34" t="n">
        <x:v>0.1</x:v>
      </x:c>
      <x:c r="Y595" s="34" t="n">
        <x:v>0.0001</x:v>
      </x:c>
      <x:c r="Z595" s="30" t="str">
        <x:f>IF(AND(D595="TRADING",I595&lt;&gt;"",L595&lt;&gt;"",M595&lt;&gt;"",N595&lt;&gt;"",O595&lt;&gt;""),"Yes","No")</x:f>
        <x:v>No</x:v>
      </x:c>
      <x:c r="AA595" s="39" t="str">
        <x:v>https://developers.binance.com/en/docs/catalog/core-trading-spot-trading/api/rest-api</x:v>
      </x:c>
    </x:row>
    <x:row r="596">
      <x:c r="A596" s="30" t="str">
        <x:v>TONUSDT</x:v>
      </x:c>
      <x:c r="B596" s="30" t="str">
        <x:v>TON</x:v>
      </x:c>
      <x:c r="C596" s="30" t="str">
        <x:v>USDT</x:v>
      </x:c>
      <x:c r="D596" s="30" t="str">
        <x:v>BREAK</x:v>
      </x:c>
      <x:c r="E596" s="31" t="b">
        <x:v>1</x:v>
      </x:c>
      <x:c r="F596" s="32" t="n">
        <x:v>45512</x:v>
      </x:c>
      <x:c r="G596" s="32" t="n">
        <x:v>45512.999999988424</x:v>
      </x:c>
      <x:c r="H596" s="33" t="n">
        <x:f>IF(F596="","",('Summary'!$B$5-F596)/365.25)</x:f>
        <x:v>1.984976020039548</x:v>
      </x:c>
      <x:c r="I596" s="34" t="n">
        <x:v>1.6</x:v>
      </x:c>
      <x:c r="J596" s="35" t="n">
        <x:v>0.00946</x:v>
      </x:c>
      <x:c r="K596" s="36" t="n">
        <x:v>4800378.41</x:v>
      </x:c>
      <x:c r="L596" s="36" t="n">
        <x:v>7717352.41982</x:v>
      </x:c>
      <x:c r="M596" s="37" t="n">
        <x:v>85935</x:v>
      </x:c>
      <x:c r="N596" s="34" t="n">
        <x:v>0</x:v>
      </x:c>
      <x:c r="O596" s="34" t="n">
        <x:v>0</x:v>
      </x:c>
      <x:c r="P596" s="38" t="str">
        <x:f>IF(OR(N596="",O596="",N596=0,O596=0),"",(O596-N596)/((O596+N596)/2))</x:f>
      </x:c>
      <x:c r="Q596" s="34" t="n">
        <x:v>1.60765501</x:v>
      </x:c>
      <x:c r="R596" s="34" t="n">
        <x:v>1.641</x:v>
      </x:c>
      <x:c r="S596" s="34" t="n">
        <x:v>1.58</x:v>
      </x:c>
      <x:c r="T596" s="32" t="n">
        <x:v>46209.26112309028</x:v>
      </x:c>
      <x:c r="U596" s="32" t="n">
        <x:v>46210.26112309028</x:v>
      </x:c>
      <x:c r="V596" s="34" t="n">
        <x:v>5</x:v>
      </x:c>
      <x:c r="W596" s="34" t="n">
        <x:v>0.01</x:v>
      </x:c>
      <x:c r="X596" s="34" t="n">
        <x:v>0.01</x:v>
      </x:c>
      <x:c r="Y596" s="34" t="n">
        <x:v>0.001</x:v>
      </x:c>
      <x:c r="Z596" s="30" t="str">
        <x:f>IF(AND(D596="TRADING",I596&lt;&gt;"",L596&lt;&gt;"",M596&lt;&gt;"",N596&lt;&gt;"",O596&lt;&gt;""),"Yes","No")</x:f>
        <x:v>No</x:v>
      </x:c>
      <x:c r="AA596" s="39" t="str">
        <x:v>https://developers.binance.com/en/docs/catalog/core-trading-spot-trading/api/rest-api</x:v>
      </x:c>
    </x:row>
    <x:row r="597">
      <x:c r="A597" s="30" t="str">
        <x:v>TORNUSDT</x:v>
      </x:c>
      <x:c r="B597" s="30" t="str">
        <x:v>TORN</x:v>
      </x:c>
      <x:c r="C597" s="30" t="str">
        <x:v>USDT</x:v>
      </x:c>
      <x:c r="D597" s="30" t="str">
        <x:v>BREAK</x:v>
      </x:c>
      <x:c r="E597" s="31" t="b">
        <x:v>1</x:v>
      </x:c>
      <x:c r="F597" s="32" t="n">
        <x:v>44358</x:v>
      </x:c>
      <x:c r="G597" s="32" t="n">
        <x:v>44358.999999988424</x:v>
      </x:c>
      <x:c r="H597" s="33" t="n">
        <x:f>IF(F597="","",('Summary'!$B$5-F597)/365.25)</x:f>
        <x:v>5.144455828389993</x:v>
      </x:c>
      <x:c r="I597" s="34" t="n">
        <x:v>4.06</x:v>
      </x:c>
      <x:c r="J597" s="35" t="n">
        <x:v>-0.040190000000000003</x:v>
      </x:c>
      <x:c r="K597" s="36" t="n">
        <x:v>115850.15</x:v>
      </x:c>
      <x:c r="L597" s="36" t="n">
        <x:v>490754.2787</x:v>
      </x:c>
      <x:c r="M597" s="37" t="n">
        <x:v>4001</x:v>
      </x:c>
      <x:c r="N597" s="34" t="n">
        <x:v>0</x:v>
      </x:c>
      <x:c r="O597" s="34" t="n">
        <x:v>0</x:v>
      </x:c>
      <x:c r="P597" s="38" t="str">
        <x:f>IF(OR(N597="",O597="",N597=0,O597=0),"",(O597-N597)/((O597+N597)/2))</x:f>
      </x:c>
      <x:c r="Q597" s="34" t="n">
        <x:v>4.23611259</x:v>
      </x:c>
      <x:c r="R597" s="34" t="n">
        <x:v>4.44</x:v>
      </x:c>
      <x:c r="S597" s="34" t="n">
        <x:v>4</x:v>
      </x:c>
      <x:c r="T597" s="32" t="n">
        <x:v>46209.26112309028</x:v>
      </x:c>
      <x:c r="U597" s="32" t="n">
        <x:v>46210.26112309028</x:v>
      </x:c>
      <x:c r="V597" s="34" t="n">
        <x:v>10</x:v>
      </x:c>
      <x:c r="W597" s="34" t="n">
        <x:v>0.01</x:v>
      </x:c>
      <x:c r="X597" s="34" t="n">
        <x:v>0.01</x:v>
      </x:c>
      <x:c r="Y597" s="34" t="n">
        <x:v>0.01</x:v>
      </x:c>
      <x:c r="Z597" s="30" t="str">
        <x:f>IF(AND(D597="TRADING",I597&lt;&gt;"",L597&lt;&gt;"",M597&lt;&gt;"",N597&lt;&gt;"",O597&lt;&gt;""),"Yes","No")</x:f>
        <x:v>No</x:v>
      </x:c>
      <x:c r="AA597" s="39" t="str">
        <x:v>https://developers.binance.com/en/docs/catalog/core-trading-spot-trading/api/rest-api</x:v>
      </x:c>
    </x:row>
    <x:row r="598">
      <x:c r="A598" s="30" t="str">
        <x:v>TOWNSUSDT</x:v>
      </x:c>
      <x:c r="B598" s="30" t="str">
        <x:v>TOWNS</x:v>
      </x:c>
      <x:c r="C598" s="30" t="str">
        <x:v>USDT</x:v>
      </x:c>
      <x:c r="D598" s="30" t="str">
        <x:v>TRADING</x:v>
      </x:c>
      <x:c r="E598" s="31" t="b">
        <x:v>1</x:v>
      </x:c>
      <x:c r="F598" s="32" t="n">
        <x:v>45874</x:v>
      </x:c>
      <x:c r="G598" s="32" t="n">
        <x:v>45874.999999988424</x:v>
      </x:c>
      <x:c r="H598" s="33" t="n">
        <x:f>IF(F598="","",('Summary'!$B$5-F598)/365.25)</x:f>
        <x:v>0.9938740350977274</x:v>
      </x:c>
      <x:c r="I598" s="34" t="n">
        <x:v>0.00198</x:v>
      </x:c>
      <x:c r="J598" s="35" t="n">
        <x:v>0.00508</x:v>
      </x:c>
      <x:c r="K598" s="36" t="n">
        <x:v>268347946</x:v>
      </x:c>
      <x:c r="L598" s="36" t="n">
        <x:v>544402.30211</x:v>
      </x:c>
      <x:c r="M598" s="37" t="n">
        <x:v>4717</x:v>
      </x:c>
      <x:c r="N598" s="34" t="n">
        <x:v>0.00197</x:v>
      </x:c>
      <x:c r="O598" s="34" t="n">
        <x:v>0.00198</x:v>
      </x:c>
      <x:c r="P598" s="38" t="n">
        <x:f>IF(OR(N598="",O598="",N598=0,O598=0),"",(O598-N598)/((O598+N598)/2))</x:f>
        <x:v>0.0050632911392405194</x:v>
      </x:c>
      <x:c r="Q598" s="34" t="n">
        <x:v>0.00202872</x:v>
      </x:c>
      <x:c r="R598" s="34" t="n">
        <x:v>0.00207</x:v>
      </x:c>
      <x:c r="S598" s="34" t="n">
        <x:v>0.00196</x:v>
      </x:c>
      <x:c r="T598" s="32" t="n">
        <x:v>46236.01219988426</x:v>
      </x:c>
      <x:c r="U598" s="32" t="n">
        <x:v>46237.01219988426</x:v>
      </x:c>
      <x:c r="V598" s="34" t="n">
        <x:v>5</x:v>
      </x:c>
      <x:c r="W598" s="34" t="n">
        <x:v>1</x:v>
      </x:c>
      <x:c r="X598" s="34" t="n">
        <x:v>1</x:v>
      </x:c>
      <x:c r="Y598" s="34" t="n">
        <x:v>0.00001</x:v>
      </x:c>
      <x:c r="Z598" s="30" t="str">
        <x:f>IF(AND(D598="TRADING",I598&lt;&gt;"",L598&lt;&gt;"",M598&lt;&gt;"",N598&lt;&gt;"",O598&lt;&gt;""),"Yes","No")</x:f>
        <x:v>Yes</x:v>
      </x:c>
      <x:c r="AA598" s="39" t="str">
        <x:v>https://developers.binance.com/en/docs/catalog/core-trading-spot-trading/api/rest-api</x:v>
      </x:c>
    </x:row>
    <x:row r="599">
      <x:c r="A599" s="30" t="str">
        <x:v>TQQQBUSDT</x:v>
      </x:c>
      <x:c r="B599" s="30" t="str">
        <x:v>TQQQB</x:v>
      </x:c>
      <x:c r="C599" s="30" t="str">
        <x:v>USDT</x:v>
      </x:c>
      <x:c r="D599" s="30" t="str">
        <x:v>TRADING</x:v>
      </x:c>
      <x:c r="E599" s="31" t="b">
        <x:v>1</x:v>
      </x:c>
      <x:c r="F599" s="32" t="n">
        <x:v>46225</x:v>
      </x:c>
      <x:c r="G599" s="32" t="n">
        <x:v>46225.999999988424</x:v>
      </x:c>
      <x:c r="H599" s="33" t="n">
        <x:f>IF(F599="","",('Summary'!$B$5-F599)/365.25)</x:f>
        <x:v>0.03288840881435992</x:v>
      </x:c>
      <x:c r="I599" s="34" t="n">
        <x:v>66.13</x:v>
      </x:c>
      <x:c r="J599" s="35" t="n">
        <x:v>0.03603</x:v>
      </x:c>
      <x:c r="K599" s="36" t="n">
        <x:v>935.56</x:v>
      </x:c>
      <x:c r="L599" s="36" t="n">
        <x:v>61107.2814</x:v>
      </x:c>
      <x:c r="M599" s="37" t="n">
        <x:v>2320</x:v>
      </x:c>
      <x:c r="N599" s="34" t="n">
        <x:v>66</x:v>
      </x:c>
      <x:c r="O599" s="34" t="n">
        <x:v>66.02</x:v>
      </x:c>
      <x:c r="P599" s="38" t="n">
        <x:f>IF(OR(N599="",O599="",N599=0,O599=0),"",(O599-N599)/((O599+N599)/2))</x:f>
        <x:v>0.00030298439630353015</x:v>
      </x:c>
      <x:c r="Q599" s="34" t="n">
        <x:v>65.31626128</x:v>
      </x:c>
      <x:c r="R599" s="34" t="n">
        <x:v>66.14</x:v>
      </x:c>
      <x:c r="S599" s="34" t="n">
        <x:v>63.73</x:v>
      </x:c>
      <x:c r="T599" s="32" t="n">
        <x:v>46236.012484837964</x:v>
      </x:c>
      <x:c r="U599" s="32" t="n">
        <x:v>46237.012484837964</x:v>
      </x:c>
      <x:c r="V599" s="34" t="n">
        <x:v>5</x:v>
      </x:c>
      <x:c r="W599" s="34" t="n">
        <x:v>0.01</x:v>
      </x:c>
      <x:c r="X599" s="34" t="n">
        <x:v>0.01</x:v>
      </x:c>
      <x:c r="Y599" s="34" t="n">
        <x:v>0.01</x:v>
      </x:c>
      <x:c r="Z599" s="30" t="str">
        <x:f>IF(AND(D599="TRADING",I599&lt;&gt;"",L599&lt;&gt;"",M599&lt;&gt;"",N599&lt;&gt;"",O599&lt;&gt;""),"Yes","No")</x:f>
        <x:v>Yes</x:v>
      </x:c>
      <x:c r="AA599" s="39" t="str">
        <x:v>https://developers.binance.com/en/docs/catalog/core-trading-spot-trading/api/rest-api</x:v>
      </x:c>
    </x:row>
    <x:row r="600">
      <x:c r="A600" s="30" t="str">
        <x:v>TRBUSDT</x:v>
      </x:c>
      <x:c r="B600" s="30" t="str">
        <x:v>TRB</x:v>
      </x:c>
      <x:c r="C600" s="30" t="str">
        <x:v>USDT</x:v>
      </x:c>
      <x:c r="D600" s="30" t="str">
        <x:v>TRADING</x:v>
      </x:c>
      <x:c r="E600" s="31" t="b">
        <x:v>1</x:v>
      </x:c>
      <x:c r="F600" s="32" t="n">
        <x:v>44072</x:v>
      </x:c>
      <x:c r="G600" s="32" t="n">
        <x:v>44072.999999988424</x:v>
      </x:c>
      <x:c r="H600" s="33" t="n">
        <x:f>IF(F600="","",('Summary'!$B$5-F600)/365.25)</x:f>
        <x:v>5.927481153509774</x:v>
      </x:c>
      <x:c r="I600" s="34" t="n">
        <x:v>13.41</x:v>
      </x:c>
      <x:c r="J600" s="35" t="n">
        <x:v>-0.00887</x:v>
      </x:c>
      <x:c r="K600" s="36" t="n">
        <x:v>24420.186</x:v>
      </x:c>
      <x:c r="L600" s="36" t="n">
        <x:v>330499.3961</x:v>
      </x:c>
      <x:c r="M600" s="37" t="n">
        <x:v>3234</x:v>
      </x:c>
      <x:c r="N600" s="34" t="n">
        <x:v>13.4</x:v>
      </x:c>
      <x:c r="O600" s="34" t="n">
        <x:v>13.41</x:v>
      </x:c>
      <x:c r="P600" s="38" t="n">
        <x:f>IF(OR(N600="",O600="",N600=0,O600=0),"",(O600-N600)/((O600+N600)/2))</x:f>
        <x:v>0.0007459903021260564</x:v>
      </x:c>
      <x:c r="Q600" s="34" t="n">
        <x:v>13.53386072</x:v>
      </x:c>
      <x:c r="R600" s="34" t="n">
        <x:v>13.63</x:v>
      </x:c>
      <x:c r="S600" s="34" t="n">
        <x:v>13.4</x:v>
      </x:c>
      <x:c r="T600" s="32" t="n">
        <x:v>46236.01248802083</x:v>
      </x:c>
      <x:c r="U600" s="32" t="n">
        <x:v>46237.01248802083</x:v>
      </x:c>
      <x:c r="V600" s="34" t="n">
        <x:v>5</x:v>
      </x:c>
      <x:c r="W600" s="34" t="n">
        <x:v>0.001</x:v>
      </x:c>
      <x:c r="X600" s="34" t="n">
        <x:v>0.001</x:v>
      </x:c>
      <x:c r="Y600" s="34" t="n">
        <x:v>0.01</x:v>
      </x:c>
      <x:c r="Z600" s="30" t="str">
        <x:f>IF(AND(D600="TRADING",I600&lt;&gt;"",L600&lt;&gt;"",M600&lt;&gt;"",N600&lt;&gt;"",O600&lt;&gt;""),"Yes","No")</x:f>
        <x:v>Yes</x:v>
      </x:c>
      <x:c r="AA600" s="39" t="str">
        <x:v>https://developers.binance.com/en/docs/catalog/core-trading-spot-trading/api/rest-api</x:v>
      </x:c>
    </x:row>
    <x:row r="601">
      <x:c r="A601" s="30" t="str">
        <x:v>TREEUSDT</x:v>
      </x:c>
      <x:c r="B601" s="30" t="str">
        <x:v>TREE</x:v>
      </x:c>
      <x:c r="C601" s="30" t="str">
        <x:v>USDT</x:v>
      </x:c>
      <x:c r="D601" s="30" t="str">
        <x:v>TRADING</x:v>
      </x:c>
      <x:c r="E601" s="31" t="b">
        <x:v>1</x:v>
      </x:c>
      <x:c r="F601" s="32" t="n">
        <x:v>45867</x:v>
      </x:c>
      <x:c r="G601" s="32" t="n">
        <x:v>45867.999999988424</x:v>
      </x:c>
      <x:c r="H601" s="33" t="n">
        <x:f>IF(F601="","",('Summary'!$B$5-F601)/365.25)</x:f>
        <x:v>1.0130389906076522</x:v>
      </x:c>
      <x:c r="I601" s="34" t="n">
        <x:v>0.0339</x:v>
      </x:c>
      <x:c r="J601" s="35" t="n">
        <x:v>-0.03966</x:v>
      </x:c>
      <x:c r="K601" s="36" t="n">
        <x:v>5885229.6</x:v>
      </x:c>
      <x:c r="L601" s="36" t="n">
        <x:v>203474.81587</x:v>
      </x:c>
      <x:c r="M601" s="37" t="n">
        <x:v>4309</x:v>
      </x:c>
      <x:c r="N601" s="34" t="n">
        <x:v>0.0338</x:v>
      </x:c>
      <x:c r="O601" s="34" t="n">
        <x:v>0.0339</x:v>
      </x:c>
      <x:c r="P601" s="38" t="n">
        <x:f>IF(OR(N601="",O601="",N601=0,O601=0),"",(O601-N601)/((O601+N601)/2))</x:f>
        <x:v>0.002954209748892256</x:v>
      </x:c>
      <x:c r="Q601" s="34" t="n">
        <x:v>0.03457381</x:v>
      </x:c>
      <x:c r="R601" s="34" t="n">
        <x:v>0.0359</x:v>
      </x:c>
      <x:c r="S601" s="34" t="n">
        <x:v>0.0336</x:v>
      </x:c>
      <x:c r="T601" s="32" t="n">
        <x:v>46236.012466712964</x:v>
      </x:c>
      <x:c r="U601" s="32" t="n">
        <x:v>46237.012466712964</x:v>
      </x:c>
      <x:c r="V601" s="34" t="n">
        <x:v>5</x:v>
      </x:c>
      <x:c r="W601" s="34" t="n">
        <x:v>0.1</x:v>
      </x:c>
      <x:c r="X601" s="34" t="n">
        <x:v>0.1</x:v>
      </x:c>
      <x:c r="Y601" s="34" t="n">
        <x:v>0.0001</x:v>
      </x:c>
      <x:c r="Z601" s="30" t="str">
        <x:f>IF(AND(D601="TRADING",I601&lt;&gt;"",L601&lt;&gt;"",M601&lt;&gt;"",N601&lt;&gt;"",O601&lt;&gt;""),"Yes","No")</x:f>
        <x:v>Yes</x:v>
      </x:c>
      <x:c r="AA601" s="39" t="str">
        <x:v>https://developers.binance.com/en/docs/catalog/core-trading-spot-trading/api/rest-api</x:v>
      </x:c>
    </x:row>
    <x:row r="602">
      <x:c r="A602" s="30" t="str">
        <x:v>TRIBEUSDT</x:v>
      </x:c>
      <x:c r="B602" s="30" t="str">
        <x:v>TRIBE</x:v>
      </x:c>
      <x:c r="C602" s="30" t="str">
        <x:v>USDT</x:v>
      </x:c>
      <x:c r="D602" s="30" t="str">
        <x:v>BREAK</x:v>
      </x:c>
      <x:c r="E602" s="31" t="b">
        <x:v>1</x:v>
      </x:c>
      <x:c r="F602" s="32" t="n">
        <x:v>44432</x:v>
      </x:c>
      <x:c r="G602" s="32" t="n">
        <x:v>44432.999999988424</x:v>
      </x:c>
      <x:c r="H602" s="33" t="n">
        <x:f>IF(F602="","",('Summary'!$B$5-F602)/365.25)</x:f>
        <x:v>4.941854870142217</x:v>
      </x:c>
      <x:c r="I602" s="34" t="n">
        <x:v>0.2018</x:v>
      </x:c>
      <x:c r="J602" s="35" t="n">
        <x:v>-0.00247</x:v>
      </x:c>
      <x:c r="K602" s="36" t="n">
        <x:v>2401137</x:v>
      </x:c>
      <x:c r="L602" s="36" t="n">
        <x:v>485272.655</x:v>
      </x:c>
      <x:c r="M602" s="37" t="n">
        <x:v>4000</x:v>
      </x:c>
      <x:c r="N602" s="34" t="n">
        <x:v>0</x:v>
      </x:c>
      <x:c r="O602" s="34" t="n">
        <x:v>0</x:v>
      </x:c>
      <x:c r="P602" s="38" t="str">
        <x:f>IF(OR(N602="",O602="",N602=0,O602=0),"",(O602-N602)/((O602+N602)/2))</x:f>
      </x:c>
      <x:c r="Q602" s="34" t="n">
        <x:v>0.20210119</x:v>
      </x:c>
      <x:c r="R602" s="34" t="n">
        <x:v>0.2085</x:v>
      </x:c>
      <x:c r="S602" s="34" t="n">
        <x:v>0.197</x:v>
      </x:c>
      <x:c r="T602" s="32" t="n">
        <x:v>46209.26112309028</x:v>
      </x:c>
      <x:c r="U602" s="32" t="n">
        <x:v>46210.26112309028</x:v>
      </x:c>
      <x:c r="V602" s="34" t="n">
        <x:v>10</x:v>
      </x:c>
      <x:c r="W602" s="34" t="n">
        <x:v>1</x:v>
      </x:c>
      <x:c r="X602" s="34" t="n">
        <x:v>1</x:v>
      </x:c>
      <x:c r="Y602" s="34" t="n">
        <x:v>0.0001</x:v>
      </x:c>
      <x:c r="Z602" s="30" t="str">
        <x:f>IF(AND(D602="TRADING",I602&lt;&gt;"",L602&lt;&gt;"",M602&lt;&gt;"",N602&lt;&gt;"",O602&lt;&gt;""),"Yes","No")</x:f>
        <x:v>No</x:v>
      </x:c>
      <x:c r="AA602" s="39" t="str">
        <x:v>https://developers.binance.com/en/docs/catalog/core-trading-spot-trading/api/rest-api</x:v>
      </x:c>
    </x:row>
    <x:row r="603">
      <x:c r="A603" s="30" t="str">
        <x:v>TROYUSDT</x:v>
      </x:c>
      <x:c r="B603" s="30" t="str">
        <x:v>TROY</x:v>
      </x:c>
      <x:c r="C603" s="30" t="str">
        <x:v>USDT</x:v>
      </x:c>
      <x:c r="D603" s="30" t="str">
        <x:v>BREAK</x:v>
      </x:c>
      <x:c r="E603" s="31" t="b">
        <x:v>1</x:v>
      </x:c>
      <x:c r="F603" s="32" t="n">
        <x:v>43804</x:v>
      </x:c>
      <x:c r="G603" s="32" t="n">
        <x:v>43804.999999988424</x:v>
      </x:c>
      <x:c r="H603" s="33" t="n">
        <x:f>IF(F603="","",('Summary'!$B$5-F603)/365.25)</x:f>
        <x:v>6.661225164461177</x:v>
      </x:c>
      <x:c r="I603" s="34" t="n">
        <x:v>0.000069</x:v>
      </x:c>
      <x:c r="J603" s="35" t="n">
        <x:v>-0.23332999999999998</x:v>
      </x:c>
      <x:c r="K603" s="36" t="n">
        <x:v>1612739544</x:v>
      </x:c>
      <x:c r="L603" s="36" t="n">
        <x:v>144294.082243</x:v>
      </x:c>
      <x:c r="M603" s="37" t="n">
        <x:v>4001</x:v>
      </x:c>
      <x:c r="N603" s="34" t="n">
        <x:v>0</x:v>
      </x:c>
      <x:c r="O603" s="34" t="n">
        <x:v>0</x:v>
      </x:c>
      <x:c r="P603" s="38" t="str">
        <x:f>IF(OR(N603="",O603="",N603=0,O603=0),"",(O603-N603)/((O603+N603)/2))</x:f>
      </x:c>
      <x:c r="Q603" s="34" t="n">
        <x:v>0.00008947</x:v>
      </x:c>
      <x:c r="R603" s="34" t="n">
        <x:v>0.000105</x:v>
      </x:c>
      <x:c r="S603" s="34" t="n">
        <x:v>0.000061</x:v>
      </x:c>
      <x:c r="T603" s="32" t="n">
        <x:v>46209.26112309028</x:v>
      </x:c>
      <x:c r="U603" s="32" t="n">
        <x:v>46210.26112309028</x:v>
      </x:c>
      <x:c r="V603" s="34" t="n">
        <x:v>5</x:v>
      </x:c>
      <x:c r="W603" s="34" t="n">
        <x:v>1</x:v>
      </x:c>
      <x:c r="X603" s="34" t="n">
        <x:v>1</x:v>
      </x:c>
      <x:c r="Y603" s="34" t="n">
        <x:v>0.000001</x:v>
      </x:c>
      <x:c r="Z603" s="30" t="str">
        <x:f>IF(AND(D603="TRADING",I603&lt;&gt;"",L603&lt;&gt;"",M603&lt;&gt;"",N603&lt;&gt;"",O603&lt;&gt;""),"Yes","No")</x:f>
        <x:v>No</x:v>
      </x:c>
      <x:c r="AA603" s="39" t="str">
        <x:v>https://developers.binance.com/en/docs/catalog/core-trading-spot-trading/api/rest-api</x:v>
      </x:c>
    </x:row>
    <x:row r="604">
      <x:c r="A604" s="30" t="str">
        <x:v>TRUMPUSDT</x:v>
      </x:c>
      <x:c r="B604" s="30" t="str">
        <x:v>TRUMP</x:v>
      </x:c>
      <x:c r="C604" s="30" t="str">
        <x:v>USDT</x:v>
      </x:c>
      <x:c r="D604" s="30" t="str">
        <x:v>TRADING</x:v>
      </x:c>
      <x:c r="E604" s="31" t="b">
        <x:v>1</x:v>
      </x:c>
      <x:c r="F604" s="32" t="n">
        <x:v>45676</x:v>
      </x:c>
      <x:c r="G604" s="32" t="n">
        <x:v>45676.999999988424</x:v>
      </x:c>
      <x:c r="H604" s="33" t="n">
        <x:f>IF(F604="","",('Summary'!$B$5-F604)/365.25)</x:f>
        <x:v>1.5359684909498836</x:v>
      </x:c>
      <x:c r="I604" s="34" t="n">
        <x:v>1.438</x:v>
      </x:c>
      <x:c r="J604" s="35" t="n">
        <x:v>-0.0027700000000000003</x:v>
      </x:c>
      <x:c r="K604" s="36" t="n">
        <x:v>1745529.318</x:v>
      </x:c>
      <x:c r="L604" s="36" t="n">
        <x:v>2528892.175332</x:v>
      </x:c>
      <x:c r="M604" s="37" t="n">
        <x:v>21135</x:v>
      </x:c>
      <x:c r="N604" s="34" t="n">
        <x:v>1.438</x:v>
      </x:c>
      <x:c r="O604" s="34" t="n">
        <x:v>1.439</x:v>
      </x:c>
      <x:c r="P604" s="38" t="n">
        <x:f>IF(OR(N604="",O604="",N604=0,O604=0),"",(O604-N604)/((O604+N604)/2))</x:f>
        <x:v>0.0006951685783803351</x:v>
      </x:c>
      <x:c r="Q604" s="34" t="n">
        <x:v>1.44878241</x:v>
      </x:c>
      <x:c r="R604" s="34" t="n">
        <x:v>1.466</x:v>
      </x:c>
      <x:c r="S604" s="34" t="n">
        <x:v>1.435</x:v>
      </x:c>
      <x:c r="T604" s="32" t="n">
        <x:v>46236.012486342595</x:v>
      </x:c>
      <x:c r="U604" s="32" t="n">
        <x:v>46237.012486342595</x:v>
      </x:c>
      <x:c r="V604" s="34" t="n">
        <x:v>1</x:v>
      </x:c>
      <x:c r="W604" s="34" t="n">
        <x:v>0.001</x:v>
      </x:c>
      <x:c r="X604" s="34" t="n">
        <x:v>0.001</x:v>
      </x:c>
      <x:c r="Y604" s="34" t="n">
        <x:v>0.001</x:v>
      </x:c>
      <x:c r="Z604" s="30" t="str">
        <x:f>IF(AND(D604="TRADING",I604&lt;&gt;"",L604&lt;&gt;"",M604&lt;&gt;"",N604&lt;&gt;"",O604&lt;&gt;""),"Yes","No")</x:f>
        <x:v>Yes</x:v>
      </x:c>
      <x:c r="AA604" s="39" t="str">
        <x:v>https://developers.binance.com/en/docs/catalog/core-trading-spot-trading/api/rest-api</x:v>
      </x:c>
    </x:row>
    <x:row r="605">
      <x:c r="A605" s="30" t="str">
        <x:v>TRUUSDT</x:v>
      </x:c>
      <x:c r="B605" s="30" t="str">
        <x:v>TRU</x:v>
      </x:c>
      <x:c r="C605" s="30" t="str">
        <x:v>USDT</x:v>
      </x:c>
      <x:c r="D605" s="30" t="str">
        <x:v>BREAK</x:v>
      </x:c>
      <x:c r="E605" s="31" t="b">
        <x:v>1</x:v>
      </x:c>
      <x:c r="F605" s="32" t="n">
        <x:v>44215</x:v>
      </x:c>
      <x:c r="G605" s="32" t="n">
        <x:v>44215.999999988424</x:v>
      </x:c>
      <x:c r="H605" s="33" t="n">
        <x:f>IF(F605="","",('Summary'!$B$5-F605)/365.25)</x:f>
        <x:v>5.535968490949884</x:v>
      </x:c>
      <x:c r="I605" s="34" t="n">
        <x:v>0.0023</x:v>
      </x:c>
      <x:c r="J605" s="35" t="n">
        <x:v>-0.23332999999999998</x:v>
      </x:c>
      <x:c r="K605" s="36" t="n">
        <x:v>283106001</x:v>
      </x:c>
      <x:c r="L605" s="36" t="n">
        <x:v>778601.5266</x:v>
      </x:c>
      <x:c r="M605" s="37" t="n">
        <x:v>8724</x:v>
      </x:c>
      <x:c r="N605" s="34" t="n">
        <x:v>0</x:v>
      </x:c>
      <x:c r="O605" s="34" t="n">
        <x:v>0</x:v>
      </x:c>
      <x:c r="P605" s="38" t="str">
        <x:f>IF(OR(N605="",O605="",N605=0,O605=0),"",(O605-N605)/((O605+N605)/2))</x:f>
      </x:c>
      <x:c r="Q605" s="34" t="n">
        <x:v>0.00275021</x:v>
      </x:c>
      <x:c r="R605" s="34" t="n">
        <x:v>0.0031</x:v>
      </x:c>
      <x:c r="S605" s="34" t="n">
        <x:v>0.0022</x:v>
      </x:c>
      <x:c r="T605" s="32" t="n">
        <x:v>46209.26112309028</x:v>
      </x:c>
      <x:c r="U605" s="32" t="n">
        <x:v>46210.26112309028</x:v>
      </x:c>
      <x:c r="V605" s="34" t="n">
        <x:v>5</x:v>
      </x:c>
      <x:c r="W605" s="34" t="n">
        <x:v>1</x:v>
      </x:c>
      <x:c r="X605" s="34" t="n">
        <x:v>1</x:v>
      </x:c>
      <x:c r="Y605" s="34" t="n">
        <x:v>0.0001</x:v>
      </x:c>
      <x:c r="Z605" s="30" t="str">
        <x:f>IF(AND(D605="TRADING",I605&lt;&gt;"",L605&lt;&gt;"",M605&lt;&gt;"",N605&lt;&gt;"",O605&lt;&gt;""),"Yes","No")</x:f>
        <x:v>No</x:v>
      </x:c>
      <x:c r="AA605" s="39" t="str">
        <x:v>https://developers.binance.com/en/docs/catalog/core-trading-spot-trading/api/rest-api</x:v>
      </x:c>
    </x:row>
    <x:row r="606">
      <x:c r="A606" s="30" t="str">
        <x:v>TRXUSDT</x:v>
      </x:c>
      <x:c r="B606" s="30" t="str">
        <x:v>TRX</x:v>
      </x:c>
      <x:c r="C606" s="30" t="str">
        <x:v>USDT</x:v>
      </x:c>
      <x:c r="D606" s="30" t="str">
        <x:v>TRADING</x:v>
      </x:c>
      <x:c r="E606" s="31" t="b">
        <x:v>1</x:v>
      </x:c>
      <x:c r="F606" s="32" t="n">
        <x:v>43262</x:v>
      </x:c>
      <x:c r="G606" s="32" t="n">
        <x:v>43262.999999988424</x:v>
      </x:c>
      <x:c r="H606" s="33" t="n">
        <x:f>IF(F606="","",('Summary'!$B$5-F606)/365.25)</x:f>
        <x:v>8.145140291086776</x:v>
      </x:c>
      <x:c r="I606" s="34" t="n">
        <x:v>0.3261</x:v>
      </x:c>
      <x:c r="J606" s="35" t="n">
        <x:v>-0.0076100000000000004</x:v>
      </x:c>
      <x:c r="K606" s="36" t="n">
        <x:v>53397178.3</x:v>
      </x:c>
      <x:c r="L606" s="36" t="n">
        <x:v>17485986.30577</x:v>
      </x:c>
      <x:c r="M606" s="37" t="n">
        <x:v>39320</x:v>
      </x:c>
      <x:c r="N606" s="34" t="n">
        <x:v>0.326</x:v>
      </x:c>
      <x:c r="O606" s="34" t="n">
        <x:v>0.3261</x:v>
      </x:c>
      <x:c r="P606" s="38" t="n">
        <x:f>IF(OR(N606="",O606="",N606=0,O606=0),"",(O606-N606)/((O606+N606)/2))</x:f>
        <x:v>0.00030670142616159786</x:v>
      </x:c>
      <x:c r="Q606" s="34" t="n">
        <x:v>0.32747023</x:v>
      </x:c>
      <x:c r="R606" s="34" t="n">
        <x:v>0.3287</x:v>
      </x:c>
      <x:c r="S606" s="34" t="n">
        <x:v>0.326</x:v>
      </x:c>
      <x:c r="T606" s="32" t="n">
        <x:v>46236.01248078704</x:v>
      </x:c>
      <x:c r="U606" s="32" t="n">
        <x:v>46237.01248078704</x:v>
      </x:c>
      <x:c r="V606" s="34" t="n">
        <x:v>5</x:v>
      </x:c>
      <x:c r="W606" s="34" t="n">
        <x:v>0.1</x:v>
      </x:c>
      <x:c r="X606" s="34" t="n">
        <x:v>0.1</x:v>
      </x:c>
      <x:c r="Y606" s="34" t="n">
        <x:v>0.0001</x:v>
      </x:c>
      <x:c r="Z606" s="30" t="str">
        <x:f>IF(AND(D606="TRADING",I606&lt;&gt;"",L606&lt;&gt;"",M606&lt;&gt;"",N606&lt;&gt;"",O606&lt;&gt;""),"Yes","No")</x:f>
        <x:v>Yes</x:v>
      </x:c>
      <x:c r="AA606" s="39" t="str">
        <x:v>https://developers.binance.com/en/docs/catalog/core-trading-spot-trading/api/rest-api</x:v>
      </x:c>
    </x:row>
    <x:row r="607">
      <x:c r="A607" s="30" t="str">
        <x:v>TSLABUSDT</x:v>
      </x:c>
      <x:c r="B607" s="30" t="str">
        <x:v>TSLAB</x:v>
      </x:c>
      <x:c r="C607" s="30" t="str">
        <x:v>USDT</x:v>
      </x:c>
      <x:c r="D607" s="30" t="str">
        <x:v>TRADING</x:v>
      </x:c>
      <x:c r="E607" s="31" t="b">
        <x:v>1</x:v>
      </x:c>
      <x:c r="F607" s="32" t="n">
        <x:v>46184</x:v>
      </x:c>
      <x:c r="G607" s="32" t="n">
        <x:v>46184.999999988424</x:v>
      </x:c>
      <x:c r="H607" s="33" t="n">
        <x:f>IF(F607="","",('Summary'!$B$5-F607)/365.25)</x:f>
        <x:v>0.14514029108677606</x:v>
      </x:c>
      <x:c r="I607" s="34" t="n">
        <x:v>313.78</x:v>
      </x:c>
      <x:c r="J607" s="35" t="n">
        <x:v>0.01583</x:v>
      </x:c>
      <x:c r="K607" s="36" t="n">
        <x:v>1769.685</x:v>
      </x:c>
      <x:c r="L607" s="36" t="n">
        <x:v>553381.37111</x:v>
      </x:c>
      <x:c r="M607" s="37" t="n">
        <x:v>9007</x:v>
      </x:c>
      <x:c r="N607" s="34" t="n">
        <x:v>313.71</x:v>
      </x:c>
      <x:c r="O607" s="34" t="n">
        <x:v>313.81</x:v>
      </x:c>
      <x:c r="P607" s="38" t="n">
        <x:f>IF(OR(N607="",O607="",N607=0,O607=0),"",(O607-N607)/((O607+N607)/2))</x:f>
        <x:v>0.0003187149413565233</x:v>
      </x:c>
      <x:c r="Q607" s="34" t="n">
        <x:v>312.70049252</x:v>
      </x:c>
      <x:c r="R607" s="34" t="n">
        <x:v>315.34</x:v>
      </x:c>
      <x:c r="S607" s="34" t="n">
        <x:v>308.89</x:v>
      </x:c>
      <x:c r="T607" s="32" t="n">
        <x:v>46236.0124724537</x:v>
      </x:c>
      <x:c r="U607" s="32" t="n">
        <x:v>46237.0124724537</x:v>
      </x:c>
      <x:c r="V607" s="34" t="n">
        <x:v>5</x:v>
      </x:c>
      <x:c r="W607" s="34" t="n">
        <x:v>0.001</x:v>
      </x:c>
      <x:c r="X607" s="34" t="n">
        <x:v>0.001</x:v>
      </x:c>
      <x:c r="Y607" s="34" t="n">
        <x:v>0.01</x:v>
      </x:c>
      <x:c r="Z607" s="30" t="str">
        <x:f>IF(AND(D607="TRADING",I607&lt;&gt;"",L607&lt;&gt;"",M607&lt;&gt;"",N607&lt;&gt;"",O607&lt;&gt;""),"Yes","No")</x:f>
        <x:v>Yes</x:v>
      </x:c>
      <x:c r="AA607" s="39" t="str">
        <x:v>https://developers.binance.com/en/docs/catalog/core-trading-spot-trading/api/rest-api</x:v>
      </x:c>
    </x:row>
    <x:row r="608">
      <x:c r="A608" s="30" t="str">
        <x:v>TSMBUSDT</x:v>
      </x:c>
      <x:c r="B608" s="30" t="str">
        <x:v>TSMB</x:v>
      </x:c>
      <x:c r="C608" s="30" t="str">
        <x:v>USDT</x:v>
      </x:c>
      <x:c r="D608" s="30" t="str">
        <x:v>TRADING</x:v>
      </x:c>
      <x:c r="E608" s="31" t="b">
        <x:v>1</x:v>
      </x:c>
      <x:c r="F608" s="32" t="n">
        <x:v>46218</x:v>
      </x:c>
      <x:c r="G608" s="32" t="n">
        <x:v>46218.999999988424</x:v>
      </x:c>
      <x:c r="H608" s="33" t="n">
        <x:f>IF(F608="","",('Summary'!$B$5-F608)/365.25)</x:f>
        <x:v>0.05205336432428463</x:v>
      </x:c>
      <x:c r="I608" s="34" t="n">
        <x:v>411.58</x:v>
      </x:c>
      <x:c r="J608" s="35" t="n">
        <x:v>0.015969999999999998</x:v>
      </x:c>
      <x:c r="K608" s="36" t="n">
        <x:v>305.86</x:v>
      </x:c>
      <x:c r="L608" s="36" t="n">
        <x:v>126201.4935</x:v>
      </x:c>
      <x:c r="M608" s="37" t="n">
        <x:v>3802</x:v>
      </x:c>
      <x:c r="N608" s="34" t="n">
        <x:v>411.24</x:v>
      </x:c>
      <x:c r="O608" s="34" t="n">
        <x:v>411.76</x:v>
      </x:c>
      <x:c r="P608" s="38" t="n">
        <x:f>IF(OR(N608="",O608="",N608=0,O608=0),"",(O608-N608)/((O608+N608)/2))</x:f>
        <x:v>0.001263669501822556</x:v>
      </x:c>
      <x:c r="Q608" s="34" t="n">
        <x:v>412.61195809</x:v>
      </x:c>
      <x:c r="R608" s="34" t="n">
        <x:v>417.93</x:v>
      </x:c>
      <x:c r="S608" s="34" t="n">
        <x:v>404.58</x:v>
      </x:c>
      <x:c r="T608" s="32" t="n">
        <x:v>46236.01248430555</x:v>
      </x:c>
      <x:c r="U608" s="32" t="n">
        <x:v>46237.01248430555</x:v>
      </x:c>
      <x:c r="V608" s="34" t="n">
        <x:v>5</x:v>
      </x:c>
      <x:c r="W608" s="34" t="n">
        <x:v>0.001</x:v>
      </x:c>
      <x:c r="X608" s="34" t="n">
        <x:v>0.001</x:v>
      </x:c>
      <x:c r="Y608" s="34" t="n">
        <x:v>0.01</x:v>
      </x:c>
      <x:c r="Z608" s="30" t="str">
        <x:f>IF(AND(D608="TRADING",I608&lt;&gt;"",L608&lt;&gt;"",M608&lt;&gt;"",N608&lt;&gt;"",O608&lt;&gt;""),"Yes","No")</x:f>
        <x:v>Yes</x:v>
      </x:c>
      <x:c r="AA608" s="39" t="str">
        <x:v>https://developers.binance.com/en/docs/catalog/core-trading-spot-trading/api/rest-api</x:v>
      </x:c>
    </x:row>
    <x:row r="609">
      <x:c r="A609" s="30" t="str">
        <x:v>TSTUSDT</x:v>
      </x:c>
      <x:c r="B609" s="30" t="str">
        <x:v>TST</x:v>
      </x:c>
      <x:c r="C609" s="30" t="str">
        <x:v>USDT</x:v>
      </x:c>
      <x:c r="D609" s="30" t="str">
        <x:v>TRADING</x:v>
      </x:c>
      <x:c r="E609" s="31" t="b">
        <x:v>1</x:v>
      </x:c>
      <x:c r="F609" s="32" t="n">
        <x:v>45697</x:v>
      </x:c>
      <x:c r="G609" s="32" t="n">
        <x:v>45697.999999988424</x:v>
      </x:c>
      <x:c r="H609" s="33" t="n">
        <x:f>IF(F609="","",('Summary'!$B$5-F609)/365.25)</x:f>
        <x:v>1.4784736244201093</x:v>
      </x:c>
      <x:c r="I609" s="34" t="n">
        <x:v>0.01119</x:v>
      </x:c>
      <x:c r="J609" s="35" t="n">
        <x:v>-0.01583</x:v>
      </x:c>
      <x:c r="K609" s="36" t="n">
        <x:v>35144890.5</x:v>
      </x:c>
      <x:c r="L609" s="36" t="n">
        <x:v>393201.23408</x:v>
      </x:c>
      <x:c r="M609" s="37" t="n">
        <x:v>7596</x:v>
      </x:c>
      <x:c r="N609" s="34" t="n">
        <x:v>0.01119</x:v>
      </x:c>
      <x:c r="O609" s="34" t="n">
        <x:v>0.01122</x:v>
      </x:c>
      <x:c r="P609" s="38" t="n">
        <x:f>IF(OR(N609="",O609="",N609=0,O609=0),"",(O609-N609)/((O609+N609)/2))</x:f>
        <x:v>0.002677376171352121</x:v>
      </x:c>
      <x:c r="Q609" s="34" t="n">
        <x:v>0.01118801</x:v>
      </x:c>
      <x:c r="R609" s="34" t="n">
        <x:v>0.01159</x:v>
      </x:c>
      <x:c r="S609" s="34" t="n">
        <x:v>0.01091</x:v>
      </x:c>
      <x:c r="T609" s="32" t="n">
        <x:v>46236.01238655092</x:v>
      </x:c>
      <x:c r="U609" s="32" t="n">
        <x:v>46237.01238655092</x:v>
      </x:c>
      <x:c r="V609" s="34" t="n">
        <x:v>1</x:v>
      </x:c>
      <x:c r="W609" s="34" t="n">
        <x:v>0.1</x:v>
      </x:c>
      <x:c r="X609" s="34" t="n">
        <x:v>0.1</x:v>
      </x:c>
      <x:c r="Y609" s="34" t="n">
        <x:v>0.00001</x:v>
      </x:c>
      <x:c r="Z609" s="30" t="str">
        <x:f>IF(AND(D609="TRADING",I609&lt;&gt;"",L609&lt;&gt;"",M609&lt;&gt;"",N609&lt;&gt;"",O609&lt;&gt;""),"Yes","No")</x:f>
        <x:v>Yes</x:v>
      </x:c>
      <x:c r="AA609" s="39" t="str">
        <x:v>https://developers.binance.com/en/docs/catalog/core-trading-spot-trading/api/rest-api</x:v>
      </x:c>
    </x:row>
    <x:row r="610">
      <x:c r="A610" s="30" t="str">
        <x:v>TURBOUSDT</x:v>
      </x:c>
      <x:c r="B610" s="30" t="str">
        <x:v>TURBO</x:v>
      </x:c>
      <x:c r="C610" s="30" t="str">
        <x:v>USDT</x:v>
      </x:c>
      <x:c r="D610" s="30" t="str">
        <x:v>TRADING</x:v>
      </x:c>
      <x:c r="E610" s="31" t="b">
        <x:v>1</x:v>
      </x:c>
      <x:c r="F610" s="32" t="n">
        <x:v>45551</x:v>
      </x:c>
      <x:c r="G610" s="32" t="n">
        <x:v>45551.999999988424</x:v>
      </x:c>
      <x:c r="H610" s="33" t="n">
        <x:f>IF(F610="","",('Summary'!$B$5-F610)/365.25)</x:f>
        <x:v>1.8781998393413961</x:v>
      </x:c>
      <x:c r="I610" s="34" t="n">
        <x:v>0.000794</x:v>
      </x:c>
      <x:c r="J610" s="35" t="n">
        <x:v>0.00634</x:v>
      </x:c>
      <x:c r="K610" s="36" t="n">
        <x:v>313606920</x:v>
      </x:c>
      <x:c r="L610" s="36" t="n">
        <x:v>251055.468344</x:v>
      </x:c>
      <x:c r="M610" s="37" t="n">
        <x:v>3911</x:v>
      </x:c>
      <x:c r="N610" s="34" t="n">
        <x:v>0.000793</x:v>
      </x:c>
      <x:c r="O610" s="34" t="n">
        <x:v>0.000794</x:v>
      </x:c>
      <x:c r="P610" s="38" t="n">
        <x:f>IF(OR(N610="",O610="",N610=0,O610=0),"",(O610-N610)/((O610+N610)/2))</x:f>
        <x:v>0.0012602394454946748</x:v>
      </x:c>
      <x:c r="Q610" s="34" t="n">
        <x:v>0.00080054</x:v>
      </x:c>
      <x:c r="R610" s="34" t="n">
        <x:v>0.000811</x:v>
      </x:c>
      <x:c r="S610" s="34" t="n">
        <x:v>0.000785</x:v>
      </x:c>
      <x:c r="T610" s="32" t="n">
        <x:v>46236.012469340276</x:v>
      </x:c>
      <x:c r="U610" s="32" t="n">
        <x:v>46237.012469340276</x:v>
      </x:c>
      <x:c r="V610" s="34" t="n">
        <x:v>1</x:v>
      </x:c>
      <x:c r="W610" s="34" t="n">
        <x:v>1</x:v>
      </x:c>
      <x:c r="X610" s="34" t="n">
        <x:v>1</x:v>
      </x:c>
      <x:c r="Y610" s="34" t="n">
        <x:v>0.000001</x:v>
      </x:c>
      <x:c r="Z610" s="30" t="str">
        <x:f>IF(AND(D610="TRADING",I610&lt;&gt;"",L610&lt;&gt;"",M610&lt;&gt;"",N610&lt;&gt;"",O610&lt;&gt;""),"Yes","No")</x:f>
        <x:v>Yes</x:v>
      </x:c>
      <x:c r="AA610" s="39" t="str">
        <x:v>https://developers.binance.com/en/docs/catalog/core-trading-spot-trading/api/rest-api</x:v>
      </x:c>
    </x:row>
    <x:row r="611">
      <x:c r="A611" s="30" t="str">
        <x:v>TURTLEUSDT</x:v>
      </x:c>
      <x:c r="B611" s="30" t="str">
        <x:v>TURTLE</x:v>
      </x:c>
      <x:c r="C611" s="30" t="str">
        <x:v>USDT</x:v>
      </x:c>
      <x:c r="D611" s="30" t="str">
        <x:v>TRADING</x:v>
      </x:c>
      <x:c r="E611" s="31" t="b">
        <x:v>1</x:v>
      </x:c>
      <x:c r="F611" s="32" t="n">
        <x:v>45952</x:v>
      </x:c>
      <x:c r="G611" s="32" t="n">
        <x:v>45952.999999988424</x:v>
      </x:c>
      <x:c r="H611" s="33" t="n">
        <x:f>IF(F611="","",('Summary'!$B$5-F611)/365.25)</x:f>
        <x:v>0.7803216737014236</x:v>
      </x:c>
      <x:c r="I611" s="34" t="n">
        <x:v>0.0433</x:v>
      </x:c>
      <x:c r="J611" s="35" t="n">
        <x:v>-0.01814</x:v>
      </x:c>
      <x:c r="K611" s="36" t="n">
        <x:v>3298728.5</x:v>
      </x:c>
      <x:c r="L611" s="36" t="n">
        <x:v>143535.05282</x:v>
      </x:c>
      <x:c r="M611" s="37" t="n">
        <x:v>2082</x:v>
      </x:c>
      <x:c r="N611" s="34" t="n">
        <x:v>0.0432</x:v>
      </x:c>
      <x:c r="O611" s="34" t="n">
        <x:v>0.0433</x:v>
      </x:c>
      <x:c r="P611" s="38" t="n">
        <x:f>IF(OR(N611="",O611="",N611=0,O611=0),"",(O611-N611)/((O611+N611)/2))</x:f>
        <x:v>0.0023121387283236055</x:v>
      </x:c>
      <x:c r="Q611" s="34" t="n">
        <x:v>0.04351224</x:v>
      </x:c>
      <x:c r="R611" s="34" t="n">
        <x:v>0.0449</x:v>
      </x:c>
      <x:c r="S611" s="34" t="n">
        <x:v>0.0424</x:v>
      </x:c>
      <x:c r="T611" s="32" t="n">
        <x:v>46236.0124771875</x:v>
      </x:c>
      <x:c r="U611" s="32" t="n">
        <x:v>46237.0124771875</x:v>
      </x:c>
      <x:c r="V611" s="34" t="n">
        <x:v>5</x:v>
      </x:c>
      <x:c r="W611" s="34" t="n">
        <x:v>0.1</x:v>
      </x:c>
      <x:c r="X611" s="34" t="n">
        <x:v>0.1</x:v>
      </x:c>
      <x:c r="Y611" s="34" t="n">
        <x:v>0.0001</x:v>
      </x:c>
      <x:c r="Z611" s="30" t="str">
        <x:f>IF(AND(D611="TRADING",I611&lt;&gt;"",L611&lt;&gt;"",M611&lt;&gt;"",N611&lt;&gt;"",O611&lt;&gt;""),"Yes","No")</x:f>
        <x:v>Yes</x:v>
      </x:c>
      <x:c r="AA611" s="39" t="str">
        <x:v>https://developers.binance.com/en/docs/catalog/core-trading-spot-trading/api/rest-api</x:v>
      </x:c>
    </x:row>
    <x:row r="612">
      <x:c r="A612" s="30" t="str">
        <x:v>TUSDT</x:v>
      </x:c>
      <x:c r="B612" s="30" t="str">
        <x:v>T</x:v>
      </x:c>
      <x:c r="C612" s="30" t="str">
        <x:v>USDT</x:v>
      </x:c>
      <x:c r="D612" s="30" t="str">
        <x:v>TRADING</x:v>
      </x:c>
      <x:c r="E612" s="31" t="b">
        <x:v>1</x:v>
      </x:c>
      <x:c r="F612" s="32" t="n">
        <x:v>44617</x:v>
      </x:c>
      <x:c r="G612" s="32" t="n">
        <x:v>44617.999999988424</x:v>
      </x:c>
      <x:c r="H612" s="33" t="n">
        <x:f>IF(F612="","",('Summary'!$B$5-F612)/365.25)</x:f>
        <x:v>4.435352474522779</x:v>
      </x:c>
      <x:c r="I612" s="34" t="n">
        <x:v>0.00324</x:v>
      </x:c>
      <x:c r="J612" s="35" t="n">
        <x:v>-0.03858</x:v>
      </x:c>
      <x:c r="K612" s="36" t="n">
        <x:v>52515246.1</x:v>
      </x:c>
      <x:c r="L612" s="36" t="n">
        <x:v>174138.754178</x:v>
      </x:c>
      <x:c r="M612" s="37" t="n">
        <x:v>1631</x:v>
      </x:c>
      <x:c r="N612" s="34" t="n">
        <x:v>0.00323</x:v>
      </x:c>
      <x:c r="O612" s="34" t="n">
        <x:v>0.00324</x:v>
      </x:c>
      <x:c r="P612" s="38" t="n">
        <x:f>IF(OR(N612="",O612="",N612=0,O612=0),"",(O612-N612)/((O612+N612)/2))</x:f>
        <x:v>0.003091190108191662</x:v>
      </x:c>
      <x:c r="Q612" s="34" t="n">
        <x:v>0.00331597</x:v>
      </x:c>
      <x:c r="R612" s="34" t="n">
        <x:v>0.00343</x:v>
      </x:c>
      <x:c r="S612" s="34" t="n">
        <x:v>0.00324</x:v>
      </x:c>
      <x:c r="T612" s="32" t="n">
        <x:v>46236.012323483796</x:v>
      </x:c>
      <x:c r="U612" s="32" t="n">
        <x:v>46237.012323483796</x:v>
      </x:c>
      <x:c r="V612" s="34" t="n">
        <x:v>5</x:v>
      </x:c>
      <x:c r="W612" s="34" t="n">
        <x:v>0.1</x:v>
      </x:c>
      <x:c r="X612" s="34" t="n">
        <x:v>0.1</x:v>
      </x:c>
      <x:c r="Y612" s="34" t="n">
        <x:v>0.00001</x:v>
      </x:c>
      <x:c r="Z612" s="30" t="str">
        <x:f>IF(AND(D612="TRADING",I612&lt;&gt;"",L612&lt;&gt;"",M612&lt;&gt;"",N612&lt;&gt;"",O612&lt;&gt;""),"Yes","No")</x:f>
        <x:v>Yes</x:v>
      </x:c>
      <x:c r="AA612" s="39" t="str">
        <x:v>https://developers.binance.com/en/docs/catalog/core-trading-spot-trading/api/rest-api</x:v>
      </x:c>
    </x:row>
    <x:row r="613">
      <x:c r="A613" s="30" t="str">
        <x:v>TUSDUSDT</x:v>
      </x:c>
      <x:c r="B613" s="30" t="str">
        <x:v>TUSD</x:v>
      </x:c>
      <x:c r="C613" s="30" t="str">
        <x:v>USDT</x:v>
      </x:c>
      <x:c r="D613" s="30" t="str">
        <x:v>TRADING</x:v>
      </x:c>
      <x:c r="E613" s="31" t="b">
        <x:v>1</x:v>
      </x:c>
      <x:c r="F613" s="32" t="n">
        <x:v>43251</x:v>
      </x:c>
      <x:c r="G613" s="32" t="n">
        <x:v>43251.999999988424</x:v>
      </x:c>
      <x:c r="H613" s="33" t="n">
        <x:f>IF(F613="","",('Summary'!$B$5-F613)/365.25)</x:f>
        <x:v>8.17525664974523</x:v>
      </x:c>
      <x:c r="I613" s="34" t="n">
        <x:v>0.9964</x:v>
      </x:c>
      <x:c r="J613" s="35" t="n">
        <x:v>0.0004</x:v>
      </x:c>
      <x:c r="K613" s="36" t="n">
        <x:v>21119</x:v>
      </x:c>
      <x:c r="L613" s="36" t="n">
        <x:v>21042.0799</x:v>
      </x:c>
      <x:c r="M613" s="37" t="n">
        <x:v>715</x:v>
      </x:c>
      <x:c r="N613" s="34" t="n">
        <x:v>0.9964</x:v>
      </x:c>
      <x:c r="O613" s="34" t="n">
        <x:v>0.9965</x:v>
      </x:c>
      <x:c r="P613" s="38" t="n">
        <x:f>IF(OR(N613="",O613="",N613=0,O613=0),"",(O613-N613)/((O613+N613)/2))</x:f>
        <x:v>0.00010035626473992674</x:v>
      </x:c>
      <x:c r="Q613" s="34" t="n">
        <x:v>0.99635778</x:v>
      </x:c>
      <x:c r="R613" s="34" t="n">
        <x:v>0.9967</x:v>
      </x:c>
      <x:c r="S613" s="34" t="n">
        <x:v>0.996</x:v>
      </x:c>
      <x:c r="T613" s="32" t="n">
        <x:v>46236.01126290509</x:v>
      </x:c>
      <x:c r="U613" s="32" t="n">
        <x:v>46237.01126290509</x:v>
      </x:c>
      <x:c r="V613" s="34" t="n">
        <x:v>5</x:v>
      </x:c>
      <x:c r="W613" s="34" t="n">
        <x:v>1</x:v>
      </x:c>
      <x:c r="X613" s="34" t="n">
        <x:v>1</x:v>
      </x:c>
      <x:c r="Y613" s="34" t="n">
        <x:v>0.0001</x:v>
      </x:c>
      <x:c r="Z613" s="30" t="str">
        <x:f>IF(AND(D613="TRADING",I613&lt;&gt;"",L613&lt;&gt;"",M613&lt;&gt;"",N613&lt;&gt;"",O613&lt;&gt;""),"Yes","No")</x:f>
        <x:v>Yes</x:v>
      </x:c>
      <x:c r="AA613" s="39" t="str">
        <x:v>https://developers.binance.com/en/docs/catalog/core-trading-spot-trading/api/rest-api</x:v>
      </x:c>
    </x:row>
    <x:row r="614">
      <x:c r="A614" s="30" t="str">
        <x:v>TUTUSDT</x:v>
      </x:c>
      <x:c r="B614" s="30" t="str">
        <x:v>TUT</x:v>
      </x:c>
      <x:c r="C614" s="30" t="str">
        <x:v>USDT</x:v>
      </x:c>
      <x:c r="D614" s="30" t="str">
        <x:v>TRADING</x:v>
      </x:c>
      <x:c r="E614" s="31" t="b">
        <x:v>1</x:v>
      </x:c>
      <x:c r="F614" s="32" t="n">
        <x:v>45743</x:v>
      </x:c>
      <x:c r="G614" s="32" t="n">
        <x:v>45743.999999988424</x:v>
      </x:c>
      <x:c r="H614" s="33" t="n">
        <x:f>IF(F614="","",('Summary'!$B$5-F614)/365.25)</x:f>
        <x:v>1.3525324882120326</x:v>
      </x:c>
      <x:c r="I614" s="34" t="n">
        <x:v>0.01758</x:v>
      </x:c>
      <x:c r="J614" s="35" t="n">
        <x:v>-0.00453</x:v>
      </x:c>
      <x:c r="K614" s="36" t="n">
        <x:v>57958435</x:v>
      </x:c>
      <x:c r="L614" s="36" t="n">
        <x:v>1007804.72574</x:v>
      </x:c>
      <x:c r="M614" s="37" t="n">
        <x:v>28424</x:v>
      </x:c>
      <x:c r="N614" s="34" t="n">
        <x:v>0.01757</x:v>
      </x:c>
      <x:c r="O614" s="34" t="n">
        <x:v>0.01758</x:v>
      </x:c>
      <x:c r="P614" s="38" t="n">
        <x:f>IF(OR(N614="",O614="",N614=0,O614=0),"",(O614-N614)/((O614+N614)/2))</x:f>
        <x:v>0.00056899004267423</x:v>
      </x:c>
      <x:c r="Q614" s="34" t="n">
        <x:v>0.0173884</x:v>
      </x:c>
      <x:c r="R614" s="34" t="n">
        <x:v>0.01798</x:v>
      </x:c>
      <x:c r="S614" s="34" t="n">
        <x:v>0.01692</x:v>
      </x:c>
      <x:c r="T614" s="32" t="n">
        <x:v>46236.012194131945</x:v>
      </x:c>
      <x:c r="U614" s="32" t="n">
        <x:v>46237.012194131945</x:v>
      </x:c>
      <x:c r="V614" s="34" t="n">
        <x:v>1</x:v>
      </x:c>
      <x:c r="W614" s="34" t="n">
        <x:v>1</x:v>
      </x:c>
      <x:c r="X614" s="34" t="n">
        <x:v>1</x:v>
      </x:c>
      <x:c r="Y614" s="34" t="n">
        <x:v>0.00001</x:v>
      </x:c>
      <x:c r="Z614" s="30" t="str">
        <x:f>IF(AND(D614="TRADING",I614&lt;&gt;"",L614&lt;&gt;"",M614&lt;&gt;"",N614&lt;&gt;"",O614&lt;&gt;""),"Yes","No")</x:f>
        <x:v>Yes</x:v>
      </x:c>
      <x:c r="AA614" s="39" t="str">
        <x:v>https://developers.binance.com/en/docs/catalog/core-trading-spot-trading/api/rest-api</x:v>
      </x:c>
    </x:row>
    <x:row r="615">
      <x:c r="A615" s="30" t="str">
        <x:v>TVKUSDT</x:v>
      </x:c>
      <x:c r="B615" s="30" t="str">
        <x:v>TVK</x:v>
      </x:c>
      <x:c r="C615" s="30" t="str">
        <x:v>USDT</x:v>
      </x:c>
      <x:c r="D615" s="30" t="str">
        <x:v>BREAK</x:v>
      </x:c>
      <x:c r="E615" s="31" t="b">
        <x:v>1</x:v>
      </x:c>
      <x:c r="F615" s="32" t="n">
        <x:v>44414</x:v>
      </x:c>
      <x:c r="G615" s="32" t="n">
        <x:v>44414.999999988424</x:v>
      </x:c>
      <x:c r="H615" s="33" t="n">
        <x:f>IF(F615="","",('Summary'!$B$5-F615)/365.25)</x:f>
        <x:v>4.991136184310595</x:v>
      </x:c>
      <x:c r="I615" s="34" t="n">
        <x:v>0.05405</x:v>
      </x:c>
      <x:c r="J615" s="35" t="n">
        <x:v>0.00037</x:v>
      </x:c>
      <x:c r="K615" s="36" t="n">
        <x:v>18996930</x:v>
      </x:c>
      <x:c r="L615" s="36" t="n">
        <x:v>1009874.25101</x:v>
      </x:c>
      <x:c r="M615" s="37" t="n">
        <x:v>4001</x:v>
      </x:c>
      <x:c r="N615" s="34" t="n">
        <x:v>0</x:v>
      </x:c>
      <x:c r="O615" s="34" t="n">
        <x:v>0</x:v>
      </x:c>
      <x:c r="P615" s="38" t="str">
        <x:f>IF(OR(N615="",O615="",N615=0,O615=0),"",(O615-N615)/((O615+N615)/2))</x:f>
      </x:c>
      <x:c r="Q615" s="34" t="n">
        <x:v>0.05315987</x:v>
      </x:c>
      <x:c r="R615" s="34" t="n">
        <x:v>0.05468</x:v>
      </x:c>
      <x:c r="S615" s="34" t="n">
        <x:v>0.0518</x:v>
      </x:c>
      <x:c r="T615" s="32" t="n">
        <x:v>46209.26112309028</x:v>
      </x:c>
      <x:c r="U615" s="32" t="n">
        <x:v>46210.26112309028</x:v>
      </x:c>
      <x:c r="V615" s="34" t="n">
        <x:v>5</x:v>
      </x:c>
      <x:c r="W615" s="34" t="n">
        <x:v>1</x:v>
      </x:c>
      <x:c r="X615" s="34" t="n">
        <x:v>1</x:v>
      </x:c>
      <x:c r="Y615" s="34" t="n">
        <x:v>0.00001</x:v>
      </x:c>
      <x:c r="Z615" s="30" t="str">
        <x:f>IF(AND(D615="TRADING",I615&lt;&gt;"",L615&lt;&gt;"",M615&lt;&gt;"",N615&lt;&gt;"",O615&lt;&gt;""),"Yes","No")</x:f>
        <x:v>No</x:v>
      </x:c>
      <x:c r="AA615" s="39" t="str">
        <x:v>https://developers.binance.com/en/docs/catalog/core-trading-spot-trading/api/rest-api</x:v>
      </x:c>
    </x:row>
    <x:row r="616">
      <x:c r="A616" s="30" t="str">
        <x:v>TWTUSDT</x:v>
      </x:c>
      <x:c r="B616" s="30" t="str">
        <x:v>TWT</x:v>
      </x:c>
      <x:c r="C616" s="30" t="str">
        <x:v>USDT</x:v>
      </x:c>
      <x:c r="D616" s="30" t="str">
        <x:v>TRADING</x:v>
      </x:c>
      <x:c r="E616" s="31" t="b">
        <x:v>1</x:v>
      </x:c>
      <x:c r="F616" s="32" t="n">
        <x:v>44223</x:v>
      </x:c>
      <x:c r="G616" s="32" t="n">
        <x:v>44223.999999988424</x:v>
      </x:c>
      <x:c r="H616" s="33" t="n">
        <x:f>IF(F616="","",('Summary'!$B$5-F616)/365.25)</x:f>
        <x:v>5.514065684652826</x:v>
      </x:c>
      <x:c r="I616" s="34" t="n">
        <x:v>0.3771</x:v>
      </x:c>
      <x:c r="J616" s="35" t="n">
        <x:v>-0.0023799999999999997</x:v>
      </x:c>
      <x:c r="K616" s="36" t="n">
        <x:v>985563</x:v>
      </x:c>
      <x:c r="L616" s="36" t="n">
        <x:v>376735.3013</x:v>
      </x:c>
      <x:c r="M616" s="37" t="n">
        <x:v>9234</x:v>
      </x:c>
      <x:c r="N616" s="34" t="n">
        <x:v>0.377</x:v>
      </x:c>
      <x:c r="O616" s="34" t="n">
        <x:v>0.3775</x:v>
      </x:c>
      <x:c r="P616" s="38" t="n">
        <x:f>IF(OR(N616="",O616="",N616=0,O616=0),"",(O616-N616)/((O616+N616)/2))</x:f>
        <x:v>0.0013253810470510285</x:v>
      </x:c>
      <x:c r="Q616" s="34" t="n">
        <x:v>0.3822539</x:v>
      </x:c>
      <x:c r="R616" s="34" t="n">
        <x:v>0.3875</x:v>
      </x:c>
      <x:c r="S616" s="34" t="n">
        <x:v>0.3761</x:v>
      </x:c>
      <x:c r="T616" s="32" t="n">
        <x:v>46236.01247184028</x:v>
      </x:c>
      <x:c r="U616" s="32" t="n">
        <x:v>46237.01247184028</x:v>
      </x:c>
      <x:c r="V616" s="34" t="n">
        <x:v>5</x:v>
      </x:c>
      <x:c r="W616" s="34" t="n">
        <x:v>1</x:v>
      </x:c>
      <x:c r="X616" s="34" t="n">
        <x:v>1</x:v>
      </x:c>
      <x:c r="Y616" s="34" t="n">
        <x:v>0.0001</x:v>
      </x:c>
      <x:c r="Z616" s="30" t="str">
        <x:f>IF(AND(D616="TRADING",I616&lt;&gt;"",L616&lt;&gt;"",M616&lt;&gt;"",N616&lt;&gt;"",O616&lt;&gt;""),"Yes","No")</x:f>
        <x:v>Yes</x:v>
      </x:c>
      <x:c r="AA616" s="39" t="str">
        <x:v>https://developers.binance.com/en/docs/catalog/core-trading-spot-trading/api/rest-api</x:v>
      </x:c>
    </x:row>
    <x:row r="617">
      <x:c r="A617" s="30" t="str">
        <x:v>UFTUSDT</x:v>
      </x:c>
      <x:c r="B617" s="30" t="str">
        <x:v>UFT</x:v>
      </x:c>
      <x:c r="C617" s="30" t="str">
        <x:v>USDT</x:v>
      </x:c>
      <x:c r="D617" s="30" t="str">
        <x:v>BREAK</x:v>
      </x:c>
      <x:c r="E617" s="31" t="b">
        <x:v>1</x:v>
      </x:c>
      <x:c r="F617" s="32" t="n">
        <x:v>45002</x:v>
      </x:c>
      <x:c r="G617" s="32" t="n">
        <x:v>45002.999999988424</x:v>
      </x:c>
      <x:c r="H617" s="33" t="n">
        <x:f>IF(F617="","",('Summary'!$B$5-F617)/365.25)</x:f>
        <x:v>3.38127992147692</x:v>
      </x:c>
      <x:c r="I617" s="34" t="n">
        <x:v>0.0089</x:v>
      </x:c>
      <x:c r="J617" s="35" t="n">
        <x:v>-0.23276</x:v>
      </x:c>
      <x:c r="K617" s="36" t="n">
        <x:v>10771660</x:v>
      </x:c>
      <x:c r="L617" s="36" t="n">
        <x:v>107823.8976</x:v>
      </x:c>
      <x:c r="M617" s="37" t="n">
        <x:v>4001</x:v>
      </x:c>
      <x:c r="N617" s="34" t="n">
        <x:v>0</x:v>
      </x:c>
      <x:c r="O617" s="34" t="n">
        <x:v>0</x:v>
      </x:c>
      <x:c r="P617" s="38" t="str">
        <x:f>IF(OR(N617="",O617="",N617=0,O617=0),"",(O617-N617)/((O617+N617)/2))</x:f>
      </x:c>
      <x:c r="Q617" s="34" t="n">
        <x:v>0.01000996</x:v>
      </x:c>
      <x:c r="R617" s="34" t="n">
        <x:v>0.0121</x:v>
      </x:c>
      <x:c r="S617" s="34" t="n">
        <x:v>0.0086</x:v>
      </x:c>
      <x:c r="T617" s="32" t="n">
        <x:v>46209.26112309028</x:v>
      </x:c>
      <x:c r="U617" s="32" t="n">
        <x:v>46210.26112309028</x:v>
      </x:c>
      <x:c r="V617" s="34" t="n">
        <x:v>5</x:v>
      </x:c>
      <x:c r="W617" s="34" t="n">
        <x:v>1</x:v>
      </x:c>
      <x:c r="X617" s="34" t="n">
        <x:v>1</x:v>
      </x:c>
      <x:c r="Y617" s="34" t="n">
        <x:v>0.0001</x:v>
      </x:c>
      <x:c r="Z617" s="30" t="str">
        <x:f>IF(AND(D617="TRADING",I617&lt;&gt;"",L617&lt;&gt;"",M617&lt;&gt;"",N617&lt;&gt;"",O617&lt;&gt;""),"Yes","No")</x:f>
        <x:v>No</x:v>
      </x:c>
      <x:c r="AA617" s="39" t="str">
        <x:v>https://developers.binance.com/en/docs/catalog/core-trading-spot-trading/api/rest-api</x:v>
      </x:c>
    </x:row>
    <x:row r="618">
      <x:c r="A618" s="30" t="str">
        <x:v>UMAUSDT</x:v>
      </x:c>
      <x:c r="B618" s="30" t="str">
        <x:v>UMA</x:v>
      </x:c>
      <x:c r="C618" s="30" t="str">
        <x:v>USDT</x:v>
      </x:c>
      <x:c r="D618" s="30" t="str">
        <x:v>TRADING</x:v>
      </x:c>
      <x:c r="E618" s="31" t="b">
        <x:v>1</x:v>
      </x:c>
      <x:c r="F618" s="32" t="n">
        <x:v>44083</x:v>
      </x:c>
      <x:c r="G618" s="32" t="n">
        <x:v>44083.999999988424</x:v>
      </x:c>
      <x:c r="H618" s="33" t="n">
        <x:f>IF(F618="","",('Summary'!$B$5-F618)/365.25)</x:f>
        <x:v>5.897364794851321</x:v>
      </x:c>
      <x:c r="I618" s="34" t="n">
        <x:v>0.337</x:v>
      </x:c>
      <x:c r="J618" s="35" t="n">
        <x:v>-0.0059</x:v>
      </x:c>
      <x:c r="K618" s="36" t="n">
        <x:v>146478.6</x:v>
      </x:c>
      <x:c r="L618" s="36" t="n">
        <x:v>49668.7791</x:v>
      </x:c>
      <x:c r="M618" s="37" t="n">
        <x:v>649</x:v>
      </x:c>
      <x:c r="N618" s="34" t="n">
        <x:v>0.337</x:v>
      </x:c>
      <x:c r="O618" s="34" t="n">
        <x:v>0.338</x:v>
      </x:c>
      <x:c r="P618" s="38" t="n">
        <x:f>IF(OR(N618="",O618="",N618=0,O618=0),"",(O618-N618)/((O618+N618)/2))</x:f>
        <x:v>0.0029629629629629654</x:v>
      </x:c>
      <x:c r="Q618" s="34" t="n">
        <x:v>0.33908557</x:v>
      </x:c>
      <x:c r="R618" s="34" t="n">
        <x:v>0.346</x:v>
      </x:c>
      <x:c r="S618" s="34" t="n">
        <x:v>0.337</x:v>
      </x:c>
      <x:c r="T618" s="32" t="n">
        <x:v>46236.01152064815</x:v>
      </x:c>
      <x:c r="U618" s="32" t="n">
        <x:v>46237.01152064815</x:v>
      </x:c>
      <x:c r="V618" s="34" t="n">
        <x:v>5</x:v>
      </x:c>
      <x:c r="W618" s="34" t="n">
        <x:v>0.1</x:v>
      </x:c>
      <x:c r="X618" s="34" t="n">
        <x:v>0.1</x:v>
      </x:c>
      <x:c r="Y618" s="34" t="n">
        <x:v>0.001</x:v>
      </x:c>
      <x:c r="Z618" s="30" t="str">
        <x:f>IF(AND(D618="TRADING",I618&lt;&gt;"",L618&lt;&gt;"",M618&lt;&gt;"",N618&lt;&gt;"",O618&lt;&gt;""),"Yes","No")</x:f>
        <x:v>Yes</x:v>
      </x:c>
      <x:c r="AA618" s="39" t="str">
        <x:v>https://developers.binance.com/en/docs/catalog/core-trading-spot-trading/api/rest-api</x:v>
      </x:c>
    </x:row>
    <x:row r="619">
      <x:c r="A619" s="30" t="str">
        <x:v>UNFIUSDT</x:v>
      </x:c>
      <x:c r="B619" s="30" t="str">
        <x:v>UNFI</x:v>
      </x:c>
      <x:c r="C619" s="30" t="str">
        <x:v>USDT</x:v>
      </x:c>
      <x:c r="D619" s="30" t="str">
        <x:v>BREAK</x:v>
      </x:c>
      <x:c r="E619" s="31" t="b">
        <x:v>1</x:v>
      </x:c>
      <x:c r="F619" s="32" t="n">
        <x:v>44154</x:v>
      </x:c>
      <x:c r="G619" s="32" t="n">
        <x:v>44154.999999988424</x:v>
      </x:c>
      <x:c r="H619" s="33" t="n">
        <x:f>IF(F619="","",('Summary'!$B$5-F619)/365.25)</x:f>
        <x:v>5.702977388964942</x:v>
      </x:c>
      <x:c r="I619" s="34" t="n">
        <x:v>1.341</x:v>
      </x:c>
      <x:c r="J619" s="35" t="n">
        <x:v>-0.00075</x:v>
      </x:c>
      <x:c r="K619" s="36" t="n">
        <x:v>287970</x:v>
      </x:c>
      <x:c r="L619" s="36" t="n">
        <x:v>389135.2309</x:v>
      </x:c>
      <x:c r="M619" s="37" t="n">
        <x:v>4001</x:v>
      </x:c>
      <x:c r="N619" s="34" t="n">
        <x:v>0</x:v>
      </x:c>
      <x:c r="O619" s="34" t="n">
        <x:v>0</x:v>
      </x:c>
      <x:c r="P619" s="38" t="str">
        <x:f>IF(OR(N619="",O619="",N619=0,O619=0),"",(O619-N619)/((O619+N619)/2))</x:f>
      </x:c>
      <x:c r="Q619" s="34" t="n">
        <x:v>1.35130476</x:v>
      </x:c>
      <x:c r="R619" s="34" t="n">
        <x:v>1.43</x:v>
      </x:c>
      <x:c r="S619" s="34" t="n">
        <x:v>1.313</x:v>
      </x:c>
      <x:c r="T619" s="32" t="n">
        <x:v>46209.26112309028</x:v>
      </x:c>
      <x:c r="U619" s="32" t="n">
        <x:v>46210.26112309028</x:v>
      </x:c>
      <x:c r="V619" s="34" t="n">
        <x:v>5</x:v>
      </x:c>
      <x:c r="W619" s="34" t="n">
        <x:v>0.1</x:v>
      </x:c>
      <x:c r="X619" s="34" t="n">
        <x:v>0.1</x:v>
      </x:c>
      <x:c r="Y619" s="34" t="n">
        <x:v>0.001</x:v>
      </x:c>
      <x:c r="Z619" s="30" t="str">
        <x:f>IF(AND(D619="TRADING",I619&lt;&gt;"",L619&lt;&gt;"",M619&lt;&gt;"",N619&lt;&gt;"",O619&lt;&gt;""),"Yes","No")</x:f>
        <x:v>No</x:v>
      </x:c>
      <x:c r="AA619" s="39" t="str">
        <x:v>https://developers.binance.com/en/docs/catalog/core-trading-spot-trading/api/rest-api</x:v>
      </x:c>
    </x:row>
    <x:row r="620">
      <x:c r="A620" s="30" t="str">
        <x:v>UNIUSDT</x:v>
      </x:c>
      <x:c r="B620" s="30" t="str">
        <x:v>UNI</x:v>
      </x:c>
      <x:c r="C620" s="30" t="str">
        <x:v>USDT</x:v>
      </x:c>
      <x:c r="D620" s="30" t="str">
        <x:v>TRADING</x:v>
      </x:c>
      <x:c r="E620" s="31" t="b">
        <x:v>1</x:v>
      </x:c>
      <x:c r="F620" s="32" t="n">
        <x:v>44091</x:v>
      </x:c>
      <x:c r="G620" s="32" t="n">
        <x:v>44091.999999988424</x:v>
      </x:c>
      <x:c r="H620" s="33" t="n">
        <x:f>IF(F620="","",('Summary'!$B$5-F620)/365.25)</x:f>
        <x:v>5.875461988554264</x:v>
      </x:c>
      <x:c r="I620" s="34" t="n">
        <x:v>4.113</x:v>
      </x:c>
      <x:c r="J620" s="35" t="n">
        <x:v>0.00784</x:v>
      </x:c>
      <x:c r="K620" s="36" t="n">
        <x:v>3352580.34</x:v>
      </x:c>
      <x:c r="L620" s="36" t="n">
        <x:v>14040040.70013</x:v>
      </x:c>
      <x:c r="M620" s="37" t="n">
        <x:v>91257</x:v>
      </x:c>
      <x:c r="N620" s="34" t="n">
        <x:v>4.112</x:v>
      </x:c>
      <x:c r="O620" s="34" t="n">
        <x:v>4.113</x:v>
      </x:c>
      <x:c r="P620" s="38" t="n">
        <x:f>IF(OR(N620="",O620="",N620=0,O620=0),"",(O620-N620)/((O620+N620)/2))</x:f>
        <x:v>0.00024316109422500517</x:v>
      </x:c>
      <x:c r="Q620" s="34" t="n">
        <x:v>4.18783125</x:v>
      </x:c>
      <x:c r="R620" s="34" t="n">
        <x:v>4.295</x:v>
      </x:c>
      <x:c r="S620" s="34" t="n">
        <x:v>4.081</x:v>
      </x:c>
      <x:c r="T620" s="32" t="n">
        <x:v>46236.01248892361</x:v>
      </x:c>
      <x:c r="U620" s="32" t="n">
        <x:v>46237.01248892361</x:v>
      </x:c>
      <x:c r="V620" s="34" t="n">
        <x:v>5</x:v>
      </x:c>
      <x:c r="W620" s="34" t="n">
        <x:v>0.01</x:v>
      </x:c>
      <x:c r="X620" s="34" t="n">
        <x:v>0.01</x:v>
      </x:c>
      <x:c r="Y620" s="34" t="n">
        <x:v>0.001</x:v>
      </x:c>
      <x:c r="Z620" s="30" t="str">
        <x:f>IF(AND(D620="TRADING",I620&lt;&gt;"",L620&lt;&gt;"",M620&lt;&gt;"",N620&lt;&gt;"",O620&lt;&gt;""),"Yes","No")</x:f>
        <x:v>Yes</x:v>
      </x:c>
      <x:c r="AA620" s="39" t="str">
        <x:v>https://developers.binance.com/en/docs/catalog/core-trading-spot-trading/api/rest-api</x:v>
      </x:c>
    </x:row>
    <x:row r="621">
      <x:c r="A621" s="30" t="str">
        <x:v>USD1USDT</x:v>
      </x:c>
      <x:c r="B621" s="30" t="str">
        <x:v>USD1</x:v>
      </x:c>
      <x:c r="C621" s="30" t="str">
        <x:v>USDT</x:v>
      </x:c>
      <x:c r="D621" s="30" t="str">
        <x:v>TRADING</x:v>
      </x:c>
      <x:c r="E621" s="31" t="b">
        <x:v>1</x:v>
      </x:c>
      <x:c r="F621" s="32" t="n">
        <x:v>45799</x:v>
      </x:c>
      <x:c r="G621" s="32" t="n">
        <x:v>45799.999999988424</x:v>
      </x:c>
      <x:c r="H621" s="33" t="n">
        <x:f>IF(F621="","",('Summary'!$B$5-F621)/365.25)</x:f>
        <x:v>1.199212844132635</x:v>
      </x:c>
      <x:c r="I621" s="34" t="n">
        <x:v>0.99999</x:v>
      </x:c>
      <x:c r="J621" s="35" t="n">
        <x:v>0.00008</x:v>
      </x:c>
      <x:c r="K621" s="36" t="n">
        <x:v>60467140</x:v>
      </x:c>
      <x:c r="L621" s="36" t="n">
        <x:v>60466998.09852</x:v>
      </x:c>
      <x:c r="M621" s="37" t="n">
        <x:v>102510</x:v>
      </x:c>
      <x:c r="N621" s="34" t="n">
        <x:v>0.99999</x:v>
      </x:c>
      <x:c r="O621" s="34" t="n">
        <x:v>1</x:v>
      </x:c>
      <x:c r="P621" s="38" t="n">
        <x:f>IF(OR(N621="",O621="",N621=0,O621=0),"",(O621-N621)/((O621+N621)/2))</x:f>
        <x:v>0.000010000050000204492</x:v>
      </x:c>
      <x:c r="Q621" s="34" t="n">
        <x:v>0.99999765</x:v>
      </x:c>
      <x:c r="R621" s="34" t="n">
        <x:v>1.0002</x:v>
      </x:c>
      <x:c r="S621" s="34" t="n">
        <x:v>0.99981</x:v>
      </x:c>
      <x:c r="T621" s="32" t="n">
        <x:v>46236.012480833335</x:v>
      </x:c>
      <x:c r="U621" s="32" t="n">
        <x:v>46237.012480833335</x:v>
      </x:c>
      <x:c r="V621" s="34" t="n">
        <x:v>5</x:v>
      </x:c>
      <x:c r="W621" s="34" t="n">
        <x:v>1</x:v>
      </x:c>
      <x:c r="X621" s="34" t="n">
        <x:v>1</x:v>
      </x:c>
      <x:c r="Y621" s="34" t="n">
        <x:v>0.00001</x:v>
      </x:c>
      <x:c r="Z621" s="30" t="str">
        <x:f>IF(AND(D621="TRADING",I621&lt;&gt;"",L621&lt;&gt;"",M621&lt;&gt;"",N621&lt;&gt;"",O621&lt;&gt;""),"Yes","No")</x:f>
        <x:v>Yes</x:v>
      </x:c>
      <x:c r="AA621" s="39" t="str">
        <x:v>https://developers.binance.com/en/docs/catalog/core-trading-spot-trading/api/rest-api</x:v>
      </x:c>
    </x:row>
    <x:row r="622">
      <x:c r="A622" s="30" t="str">
        <x:v>USDCUSDT</x:v>
      </x:c>
      <x:c r="B622" s="30" t="str">
        <x:v>USDC</x:v>
      </x:c>
      <x:c r="C622" s="30" t="str">
        <x:v>USDT</x:v>
      </x:c>
      <x:c r="D622" s="30" t="str">
        <x:v>TRADING</x:v>
      </x:c>
      <x:c r="E622" s="31" t="b">
        <x:v>1</x:v>
      </x:c>
      <x:c r="F622" s="32" t="n">
        <x:v>43449</x:v>
      </x:c>
      <x:c r="G622" s="32" t="n">
        <x:v>43449.999999988424</x:v>
      </x:c>
      <x:c r="H622" s="33" t="n">
        <x:f>IF(F622="","",('Summary'!$B$5-F622)/365.25)</x:f>
        <x:v>7.633162193893073</x:v>
      </x:c>
      <x:c r="I622" s="34" t="n">
        <x:v>1.00094</x:v>
      </x:c>
      <x:c r="J622" s="35" t="n">
        <x:v>0.00016</x:v>
      </x:c>
      <x:c r="K622" s="36" t="n">
        <x:v>659266160</x:v>
      </x:c>
      <x:c r="L622" s="36" t="n">
        <x:v>659823128.15793</x:v>
      </x:c>
      <x:c r="M622" s="37" t="n">
        <x:v>624110</x:v>
      </x:c>
      <x:c r="N622" s="34" t="n">
        <x:v>1.00093</x:v>
      </x:c>
      <x:c r="O622" s="34" t="n">
        <x:v>1.00094</x:v>
      </x:c>
      <x:c r="P622" s="38" t="n">
        <x:f>IF(OR(N622="",O622="",N622=0,O622=0),"",(O622-N622)/((O622+N622)/2))</x:f>
        <x:v>0.000009990658733927244</x:v>
      </x:c>
      <x:c r="Q622" s="34" t="n">
        <x:v>1.00084483</x:v>
      </x:c>
      <x:c r="R622" s="34" t="n">
        <x:v>1.00096</x:v>
      </x:c>
      <x:c r="S622" s="34" t="n">
        <x:v>1.00077</x:v>
      </x:c>
      <x:c r="T622" s="32" t="n">
        <x:v>46236.01248085648</x:v>
      </x:c>
      <x:c r="U622" s="32" t="n">
        <x:v>46237.01248085648</x:v>
      </x:c>
      <x:c r="V622" s="34" t="n">
        <x:v>5</x:v>
      </x:c>
      <x:c r="W622" s="34" t="n">
        <x:v>1</x:v>
      </x:c>
      <x:c r="X622" s="34" t="n">
        <x:v>1</x:v>
      </x:c>
      <x:c r="Y622" s="34" t="n">
        <x:v>0.00001</x:v>
      </x:c>
      <x:c r="Z622" s="30" t="str">
        <x:f>IF(AND(D622="TRADING",I622&lt;&gt;"",L622&lt;&gt;"",M622&lt;&gt;"",N622&lt;&gt;"",O622&lt;&gt;""),"Yes","No")</x:f>
        <x:v>Yes</x:v>
      </x:c>
      <x:c r="AA622" s="39" t="str">
        <x:v>https://developers.binance.com/en/docs/catalog/core-trading-spot-trading/api/rest-api</x:v>
      </x:c>
    </x:row>
    <x:row r="623">
      <x:c r="A623" s="30" t="str">
        <x:v>USDEUSDT</x:v>
      </x:c>
      <x:c r="B623" s="30" t="str">
        <x:v>USDE</x:v>
      </x:c>
      <x:c r="C623" s="30" t="str">
        <x:v>USDT</x:v>
      </x:c>
      <x:c r="D623" s="30" t="str">
        <x:v>TRADING</x:v>
      </x:c>
      <x:c r="E623" s="31" t="b">
        <x:v>1</x:v>
      </x:c>
      <x:c r="F623" s="32" t="n">
        <x:v>45909</x:v>
      </x:c>
      <x:c r="G623" s="32" t="n">
        <x:v>45909.999999988424</x:v>
      </x:c>
      <x:c r="H623" s="33" t="n">
        <x:f>IF(F623="","",('Summary'!$B$5-F623)/365.25)</x:f>
        <x:v>0.8980492575481039</x:v>
      </x:c>
      <x:c r="I623" s="34" t="n">
        <x:v>1.0006</x:v>
      </x:c>
      <x:c r="J623" s="35" t="n">
        <x:v>-0.0004</x:v>
      </x:c>
      <x:c r="K623" s="36" t="n">
        <x:v>2505864</x:v>
      </x:c>
      <x:c r="L623" s="36" t="n">
        <x:v>2507273.3336</x:v>
      </x:c>
      <x:c r="M623" s="37" t="n">
        <x:v>353</x:v>
      </x:c>
      <x:c r="N623" s="34" t="n">
        <x:v>1.0006</x:v>
      </x:c>
      <x:c r="O623" s="34" t="n">
        <x:v>1.0007</x:v>
      </x:c>
      <x:c r="P623" s="38" t="n">
        <x:f>IF(OR(N623="",O623="",N623=0,O623=0),"",(O623-N623)/((O623+N623)/2))</x:f>
        <x:v>0.00009993504222254435</x:v>
      </x:c>
      <x:c r="Q623" s="34" t="n">
        <x:v>1.00056241</x:v>
      </x:c>
      <x:c r="R623" s="34" t="n">
        <x:v>1.001</x:v>
      </x:c>
      <x:c r="S623" s="34" t="n">
        <x:v>1.0004</x:v>
      </x:c>
      <x:c r="T623" s="32" t="n">
        <x:v>46236.008277106484</x:v>
      </x:c>
      <x:c r="U623" s="32" t="n">
        <x:v>46237.008277106484</x:v>
      </x:c>
      <x:c r="V623" s="34" t="n">
        <x:v>5</x:v>
      </x:c>
      <x:c r="W623" s="34" t="n">
        <x:v>1</x:v>
      </x:c>
      <x:c r="X623" s="34" t="n">
        <x:v>1</x:v>
      </x:c>
      <x:c r="Y623" s="34" t="n">
        <x:v>0.0001</x:v>
      </x:c>
      <x:c r="Z623" s="30" t="str">
        <x:f>IF(AND(D623="TRADING",I623&lt;&gt;"",L623&lt;&gt;"",M623&lt;&gt;"",N623&lt;&gt;"",O623&lt;&gt;""),"Yes","No")</x:f>
        <x:v>Yes</x:v>
      </x:c>
      <x:c r="AA623" s="39" t="str">
        <x:v>https://developers.binance.com/en/docs/catalog/core-trading-spot-trading/api/rest-api</x:v>
      </x:c>
    </x:row>
    <x:row r="624">
      <x:c r="A624" s="30" t="str">
        <x:v>USDPUSDT</x:v>
      </x:c>
      <x:c r="B624" s="30" t="str">
        <x:v>USDP</x:v>
      </x:c>
      <x:c r="C624" s="30" t="str">
        <x:v>USDT</x:v>
      </x:c>
      <x:c r="D624" s="30" t="str">
        <x:v>TRADING</x:v>
      </x:c>
      <x:c r="E624" s="31" t="b">
        <x:v>1</x:v>
      </x:c>
      <x:c r="F624" s="32" t="n">
        <x:v>44449</x:v>
      </x:c>
      <x:c r="G624" s="32" t="n">
        <x:v>44449.999999988424</x:v>
      </x:c>
      <x:c r="H624" s="33" t="n">
        <x:f>IF(F624="","",('Summary'!$B$5-F624)/365.25)</x:f>
        <x:v>4.895311406760972</x:v>
      </x:c>
      <x:c r="I624" s="34" t="n">
        <x:v>1.0007</x:v>
      </x:c>
      <x:c r="J624" s="35" t="n">
        <x:v>0.0003</x:v>
      </x:c>
      <x:c r="K624" s="36" t="n">
        <x:v>88535</x:v>
      </x:c>
      <x:c r="L624" s="36" t="n">
        <x:v>88521.1127</x:v>
      </x:c>
      <x:c r="M624" s="37" t="n">
        <x:v>774</x:v>
      </x:c>
      <x:c r="N624" s="34" t="n">
        <x:v>1.0005</x:v>
      </x:c>
      <x:c r="O624" s="34" t="n">
        <x:v>1.0007</x:v>
      </x:c>
      <x:c r="P624" s="38" t="n">
        <x:f>IF(OR(N624="",O624="",N624=0,O624=0),"",(O624-N624)/((O624+N624)/2))</x:f>
        <x:v>0.0001998800719568039</x:v>
      </x:c>
      <x:c r="Q624" s="34" t="n">
        <x:v>0.99984314</x:v>
      </x:c>
      <x:c r="R624" s="34" t="n">
        <x:v>1.0007</x:v>
      </x:c>
      <x:c r="S624" s="34" t="n">
        <x:v>0.998</x:v>
      </x:c>
      <x:c r="T624" s="32" t="n">
        <x:v>46236.012011238425</x:v>
      </x:c>
      <x:c r="U624" s="32" t="n">
        <x:v>46237.012011238425</x:v>
      </x:c>
      <x:c r="V624" s="34" t="n">
        <x:v>5</x:v>
      </x:c>
      <x:c r="W624" s="34" t="n">
        <x:v>1</x:v>
      </x:c>
      <x:c r="X624" s="34" t="n">
        <x:v>1</x:v>
      </x:c>
      <x:c r="Y624" s="34" t="n">
        <x:v>0.0001</x:v>
      </x:c>
      <x:c r="Z624" s="30" t="str">
        <x:f>IF(AND(D624="TRADING",I624&lt;&gt;"",L624&lt;&gt;"",M624&lt;&gt;"",N624&lt;&gt;"",O624&lt;&gt;""),"Yes","No")</x:f>
        <x:v>Yes</x:v>
      </x:c>
      <x:c r="AA624" s="39" t="str">
        <x:v>https://developers.binance.com/en/docs/catalog/core-trading-spot-trading/api/rest-api</x:v>
      </x:c>
    </x:row>
    <x:row r="625">
      <x:c r="A625" s="30" t="str">
        <x:v>USDSBUSDT</x:v>
      </x:c>
      <x:c r="B625" s="30" t="str">
        <x:v>USDSB</x:v>
      </x:c>
      <x:c r="C625" s="30" t="str">
        <x:v>USDT</x:v>
      </x:c>
      <x:c r="D625" s="30" t="str">
        <x:v>BREAK</x:v>
      </x:c>
      <x:c r="E625" s="31" t="b">
        <x:v>1</x:v>
      </x:c>
      <x:c r="F625" s="32" t="n">
        <x:v>43640</x:v>
      </x:c>
      <x:c r="G625" s="32" t="n">
        <x:v>43640.999999988424</x:v>
      </x:c>
      <x:c r="H625" s="33" t="n">
        <x:f>IF(F625="","",('Summary'!$B$5-F625)/365.25)</x:f>
        <x:v>7.1102326935508415</x:v>
      </x:c>
      <x:c r="I625" s="34" t="n">
        <x:v>0</x:v>
      </x:c>
      <x:c r="J625" s="35" t="n">
        <x:v>0</x:v>
      </x:c>
      <x:c r="K625" s="36" t="n">
        <x:v>0</x:v>
      </x:c>
      <x:c r="L625" s="36" t="n">
        <x:v>0</x:v>
      </x:c>
      <x:c r="M625" s="37" t="n">
        <x:v>0</x:v>
      </x:c>
      <x:c r="N625" s="34" t="n">
        <x:v>0</x:v>
      </x:c>
      <x:c r="O625" s="34" t="n">
        <x:v>0</x:v>
      </x:c>
      <x:c r="P625" s="38" t="str">
        <x:f>IF(OR(N625="",O625="",N625=0,O625=0),"",(O625-N625)/((O625+N625)/2))</x:f>
      </x:c>
      <x:c r="Q625" s="34" t="n">
        <x:v>0</x:v>
      </x:c>
      <x:c r="R625" s="34" t="n">
        <x:v>0</x:v>
      </x:c>
      <x:c r="S625" s="34" t="n">
        <x:v>0</x:v>
      </x:c>
      <x:c r="T625" s="32" t="n">
        <x:v>46209.26112309028</x:v>
      </x:c>
      <x:c r="U625" s="32" t="n">
        <x:v>46210.26112309028</x:v>
      </x:c>
      <x:c r="V625" s="34" t="n">
        <x:v>10</x:v>
      </x:c>
      <x:c r="W625" s="34" t="n">
        <x:v>0.01</x:v>
      </x:c>
      <x:c r="X625" s="34" t="n">
        <x:v>0.01</x:v>
      </x:c>
      <x:c r="Y625" s="34" t="n">
        <x:v>0.0001</x:v>
      </x:c>
      <x:c r="Z625" s="30" t="str">
        <x:f>IF(AND(D625="TRADING",I625&lt;&gt;"",L625&lt;&gt;"",M625&lt;&gt;"",N625&lt;&gt;"",O625&lt;&gt;""),"Yes","No")</x:f>
        <x:v>No</x:v>
      </x:c>
      <x:c r="AA625" s="39" t="str">
        <x:v>https://developers.binance.com/en/docs/catalog/core-trading-spot-trading/api/rest-api</x:v>
      </x:c>
    </x:row>
    <x:row r="626">
      <x:c r="A626" s="30" t="str">
        <x:v>USDSOLDUSDT</x:v>
      </x:c>
      <x:c r="B626" s="30" t="str">
        <x:v>USDSOLD</x:v>
      </x:c>
      <x:c r="C626" s="30" t="str">
        <x:v>USDT</x:v>
      </x:c>
      <x:c r="D626" s="30" t="str">
        <x:v>BREAK</x:v>
      </x:c>
      <x:c r="E626" s="31" t="b">
        <x:v>1</x:v>
      </x:c>
      <x:c r="F626" s="32" t="n">
        <x:v>43510</x:v>
      </x:c>
      <x:c r="G626" s="32" t="n">
        <x:v>43510.999999988424</x:v>
      </x:c>
      <x:c r="H626" s="33" t="n">
        <x:f>IF(F626="","",('Summary'!$B$5-F626)/365.25)</x:f>
        <x:v>7.466153295878015</x:v>
      </x:c>
      <x:c r="I626" s="34" t="n">
        <x:v>0</x:v>
      </x:c>
      <x:c r="J626" s="35" t="n">
        <x:v>0</x:v>
      </x:c>
      <x:c r="K626" s="36" t="n">
        <x:v>0</x:v>
      </x:c>
      <x:c r="L626" s="36" t="n">
        <x:v>0</x:v>
      </x:c>
      <x:c r="M626" s="37" t="n">
        <x:v>0</x:v>
      </x:c>
      <x:c r="N626" s="34" t="n">
        <x:v>0</x:v>
      </x:c>
      <x:c r="O626" s="34" t="n">
        <x:v>0</x:v>
      </x:c>
      <x:c r="P626" s="38" t="str">
        <x:f>IF(OR(N626="",O626="",N626=0,O626=0),"",(O626-N626)/((O626+N626)/2))</x:f>
      </x:c>
      <x:c r="Q626" s="34" t="n">
        <x:v>0</x:v>
      </x:c>
      <x:c r="R626" s="34" t="n">
        <x:v>0</x:v>
      </x:c>
      <x:c r="S626" s="34" t="n">
        <x:v>0</x:v>
      </x:c>
      <x:c r="T626" s="32" t="n">
        <x:v>46209.26112309028</x:v>
      </x:c>
      <x:c r="U626" s="32" t="n">
        <x:v>46210.26112309028</x:v>
      </x:c>
      <x:c r="V626" s="34" t="n">
        <x:v>10</x:v>
      </x:c>
      <x:c r="W626" s="34" t="n">
        <x:v>0.01</x:v>
      </x:c>
      <x:c r="X626" s="34" t="n">
        <x:v>0.01</x:v>
      </x:c>
      <x:c r="Y626" s="34" t="n">
        <x:v>0.0001</x:v>
      </x:c>
      <x:c r="Z626" s="30" t="str">
        <x:f>IF(AND(D626="TRADING",I626&lt;&gt;"",L626&lt;&gt;"",M626&lt;&gt;"",N626&lt;&gt;"",O626&lt;&gt;""),"Yes","No")</x:f>
        <x:v>No</x:v>
      </x:c>
      <x:c r="AA626" s="39" t="str">
        <x:v>https://developers.binance.com/en/docs/catalog/core-trading-spot-trading/api/rest-api</x:v>
      </x:c>
    </x:row>
    <x:row r="627">
      <x:c r="A627" s="30" t="str">
        <x:v>USDSUSDT</x:v>
      </x:c>
      <x:c r="B627" s="30" t="str">
        <x:v>USDS</x:v>
      </x:c>
      <x:c r="C627" s="30" t="str">
        <x:v>USDT</x:v>
      </x:c>
      <x:c r="D627" s="30" t="str">
        <x:v>TRADING</x:v>
      </x:c>
      <x:c r="E627" s="31" t="b">
        <x:v>1</x:v>
      </x:c>
      <x:c r="F627" s="32" t="n">
        <x:v>46121</x:v>
      </x:c>
      <x:c r="G627" s="32" t="n">
        <x:v>46121.999999988424</x:v>
      </x:c>
      <x:c r="H627" s="33" t="n">
        <x:f>IF(F627="","",('Summary'!$B$5-F627)/365.25)</x:f>
        <x:v>0.31762489067609845</x:v>
      </x:c>
      <x:c r="I627" s="34" t="n">
        <x:v>1.0008</x:v>
      </x:c>
      <x:c r="J627" s="35" t="n">
        <x:v>0.0001</x:v>
      </x:c>
      <x:c r="K627" s="36" t="n">
        <x:v>118824</x:v>
      </x:c>
      <x:c r="L627" s="36" t="n">
        <x:v>118920.9402</x:v>
      </x:c>
      <x:c r="M627" s="37" t="n">
        <x:v>964</x:v>
      </x:c>
      <x:c r="N627" s="34" t="n">
        <x:v>1.0008</x:v>
      </x:c>
      <x:c r="O627" s="34" t="n">
        <x:v>1.0009</x:v>
      </x:c>
      <x:c r="P627" s="38" t="n">
        <x:f>IF(OR(N627="",O627="",N627=0,O627=0),"",(O627-N627)/((O627+N627)/2))</x:f>
        <x:v>0.00009991507218862867</x:v>
      </x:c>
      <x:c r="Q627" s="34" t="n">
        <x:v>1.00081583</x:v>
      </x:c>
      <x:c r="R627" s="34" t="n">
        <x:v>1.0009</x:v>
      </x:c>
      <x:c r="S627" s="34" t="n">
        <x:v>1.0007</x:v>
      </x:c>
      <x:c r="T627" s="32" t="n">
        <x:v>46236.011806076385</x:v>
      </x:c>
      <x:c r="U627" s="32" t="n">
        <x:v>46237.011806076385</x:v>
      </x:c>
      <x:c r="V627" s="34" t="n">
        <x:v>5</x:v>
      </x:c>
      <x:c r="W627" s="34" t="n">
        <x:v>1</x:v>
      </x:c>
      <x:c r="X627" s="34" t="n">
        <x:v>1</x:v>
      </x:c>
      <x:c r="Y627" s="34" t="n">
        <x:v>0.0001</x:v>
      </x:c>
      <x:c r="Z627" s="30" t="str">
        <x:f>IF(AND(D627="TRADING",I627&lt;&gt;"",L627&lt;&gt;"",M627&lt;&gt;"",N627&lt;&gt;"",O627&lt;&gt;""),"Yes","No")</x:f>
        <x:v>Yes</x:v>
      </x:c>
      <x:c r="AA627" s="39" t="str">
        <x:v>https://developers.binance.com/en/docs/catalog/core-trading-spot-trading/api/rest-api</x:v>
      </x:c>
    </x:row>
    <x:row r="628">
      <x:c r="A628" s="30" t="str">
        <x:v>USTCUSDT</x:v>
      </x:c>
      <x:c r="B628" s="30" t="str">
        <x:v>USTC</x:v>
      </x:c>
      <x:c r="C628" s="30" t="str">
        <x:v>USDT</x:v>
      </x:c>
      <x:c r="D628" s="30" t="str">
        <x:v>TRADING</x:v>
      </x:c>
      <x:c r="E628" s="31" t="b">
        <x:v>1</x:v>
      </x:c>
      <x:c r="F628" s="32" t="n">
        <x:v>44995</x:v>
      </x:c>
      <x:c r="G628" s="32" t="n">
        <x:v>44995.999999988424</x:v>
      </x:c>
      <x:c r="H628" s="33" t="n">
        <x:f>IF(F628="","",('Summary'!$B$5-F628)/365.25)</x:f>
        <x:v>3.4004448769868447</x:v>
      </x:c>
      <x:c r="I628" s="34" t="n">
        <x:v>0.00501</x:v>
      </x:c>
      <x:c r="J628" s="35" t="n">
        <x:v>0.02664</x:v>
      </x:c>
      <x:c r="K628" s="36" t="n">
        <x:v>74627682</x:v>
      </x:c>
      <x:c r="L628" s="36" t="n">
        <x:v>375015.94871</x:v>
      </x:c>
      <x:c r="M628" s="37" t="n">
        <x:v>4060</x:v>
      </x:c>
      <x:c r="N628" s="34" t="n">
        <x:v>0.005</x:v>
      </x:c>
      <x:c r="O628" s="34" t="n">
        <x:v>0.00501</x:v>
      </x:c>
      <x:c r="P628" s="38" t="n">
        <x:f>IF(OR(N628="",O628="",N628=0,O628=0),"",(O628-N628)/((O628+N628)/2))</x:f>
        <x:v>0.0019980019980019165</x:v>
      </x:c>
      <x:c r="Q628" s="34" t="n">
        <x:v>0.00502516</x:v>
      </x:c>
      <x:c r="R628" s="34" t="n">
        <x:v>0.00519</x:v>
      </x:c>
      <x:c r="S628" s="34" t="n">
        <x:v>0.00486</x:v>
      </x:c>
      <x:c r="T628" s="32" t="n">
        <x:v>46236.01183609954</x:v>
      </x:c>
      <x:c r="U628" s="32" t="n">
        <x:v>46237.01183609954</x:v>
      </x:c>
      <x:c r="V628" s="34" t="n">
        <x:v>5</x:v>
      </x:c>
      <x:c r="W628" s="34" t="n">
        <x:v>1</x:v>
      </x:c>
      <x:c r="X628" s="34" t="n">
        <x:v>1</x:v>
      </x:c>
      <x:c r="Y628" s="34" t="n">
        <x:v>0.00001</x:v>
      </x:c>
      <x:c r="Z628" s="30" t="str">
        <x:f>IF(AND(D628="TRADING",I628&lt;&gt;"",L628&lt;&gt;"",M628&lt;&gt;"",N628&lt;&gt;"",O628&lt;&gt;""),"Yes","No")</x:f>
        <x:v>Yes</x:v>
      </x:c>
      <x:c r="AA628" s="39" t="str">
        <x:v>https://developers.binance.com/en/docs/catalog/core-trading-spot-trading/api/rest-api</x:v>
      </x:c>
    </x:row>
    <x:row r="629">
      <x:c r="A629" s="30" t="str">
        <x:v>USTUSDT</x:v>
      </x:c>
      <x:c r="B629" s="30" t="str">
        <x:v>UST</x:v>
      </x:c>
      <x:c r="C629" s="30" t="str">
        <x:v>USDT</x:v>
      </x:c>
      <x:c r="D629" s="30" t="str">
        <x:v>BREAK</x:v>
      </x:c>
      <x:c r="E629" s="31" t="b">
        <x:v>1</x:v>
      </x:c>
      <x:c r="F629" s="32" t="n">
        <x:v>44554</x:v>
      </x:c>
      <x:c r="G629" s="32" t="n">
        <x:v>44554.999999988424</x:v>
      </x:c>
      <x:c r="H629" s="33" t="n">
        <x:f>IF(F629="","",('Summary'!$B$5-F629)/365.25)</x:f>
        <x:v>4.607837074112101</x:v>
      </x:c>
      <x:c r="I629" s="34" t="n">
        <x:v>0</x:v>
      </x:c>
      <x:c r="J629" s="35" t="n">
        <x:v>0</x:v>
      </x:c>
      <x:c r="K629" s="36" t="n">
        <x:v>0</x:v>
      </x:c>
      <x:c r="L629" s="36" t="n">
        <x:v>0</x:v>
      </x:c>
      <x:c r="M629" s="37" t="n">
        <x:v>0</x:v>
      </x:c>
      <x:c r="N629" s="34" t="n">
        <x:v>0</x:v>
      </x:c>
      <x:c r="O629" s="34" t="n">
        <x:v>0</x:v>
      </x:c>
      <x:c r="P629" s="38" t="str">
        <x:f>IF(OR(N629="",O629="",N629=0,O629=0),"",(O629-N629)/((O629+N629)/2))</x:f>
      </x:c>
      <x:c r="Q629" s="34" t="n">
        <x:v>0</x:v>
      </x:c>
      <x:c r="R629" s="34" t="n">
        <x:v>0</x:v>
      </x:c>
      <x:c r="S629" s="34" t="n">
        <x:v>0</x:v>
      </x:c>
      <x:c r="T629" s="32" t="n">
        <x:v>46209.26112309028</x:v>
      </x:c>
      <x:c r="U629" s="32" t="n">
        <x:v>46210.26112309028</x:v>
      </x:c>
      <x:c r="V629" s="34" t="n">
        <x:v>10</x:v>
      </x:c>
      <x:c r="W629" s="34" t="n">
        <x:v>1</x:v>
      </x:c>
      <x:c r="X629" s="34" t="n">
        <x:v>1</x:v>
      </x:c>
      <x:c r="Y629" s="34" t="n">
        <x:v>0.000001</x:v>
      </x:c>
      <x:c r="Z629" s="30" t="str">
        <x:f>IF(AND(D629="TRADING",I629&lt;&gt;"",L629&lt;&gt;"",M629&lt;&gt;"",N629&lt;&gt;"",O629&lt;&gt;""),"Yes","No")</x:f>
        <x:v>No</x:v>
      </x:c>
      <x:c r="AA629" s="39" t="str">
        <x:v>https://developers.binance.com/en/docs/catalog/core-trading-spot-trading/api/rest-api</x:v>
      </x:c>
    </x:row>
    <x:row r="630">
      <x:c r="A630" s="30" t="str">
        <x:v>USUALUSDT</x:v>
      </x:c>
      <x:c r="B630" s="30" t="str">
        <x:v>USUAL</x:v>
      </x:c>
      <x:c r="C630" s="30" t="str">
        <x:v>USDT</x:v>
      </x:c>
      <x:c r="D630" s="30" t="str">
        <x:v>TRADING</x:v>
      </x:c>
      <x:c r="E630" s="31" t="b">
        <x:v>1</x:v>
      </x:c>
      <x:c r="F630" s="32" t="n">
        <x:v>45615</x:v>
      </x:c>
      <x:c r="G630" s="32" t="n">
        <x:v>45615.999999988424</x:v>
      </x:c>
      <x:c r="H630" s="33" t="n">
        <x:f>IF(F630="","",('Summary'!$B$5-F630)/365.25)</x:f>
        <x:v>1.7029773889649418</x:v>
      </x:c>
      <x:c r="I630" s="34" t="n">
        <x:v>0.0079</x:v>
      </x:c>
      <x:c r="J630" s="35" t="n">
        <x:v>0.00509</x:v>
      </x:c>
      <x:c r="K630" s="36" t="n">
        <x:v>33270030.4</x:v>
      </x:c>
      <x:c r="L630" s="36" t="n">
        <x:v>262373.824057</x:v>
      </x:c>
      <x:c r="M630" s="37" t="n">
        <x:v>3864</x:v>
      </x:c>
      <x:c r="N630" s="34" t="n">
        <x:v>0.0079</x:v>
      </x:c>
      <x:c r="O630" s="34" t="n">
        <x:v>0.00791</x:v>
      </x:c>
      <x:c r="P630" s="38" t="n">
        <x:f>IF(OR(N630="",O630="",N630=0,O630=0),"",(O630-N630)/((O630+N630)/2))</x:f>
        <x:v>0.0012650221378873614</x:v>
      </x:c>
      <x:c r="Q630" s="34" t="n">
        <x:v>0.00788619</x:v>
      </x:c>
      <x:c r="R630" s="34" t="n">
        <x:v>0.00803</x:v>
      </x:c>
      <x:c r="S630" s="34" t="n">
        <x:v>0.00775</x:v>
      </x:c>
      <x:c r="T630" s="32" t="n">
        <x:v>46236.0120215625</x:v>
      </x:c>
      <x:c r="U630" s="32" t="n">
        <x:v>46237.0120215625</x:v>
      </x:c>
      <x:c r="V630" s="34" t="n">
        <x:v>5</x:v>
      </x:c>
      <x:c r="W630" s="34" t="n">
        <x:v>0.1</x:v>
      </x:c>
      <x:c r="X630" s="34" t="n">
        <x:v>0.1</x:v>
      </x:c>
      <x:c r="Y630" s="34" t="n">
        <x:v>0.00001</x:v>
      </x:c>
      <x:c r="Z630" s="30" t="str">
        <x:f>IF(AND(D630="TRADING",I630&lt;&gt;"",L630&lt;&gt;"",M630&lt;&gt;"",N630&lt;&gt;"",O630&lt;&gt;""),"Yes","No")</x:f>
        <x:v>Yes</x:v>
      </x:c>
      <x:c r="AA630" s="39" t="str">
        <x:v>https://developers.binance.com/en/docs/catalog/core-trading-spot-trading/api/rest-api</x:v>
      </x:c>
    </x:row>
    <x:row r="631">
      <x:c r="A631" s="30" t="str">
        <x:v>UTKUSDT</x:v>
      </x:c>
      <x:c r="B631" s="30" t="str">
        <x:v>UTK</x:v>
      </x:c>
      <x:c r="C631" s="30" t="str">
        <x:v>USDT</x:v>
      </x:c>
      <x:c r="D631" s="30" t="str">
        <x:v>BREAK</x:v>
      </x:c>
      <x:c r="E631" s="31" t="b">
        <x:v>1</x:v>
      </x:c>
      <x:c r="F631" s="32" t="n">
        <x:v>44106</x:v>
      </x:c>
      <x:c r="G631" s="32" t="n">
        <x:v>44106.999999988424</x:v>
      </x:c>
      <x:c r="H631" s="33" t="n">
        <x:f>IF(F631="","",('Summary'!$B$5-F631)/365.25)</x:f>
        <x:v>5.834394226747283</x:v>
      </x:c>
      <x:c r="I631" s="34" t="n">
        <x:v>0.00795</x:v>
      </x:c>
      <x:c r="J631" s="35" t="n">
        <x:v>0.16228</x:v>
      </x:c>
      <x:c r="K631" s="36" t="n">
        <x:v>750083995</x:v>
      </x:c>
      <x:c r="L631" s="36" t="n">
        <x:v>10207948.62723</x:v>
      </x:c>
      <x:c r="M631" s="37" t="n">
        <x:v>136826</x:v>
      </x:c>
      <x:c r="N631" s="34" t="n">
        <x:v>0</x:v>
      </x:c>
      <x:c r="O631" s="34" t="n">
        <x:v>0</x:v>
      </x:c>
      <x:c r="P631" s="38" t="str">
        <x:f>IF(OR(N631="",O631="",N631=0,O631=0),"",(O631-N631)/((O631+N631)/2))</x:f>
      </x:c>
      <x:c r="Q631" s="34" t="n">
        <x:v>0.01360907</x:v>
      </x:c>
      <x:c r="R631" s="34" t="n">
        <x:v>0.0244</x:v>
      </x:c>
      <x:c r="S631" s="34" t="n">
        <x:v>0.00677</x:v>
      </x:c>
      <x:c r="T631" s="32" t="n">
        <x:v>46209.26112309028</x:v>
      </x:c>
      <x:c r="U631" s="32" t="n">
        <x:v>46210.26112309028</x:v>
      </x:c>
      <x:c r="V631" s="34" t="n">
        <x:v>5</x:v>
      </x:c>
      <x:c r="W631" s="34" t="n">
        <x:v>1</x:v>
      </x:c>
      <x:c r="X631" s="34" t="n">
        <x:v>1</x:v>
      </x:c>
      <x:c r="Y631" s="34" t="n">
        <x:v>0.00001</x:v>
      </x:c>
      <x:c r="Z631" s="30" t="str">
        <x:f>IF(AND(D631="TRADING",I631&lt;&gt;"",L631&lt;&gt;"",M631&lt;&gt;"",N631&lt;&gt;"",O631&lt;&gt;""),"Yes","No")</x:f>
        <x:v>No</x:v>
      </x:c>
      <x:c r="AA631" s="39" t="str">
        <x:v>https://developers.binance.com/en/docs/catalog/core-trading-spot-trading/api/rest-api</x:v>
      </x:c>
    </x:row>
    <x:row r="632">
      <x:c r="A632" s="30" t="str">
        <x:v>UUSDT</x:v>
      </x:c>
      <x:c r="B632" s="30" t="str">
        <x:v>U</x:v>
      </x:c>
      <x:c r="C632" s="30" t="str">
        <x:v>USDT</x:v>
      </x:c>
      <x:c r="D632" s="30" t="str">
        <x:v>TRADING</x:v>
      </x:c>
      <x:c r="E632" s="31" t="b">
        <x:v>1</x:v>
      </x:c>
      <x:c r="F632" s="32" t="n">
        <x:v>46035</x:v>
      </x:c>
      <x:c r="G632" s="32" t="n">
        <x:v>46035.999999988424</x:v>
      </x:c>
      <x:c r="H632" s="33" t="n">
        <x:f>IF(F632="","",('Summary'!$B$5-F632)/365.25)</x:f>
        <x:v>0.5530800583694592</x:v>
      </x:c>
      <x:c r="I632" s="34" t="n">
        <x:v>1.0007</x:v>
      </x:c>
      <x:c r="J632" s="35" t="n">
        <x:v>0.0002</x:v>
      </x:c>
      <x:c r="K632" s="36" t="n">
        <x:v>9711857</x:v>
      </x:c>
      <x:c r="L632" s="36" t="n">
        <x:v>9717876.1133</x:v>
      </x:c>
      <x:c r="M632" s="37" t="n">
        <x:v>10740</x:v>
      </x:c>
      <x:c r="N632" s="34" t="n">
        <x:v>1.0007</x:v>
      </x:c>
      <x:c r="O632" s="34" t="n">
        <x:v>1.0008</x:v>
      </x:c>
      <x:c r="P632" s="38" t="n">
        <x:f>IF(OR(N632="",O632="",N632=0,O632=0),"",(O632-N632)/((O632+N632)/2))</x:f>
        <x:v>0.00009992505620783311</x:v>
      </x:c>
      <x:c r="Q632" s="34" t="n">
        <x:v>1.00061977</x:v>
      </x:c>
      <x:c r="R632" s="34" t="n">
        <x:v>1.0008</x:v>
      </x:c>
      <x:c r="S632" s="34" t="n">
        <x:v>1.0005</x:v>
      </x:c>
      <x:c r="T632" s="32" t="n">
        <x:v>46236.01239326389</x:v>
      </x:c>
      <x:c r="U632" s="32" t="n">
        <x:v>46237.01239326389</x:v>
      </x:c>
      <x:c r="V632" s="34" t="n">
        <x:v>5</x:v>
      </x:c>
      <x:c r="W632" s="34" t="n">
        <x:v>1</x:v>
      </x:c>
      <x:c r="X632" s="34" t="n">
        <x:v>1</x:v>
      </x:c>
      <x:c r="Y632" s="34" t="n">
        <x:v>0.0001</x:v>
      </x:c>
      <x:c r="Z632" s="30" t="str">
        <x:f>IF(AND(D632="TRADING",I632&lt;&gt;"",L632&lt;&gt;"",M632&lt;&gt;"",N632&lt;&gt;"",O632&lt;&gt;""),"Yes","No")</x:f>
        <x:v>Yes</x:v>
      </x:c>
      <x:c r="AA632" s="39" t="str">
        <x:v>https://developers.binance.com/en/docs/catalog/core-trading-spot-trading/api/rest-api</x:v>
      </x:c>
    </x:row>
    <x:row r="633">
      <x:c r="A633" s="30" t="str">
        <x:v>VANAUSDT</x:v>
      </x:c>
      <x:c r="B633" s="30" t="str">
        <x:v>VANA</x:v>
      </x:c>
      <x:c r="C633" s="30" t="str">
        <x:v>USDT</x:v>
      </x:c>
      <x:c r="D633" s="30" t="str">
        <x:v>TRADING</x:v>
      </x:c>
      <x:c r="E633" s="31" t="b">
        <x:v>1</x:v>
      </x:c>
      <x:c r="F633" s="32" t="n">
        <x:v>45642</x:v>
      </x:c>
      <x:c r="G633" s="32" t="n">
        <x:v>45642.999999988424</x:v>
      </x:c>
      <x:c r="H633" s="33" t="n">
        <x:f>IF(F633="","",('Summary'!$B$5-F633)/365.25)</x:f>
        <x:v>1.629055417712375</x:v>
      </x:c>
      <x:c r="I633" s="34" t="n">
        <x:v>0.853</x:v>
      </x:c>
      <x:c r="J633" s="35" t="n">
        <x:v>-0.04157</x:v>
      </x:c>
      <x:c r="K633" s="36" t="n">
        <x:v>746053.99</x:v>
      </x:c>
      <x:c r="L633" s="36" t="n">
        <x:v>651514.25031</x:v>
      </x:c>
      <x:c r="M633" s="37" t="n">
        <x:v>6162</x:v>
      </x:c>
      <x:c r="N633" s="34" t="n">
        <x:v>0.852</x:v>
      </x:c>
      <x:c r="O633" s="34" t="n">
        <x:v>0.853</x:v>
      </x:c>
      <x:c r="P633" s="38" t="n">
        <x:f>IF(OR(N633="",O633="",N633=0,O633=0),"",(O633-N633)/((O633+N633)/2))</x:f>
        <x:v>0.0011730205278592386</x:v>
      </x:c>
      <x:c r="Q633" s="34" t="n">
        <x:v>0.8732803</x:v>
      </x:c>
      <x:c r="R633" s="34" t="n">
        <x:v>0.895</x:v>
      </x:c>
      <x:c r="S633" s="34" t="n">
        <x:v>0.851</x:v>
      </x:c>
      <x:c r="T633" s="32" t="n">
        <x:v>46236.01246550926</x:v>
      </x:c>
      <x:c r="U633" s="32" t="n">
        <x:v>46237.01246550926</x:v>
      </x:c>
      <x:c r="V633" s="34" t="n">
        <x:v>5</x:v>
      </x:c>
      <x:c r="W633" s="34" t="n">
        <x:v>0.01</x:v>
      </x:c>
      <x:c r="X633" s="34" t="n">
        <x:v>0.01</x:v>
      </x:c>
      <x:c r="Y633" s="34" t="n">
        <x:v>0.001</x:v>
      </x:c>
      <x:c r="Z633" s="30" t="str">
        <x:f>IF(AND(D633="TRADING",I633&lt;&gt;"",L633&lt;&gt;"",M633&lt;&gt;"",N633&lt;&gt;"",O633&lt;&gt;""),"Yes","No")</x:f>
        <x:v>Yes</x:v>
      </x:c>
      <x:c r="AA633" s="39" t="str">
        <x:v>https://developers.binance.com/en/docs/catalog/core-trading-spot-trading/api/rest-api</x:v>
      </x:c>
    </x:row>
    <x:row r="634">
      <x:c r="A634" s="30" t="str">
        <x:v>VANRYUSDT</x:v>
      </x:c>
      <x:c r="B634" s="30" t="str">
        <x:v>VANRY</x:v>
      </x:c>
      <x:c r="C634" s="30" t="str">
        <x:v>USDT</x:v>
      </x:c>
      <x:c r="D634" s="30" t="str">
        <x:v>TRADING</x:v>
      </x:c>
      <x:c r="E634" s="31" t="b">
        <x:v>1</x:v>
      </x:c>
      <x:c r="F634" s="32" t="n">
        <x:v>45261</x:v>
      </x:c>
      <x:c r="G634" s="32" t="n">
        <x:v>45261.999999988424</x:v>
      </x:c>
      <x:c r="H634" s="33" t="n">
        <x:f>IF(F634="","",('Summary'!$B$5-F634)/365.25)</x:f>
        <x:v>2.672176567609706</x:v>
      </x:c>
      <x:c r="I634" s="34" t="n">
        <x:v>0.003714</x:v>
      </x:c>
      <x:c r="J634" s="35" t="n">
        <x:v>-0.04352</x:v>
      </x:c>
      <x:c r="K634" s="36" t="n">
        <x:v>238601236</x:v>
      </x:c>
      <x:c r="L634" s="36" t="n">
        <x:v>904613.270288</x:v>
      </x:c>
      <x:c r="M634" s="37" t="n">
        <x:v>10170</x:v>
      </x:c>
      <x:c r="N634" s="34" t="n">
        <x:v>0.003714</x:v>
      </x:c>
      <x:c r="O634" s="34" t="n">
        <x:v>0.003717</x:v>
      </x:c>
      <x:c r="P634" s="38" t="n">
        <x:f>IF(OR(N634="",O634="",N634=0,O634=0),"",(O634-N634)/((O634+N634)/2))</x:f>
        <x:v>0.0008074283407347502</x:v>
      </x:c>
      <x:c r="Q634" s="34" t="n">
        <x:v>0.00379132</x:v>
      </x:c>
      <x:c r="R634" s="34" t="n">
        <x:v>0.003922</x:v>
      </x:c>
      <x:c r="S634" s="34" t="n">
        <x:v>0.0037</x:v>
      </x:c>
      <x:c r="T634" s="32" t="n">
        <x:v>46236.01235314815</x:v>
      </x:c>
      <x:c r="U634" s="32" t="n">
        <x:v>46237.01235314815</x:v>
      </x:c>
      <x:c r="V634" s="34" t="n">
        <x:v>5</x:v>
      </x:c>
      <x:c r="W634" s="34" t="n">
        <x:v>1</x:v>
      </x:c>
      <x:c r="X634" s="34" t="n">
        <x:v>1</x:v>
      </x:c>
      <x:c r="Y634" s="34" t="n">
        <x:v>0.000001</x:v>
      </x:c>
      <x:c r="Z634" s="30" t="str">
        <x:f>IF(AND(D634="TRADING",I634&lt;&gt;"",L634&lt;&gt;"",M634&lt;&gt;"",N634&lt;&gt;"",O634&lt;&gt;""),"Yes","No")</x:f>
        <x:v>Yes</x:v>
      </x:c>
      <x:c r="AA634" s="39" t="str">
        <x:v>https://developers.binance.com/en/docs/catalog/core-trading-spot-trading/api/rest-api</x:v>
      </x:c>
    </x:row>
    <x:row r="635">
      <x:c r="A635" s="30" t="str">
        <x:v>VELODROMEUSDT</x:v>
      </x:c>
      <x:c r="B635" s="30" t="str">
        <x:v>VELODROME</x:v>
      </x:c>
      <x:c r="C635" s="30" t="str">
        <x:v>USDT</x:v>
      </x:c>
      <x:c r="D635" s="30" t="str">
        <x:v>TRADING</x:v>
      </x:c>
      <x:c r="E635" s="31" t="b">
        <x:v>1</x:v>
      </x:c>
      <x:c r="F635" s="32" t="n">
        <x:v>45639</x:v>
      </x:c>
      <x:c r="G635" s="32" t="n">
        <x:v>45639.999999988424</x:v>
      </x:c>
      <x:c r="H635" s="33" t="n">
        <x:f>IF(F635="","",('Summary'!$B$5-F635)/365.25)</x:f>
        <x:v>1.6372689700737713</x:v>
      </x:c>
      <x:c r="I635" s="34" t="n">
        <x:v>0.01653</x:v>
      </x:c>
      <x:c r="J635" s="35" t="n">
        <x:v>-0.00899</x:v>
      </x:c>
      <x:c r="K635" s="36" t="n">
        <x:v>4592661.1</x:v>
      </x:c>
      <x:c r="L635" s="36" t="n">
        <x:v>76000.320446</x:v>
      </x:c>
      <x:c r="M635" s="37" t="n">
        <x:v>4319</x:v>
      </x:c>
      <x:c r="N635" s="34" t="n">
        <x:v>0.01652</x:v>
      </x:c>
      <x:c r="O635" s="34" t="n">
        <x:v>0.01654</x:v>
      </x:c>
      <x:c r="P635" s="38" t="n">
        <x:f>IF(OR(N635="",O635="",N635=0,O635=0),"",(O635-N635)/((O635+N635)/2))</x:f>
        <x:v>0.0012099213551118684</x:v>
      </x:c>
      <x:c r="Q635" s="34" t="n">
        <x:v>0.01654821</x:v>
      </x:c>
      <x:c r="R635" s="34" t="n">
        <x:v>0.01697</x:v>
      </x:c>
      <x:c r="S635" s="34" t="n">
        <x:v>0.01618</x:v>
      </x:c>
      <x:c r="T635" s="32" t="n">
        <x:v>46236.011722951385</x:v>
      </x:c>
      <x:c r="U635" s="32" t="n">
        <x:v>46237.011722951385</x:v>
      </x:c>
      <x:c r="V635" s="34" t="n">
        <x:v>5</x:v>
      </x:c>
      <x:c r="W635" s="34" t="n">
        <x:v>0.1</x:v>
      </x:c>
      <x:c r="X635" s="34" t="n">
        <x:v>0.1</x:v>
      </x:c>
      <x:c r="Y635" s="34" t="n">
        <x:v>0.00001</x:v>
      </x:c>
      <x:c r="Z635" s="30" t="str">
        <x:f>IF(AND(D635="TRADING",I635&lt;&gt;"",L635&lt;&gt;"",M635&lt;&gt;"",N635&lt;&gt;"",O635&lt;&gt;""),"Yes","No")</x:f>
        <x:v>Yes</x:v>
      </x:c>
      <x:c r="AA635" s="39" t="str">
        <x:v>https://developers.binance.com/en/docs/catalog/core-trading-spot-trading/api/rest-api</x:v>
      </x:c>
    </x:row>
    <x:row r="636">
      <x:c r="A636" s="30" t="str">
        <x:v>VENUSDT</x:v>
      </x:c>
      <x:c r="B636" s="30" t="str">
        <x:v>VEN</x:v>
      </x:c>
      <x:c r="C636" s="30" t="str">
        <x:v>USDT</x:v>
      </x:c>
      <x:c r="D636" s="30" t="str">
        <x:v>BREAK</x:v>
      </x:c>
      <x:c r="E636" s="31" t="b">
        <x:v>1</x:v>
      </x:c>
      <x:c r="F636" s="32" t="n">
        <x:v>43273</x:v>
      </x:c>
      <x:c r="G636" s="32" t="n">
        <x:v>43273.999999988424</x:v>
      </x:c>
      <x:c r="H636" s="33" t="n">
        <x:f>IF(F636="","",('Summary'!$B$5-F636)/365.25)</x:f>
        <x:v>8.115023932428324</x:v>
      </x:c>
      <x:c r="I636" s="34" t="n">
        <x:v>0</x:v>
      </x:c>
      <x:c r="J636" s="35" t="n">
        <x:v>0</x:v>
      </x:c>
      <x:c r="K636" s="36" t="n">
        <x:v>0</x:v>
      </x:c>
      <x:c r="L636" s="36" t="n">
        <x:v>0</x:v>
      </x:c>
      <x:c r="M636" s="37" t="n">
        <x:v>0</x:v>
      </x:c>
      <x:c r="N636" s="34" t="n">
        <x:v>0</x:v>
      </x:c>
      <x:c r="O636" s="34" t="n">
        <x:v>0</x:v>
      </x:c>
      <x:c r="P636" s="38" t="str">
        <x:f>IF(OR(N636="",O636="",N636=0,O636=0),"",(O636-N636)/((O636+N636)/2))</x:f>
      </x:c>
      <x:c r="Q636" s="34" t="n">
        <x:v>0</x:v>
      </x:c>
      <x:c r="R636" s="34" t="n">
        <x:v>0</x:v>
      </x:c>
      <x:c r="S636" s="34" t="n">
        <x:v>0</x:v>
      </x:c>
      <x:c r="T636" s="32" t="n">
        <x:v>46209.26112309028</x:v>
      </x:c>
      <x:c r="U636" s="32" t="n">
        <x:v>46210.26112309028</x:v>
      </x:c>
      <x:c r="V636" s="34" t="n">
        <x:v>10</x:v>
      </x:c>
      <x:c r="W636" s="34" t="n">
        <x:v>0.01</x:v>
      </x:c>
      <x:c r="X636" s="34" t="n">
        <x:v>0.01</x:v>
      </x:c>
      <x:c r="Y636" s="34" t="n">
        <x:v>0.0001</x:v>
      </x:c>
      <x:c r="Z636" s="30" t="str">
        <x:f>IF(AND(D636="TRADING",I636&lt;&gt;"",L636&lt;&gt;"",M636&lt;&gt;"",N636&lt;&gt;"",O636&lt;&gt;""),"Yes","No")</x:f>
        <x:v>No</x:v>
      </x:c>
      <x:c r="AA636" s="39" t="str">
        <x:v>https://developers.binance.com/en/docs/catalog/core-trading-spot-trading/api/rest-api</x:v>
      </x:c>
    </x:row>
    <x:row r="637">
      <x:c r="A637" s="30" t="str">
        <x:v>VETUSDT</x:v>
      </x:c>
      <x:c r="B637" s="30" t="str">
        <x:v>VET</x:v>
      </x:c>
      <x:c r="C637" s="30" t="str">
        <x:v>USDT</x:v>
      </x:c>
      <x:c r="D637" s="30" t="str">
        <x:v>TRADING</x:v>
      </x:c>
      <x:c r="E637" s="31" t="b">
        <x:v>1</x:v>
      </x:c>
      <x:c r="F637" s="32" t="n">
        <x:v>43306</x:v>
      </x:c>
      <x:c r="G637" s="32" t="n">
        <x:v>43306.999999988424</x:v>
      </x:c>
      <x:c r="H637" s="33" t="n">
        <x:f>IF(F637="","",('Summary'!$B$5-F637)/365.25)</x:f>
        <x:v>8.024674856452963</x:v>
      </x:c>
      <x:c r="I637" s="34" t="n">
        <x:v>0.004693</x:v>
      </x:c>
      <x:c r="J637" s="35" t="n">
        <x:v>0.00773</x:v>
      </x:c>
      <x:c r="K637" s="36" t="n">
        <x:v>112498452.8</x:v>
      </x:c>
      <x:c r="L637" s="36" t="n">
        <x:v>528055.3388146</x:v>
      </x:c>
      <x:c r="M637" s="37" t="n">
        <x:v>8181</x:v>
      </x:c>
      <x:c r="N637" s="34" t="n">
        <x:v>0.004695</x:v>
      </x:c>
      <x:c r="O637" s="34" t="n">
        <x:v>0.004696</x:v>
      </x:c>
      <x:c r="P637" s="38" t="n">
        <x:f>IF(OR(N637="",O637="",N637=0,O637=0),"",(O637-N637)/((O637+N637)/2))</x:f>
        <x:v>0.00021296986476397942</x:v>
      </x:c>
      <x:c r="Q637" s="34" t="n">
        <x:v>0.00469389</x:v>
      </x:c>
      <x:c r="R637" s="34" t="n">
        <x:v>0.004774</x:v>
      </x:c>
      <x:c r="S637" s="34" t="n">
        <x:v>0.004651</x:v>
      </x:c>
      <x:c r="T637" s="32" t="n">
        <x:v>46236.01247618056</x:v>
      </x:c>
      <x:c r="U637" s="32" t="n">
        <x:v>46237.01247618056</x:v>
      </x:c>
      <x:c r="V637" s="34" t="n">
        <x:v>5</x:v>
      </x:c>
      <x:c r="W637" s="34" t="n">
        <x:v>0.1</x:v>
      </x:c>
      <x:c r="X637" s="34" t="n">
        <x:v>0.1</x:v>
      </x:c>
      <x:c r="Y637" s="34" t="n">
        <x:v>0.000001</x:v>
      </x:c>
      <x:c r="Z637" s="30" t="str">
        <x:f>IF(AND(D637="TRADING",I637&lt;&gt;"",L637&lt;&gt;"",M637&lt;&gt;"",N637&lt;&gt;"",O637&lt;&gt;""),"Yes","No")</x:f>
        <x:v>Yes</x:v>
      </x:c>
      <x:c r="AA637" s="39" t="str">
        <x:v>https://developers.binance.com/en/docs/catalog/core-trading-spot-trading/api/rest-api</x:v>
      </x:c>
    </x:row>
    <x:row r="638">
      <x:c r="A638" s="30" t="str">
        <x:v>VGXUSDT</x:v>
      </x:c>
      <x:c r="B638" s="30" t="str">
        <x:v>VGX</x:v>
      </x:c>
      <x:c r="C638" s="30" t="str">
        <x:v>USDT</x:v>
      </x:c>
      <x:c r="D638" s="30" t="str">
        <x:v>BREAK</x:v>
      </x:c>
      <x:c r="E638" s="31" t="b">
        <x:v>1</x:v>
      </x:c>
      <x:c r="F638" s="32" t="n">
        <x:v>44522</x:v>
      </x:c>
      <x:c r="G638" s="32" t="n">
        <x:v>44522.999999988424</x:v>
      </x:c>
      <x:c r="H638" s="33" t="n">
        <x:f>IF(F638="","",('Summary'!$B$5-F638)/365.25)</x:f>
        <x:v>4.695448299300328</x:v>
      </x:c>
      <x:c r="I638" s="34" t="n">
        <x:v>0.018</x:v>
      </x:c>
      <x:c r="J638" s="35" t="n">
        <x:v>0.01695</x:v>
      </x:c>
      <x:c r="K638" s="36" t="n">
        <x:v>29163929.9</x:v>
      </x:c>
      <x:c r="L638" s="36" t="n">
        <x:v>515639.20639</x:v>
      </x:c>
      <x:c r="M638" s="37" t="n">
        <x:v>4001</x:v>
      </x:c>
      <x:c r="N638" s="34" t="n">
        <x:v>0</x:v>
      </x:c>
      <x:c r="O638" s="34" t="n">
        <x:v>0</x:v>
      </x:c>
      <x:c r="P638" s="38" t="str">
        <x:f>IF(OR(N638="",O638="",N638=0,O638=0),"",(O638-N638)/((O638+N638)/2))</x:f>
      </x:c>
      <x:c r="Q638" s="34" t="n">
        <x:v>0.01768072</x:v>
      </x:c>
      <x:c r="R638" s="34" t="n">
        <x:v>0.0187</x:v>
      </x:c>
      <x:c r="S638" s="34" t="n">
        <x:v>0.0164</x:v>
      </x:c>
      <x:c r="T638" s="32" t="n">
        <x:v>46209.26112309028</x:v>
      </x:c>
      <x:c r="U638" s="32" t="n">
        <x:v>46210.26112309028</x:v>
      </x:c>
      <x:c r="V638" s="34" t="n">
        <x:v>5</x:v>
      </x:c>
      <x:c r="W638" s="34" t="n">
        <x:v>0.1</x:v>
      </x:c>
      <x:c r="X638" s="34" t="n">
        <x:v>0.1</x:v>
      </x:c>
      <x:c r="Y638" s="34" t="n">
        <x:v>0.0001</x:v>
      </x:c>
      <x:c r="Z638" s="30" t="str">
        <x:f>IF(AND(D638="TRADING",I638&lt;&gt;"",L638&lt;&gt;"",M638&lt;&gt;"",N638&lt;&gt;"",O638&lt;&gt;""),"Yes","No")</x:f>
        <x:v>No</x:v>
      </x:c>
      <x:c r="AA638" s="39" t="str">
        <x:v>https://developers.binance.com/en/docs/catalog/core-trading-spot-trading/api/rest-api</x:v>
      </x:c>
    </x:row>
    <x:row r="639">
      <x:c r="A639" s="30" t="str">
        <x:v>VIBUSDT</x:v>
      </x:c>
      <x:c r="B639" s="30" t="str">
        <x:v>VIB</x:v>
      </x:c>
      <x:c r="C639" s="30" t="str">
        <x:v>USDT</x:v>
      </x:c>
      <x:c r="D639" s="30" t="str">
        <x:v>BREAK</x:v>
      </x:c>
      <x:c r="E639" s="31" t="b">
        <x:v>1</x:v>
      </x:c>
      <x:c r="F639" s="32" t="n">
        <x:v>44981</x:v>
      </x:c>
      <x:c r="G639" s="32" t="n">
        <x:v>44981.999999988424</x:v>
      </x:c>
      <x:c r="H639" s="33" t="n">
        <x:f>IF(F639="","",('Summary'!$B$5-F639)/365.25)</x:f>
        <x:v>3.438774788006694</x:v>
      </x:c>
      <x:c r="I639" s="34" t="n">
        <x:v>0.00223</x:v>
      </x:c>
      <x:c r="J639" s="35" t="n">
        <x:v>-0.63262</x:v>
      </x:c>
      <x:c r="K639" s="36" t="n">
        <x:v>85327486</x:v>
      </x:c>
      <x:c r="L639" s="36" t="n">
        <x:v>380611.67365</x:v>
      </x:c>
      <x:c r="M639" s="37" t="n">
        <x:v>4001</x:v>
      </x:c>
      <x:c r="N639" s="34" t="n">
        <x:v>0</x:v>
      </x:c>
      <x:c r="O639" s="34" t="n">
        <x:v>0</x:v>
      </x:c>
      <x:c r="P639" s="38" t="str">
        <x:f>IF(OR(N639="",O639="",N639=0,O639=0),"",(O639-N639)/((O639+N639)/2))</x:f>
      </x:c>
      <x:c r="Q639" s="34" t="n">
        <x:v>0.0044606</x:v>
      </x:c>
      <x:c r="R639" s="34" t="n">
        <x:v>0.007</x:v>
      </x:c>
      <x:c r="S639" s="34" t="n">
        <x:v>0.0018</x:v>
      </x:c>
      <x:c r="T639" s="32" t="n">
        <x:v>46209.26112309028</x:v>
      </x:c>
      <x:c r="U639" s="32" t="n">
        <x:v>46210.26112309028</x:v>
      </x:c>
      <x:c r="V639" s="34" t="n">
        <x:v>5</x:v>
      </x:c>
      <x:c r="W639" s="34" t="n">
        <x:v>1</x:v>
      </x:c>
      <x:c r="X639" s="34" t="n">
        <x:v>1</x:v>
      </x:c>
      <x:c r="Y639" s="34" t="n">
        <x:v>0.00001</x:v>
      </x:c>
      <x:c r="Z639" s="30" t="str">
        <x:f>IF(AND(D639="TRADING",I639&lt;&gt;"",L639&lt;&gt;"",M639&lt;&gt;"",N639&lt;&gt;"",O639&lt;&gt;""),"Yes","No")</x:f>
        <x:v>No</x:v>
      </x:c>
      <x:c r="AA639" s="39" t="str">
        <x:v>https://developers.binance.com/en/docs/catalog/core-trading-spot-trading/api/rest-api</x:v>
      </x:c>
    </x:row>
    <x:row r="640">
      <x:c r="A640" s="30" t="str">
        <x:v>VICUSDT</x:v>
      </x:c>
      <x:c r="B640" s="30" t="str">
        <x:v>VIC</x:v>
      </x:c>
      <x:c r="C640" s="30" t="str">
        <x:v>USDT</x:v>
      </x:c>
      <x:c r="D640" s="30" t="str">
        <x:v>TRADING</x:v>
      </x:c>
      <x:c r="E640" s="31" t="b">
        <x:v>1</x:v>
      </x:c>
      <x:c r="F640" s="32" t="n">
        <x:v>45254</x:v>
      </x:c>
      <x:c r="G640" s="32" t="n">
        <x:v>45254.999999988424</x:v>
      </x:c>
      <x:c r="H640" s="33" t="n">
        <x:f>IF(F640="","",('Summary'!$B$5-F640)/365.25)</x:f>
        <x:v>2.6913415231196303</x:v>
      </x:c>
      <x:c r="I640" s="34" t="n">
        <x:v>0.034</x:v>
      </x:c>
      <x:c r="J640" s="35" t="n">
        <x:v>-0.00293</x:v>
      </x:c>
      <x:c r="K640" s="36" t="n">
        <x:v>2228735.08</x:v>
      </x:c>
      <x:c r="L640" s="36" t="n">
        <x:v>76338.468533</x:v>
      </x:c>
      <x:c r="M640" s="37" t="n">
        <x:v>3596</x:v>
      </x:c>
      <x:c r="N640" s="34" t="n">
        <x:v>0.034</x:v>
      </x:c>
      <x:c r="O640" s="34" t="n">
        <x:v>0.0341</x:v>
      </x:c>
      <x:c r="P640" s="38" t="n">
        <x:f>IF(OR(N640="",O640="",N640=0,O640=0),"",(O640-N640)/((O640+N640)/2))</x:f>
        <x:v>0.0029368575624081038</x:v>
      </x:c>
      <x:c r="Q640" s="34" t="n">
        <x:v>0.03425193</x:v>
      </x:c>
      <x:c r="R640" s="34" t="n">
        <x:v>0.0347</x:v>
      </x:c>
      <x:c r="S640" s="34" t="n">
        <x:v>0.0339</x:v>
      </x:c>
      <x:c r="T640" s="32" t="n">
        <x:v>46236.012384849535</x:v>
      </x:c>
      <x:c r="U640" s="32" t="n">
        <x:v>46237.012384849535</x:v>
      </x:c>
      <x:c r="V640" s="34" t="n">
        <x:v>5</x:v>
      </x:c>
      <x:c r="W640" s="34" t="n">
        <x:v>0.01</x:v>
      </x:c>
      <x:c r="X640" s="34" t="n">
        <x:v>0.01</x:v>
      </x:c>
      <x:c r="Y640" s="34" t="n">
        <x:v>0.0001</x:v>
      </x:c>
      <x:c r="Z640" s="30" t="str">
        <x:f>IF(AND(D640="TRADING",I640&lt;&gt;"",L640&lt;&gt;"",M640&lt;&gt;"",N640&lt;&gt;"",O640&lt;&gt;""),"Yes","No")</x:f>
        <x:v>Yes</x:v>
      </x:c>
      <x:c r="AA640" s="39" t="str">
        <x:v>https://developers.binance.com/en/docs/catalog/core-trading-spot-trading/api/rest-api</x:v>
      </x:c>
    </x:row>
    <x:row r="641">
      <x:c r="A641" s="30" t="str">
        <x:v>VIDTUSDT</x:v>
      </x:c>
      <x:c r="B641" s="30" t="str">
        <x:v>VIDT</x:v>
      </x:c>
      <x:c r="C641" s="30" t="str">
        <x:v>USDT</x:v>
      </x:c>
      <x:c r="D641" s="30" t="str">
        <x:v>BREAK</x:v>
      </x:c>
      <x:c r="E641" s="31" t="b">
        <x:v>1</x:v>
      </x:c>
      <x:c r="F641" s="32" t="n">
        <x:v>44448</x:v>
      </x:c>
      <x:c r="G641" s="32" t="n">
        <x:v>44448.999999988424</x:v>
      </x:c>
      <x:c r="H641" s="33" t="n">
        <x:f>IF(F641="","",('Summary'!$B$5-F641)/365.25)</x:f>
        <x:v>4.898049257548104</x:v>
      </x:c>
      <x:c r="I641" s="34" t="n">
        <x:v>0.00115</x:v>
      </x:c>
      <x:c r="J641" s="35" t="n">
        <x:v>-0.19014</x:v>
      </x:c>
      <x:c r="K641" s="36" t="n">
        <x:v>148266713</x:v>
      </x:c>
      <x:c r="L641" s="36" t="n">
        <x:v>183519.31426</x:v>
      </x:c>
      <x:c r="M641" s="37" t="n">
        <x:v>4001</x:v>
      </x:c>
      <x:c r="N641" s="34" t="n">
        <x:v>0</x:v>
      </x:c>
      <x:c r="O641" s="34" t="n">
        <x:v>0</x:v>
      </x:c>
      <x:c r="P641" s="38" t="str">
        <x:f>IF(OR(N641="",O641="",N641=0,O641=0),"",(O641-N641)/((O641+N641)/2))</x:f>
      </x:c>
      <x:c r="Q641" s="34" t="n">
        <x:v>0.00123776</x:v>
      </x:c>
      <x:c r="R641" s="34" t="n">
        <x:v>0.00151</x:v>
      </x:c>
      <x:c r="S641" s="34" t="n">
        <x:v>0.00105</x:v>
      </x:c>
      <x:c r="T641" s="32" t="n">
        <x:v>46209.26112309028</x:v>
      </x:c>
      <x:c r="U641" s="32" t="n">
        <x:v>46210.26112309028</x:v>
      </x:c>
      <x:c r="V641" s="34" t="n">
        <x:v>5</x:v>
      </x:c>
      <x:c r="W641" s="34" t="n">
        <x:v>1</x:v>
      </x:c>
      <x:c r="X641" s="34" t="n">
        <x:v>1</x:v>
      </x:c>
      <x:c r="Y641" s="34" t="n">
        <x:v>0.00001</x:v>
      </x:c>
      <x:c r="Z641" s="30" t="str">
        <x:f>IF(AND(D641="TRADING",I641&lt;&gt;"",L641&lt;&gt;"",M641&lt;&gt;"",N641&lt;&gt;"",O641&lt;&gt;""),"Yes","No")</x:f>
        <x:v>No</x:v>
      </x:c>
      <x:c r="AA641" s="39" t="str">
        <x:v>https://developers.binance.com/en/docs/catalog/core-trading-spot-trading/api/rest-api</x:v>
      </x:c>
    </x:row>
    <x:row r="642">
      <x:c r="A642" s="30" t="str">
        <x:v>VIRTUALUSDT</x:v>
      </x:c>
      <x:c r="B642" s="30" t="str">
        <x:v>VIRTUAL</x:v>
      </x:c>
      <x:c r="C642" s="30" t="str">
        <x:v>USDT</x:v>
      </x:c>
      <x:c r="D642" s="30" t="str">
        <x:v>TRADING</x:v>
      </x:c>
      <x:c r="E642" s="31" t="b">
        <x:v>1</x:v>
      </x:c>
      <x:c r="F642" s="32" t="n">
        <x:v>45758</x:v>
      </x:c>
      <x:c r="G642" s="32" t="n">
        <x:v>45758.999999988424</x:v>
      </x:c>
      <x:c r="H642" s="33" t="n">
        <x:f>IF(F642="","",('Summary'!$B$5-F642)/365.25)</x:f>
        <x:v>1.3114647264050512</x:v>
      </x:c>
      <x:c r="I642" s="34" t="n">
        <x:v>0.5628</x:v>
      </x:c>
      <x:c r="J642" s="35" t="n">
        <x:v>0.02383</x:v>
      </x:c>
      <x:c r="K642" s="36" t="n">
        <x:v>2843160</x:v>
      </x:c>
      <x:c r="L642" s="36" t="n">
        <x:v>1599992.57972</x:v>
      </x:c>
      <x:c r="M642" s="37" t="n">
        <x:v>20456</x:v>
      </x:c>
      <x:c r="N642" s="34" t="n">
        <x:v>0.5629</x:v>
      </x:c>
      <x:c r="O642" s="34" t="n">
        <x:v>0.563</x:v>
      </x:c>
      <x:c r="P642" s="38" t="n">
        <x:f>IF(OR(N642="",O642="",N642=0,O642=0),"",(O642-N642)/((O642+N642)/2))</x:f>
        <x:v>0.00017763566924236431</x:v>
      </x:c>
      <x:c r="Q642" s="34" t="n">
        <x:v>0.56275151</x:v>
      </x:c>
      <x:c r="R642" s="34" t="n">
        <x:v>0.5711</x:v>
      </x:c>
      <x:c r="S642" s="34" t="n">
        <x:v>0.5488</x:v>
      </x:c>
      <x:c r="T642" s="32" t="n">
        <x:v>46236.01248909722</x:v>
      </x:c>
      <x:c r="U642" s="32" t="n">
        <x:v>46237.01248909722</x:v>
      </x:c>
      <x:c r="V642" s="34" t="n">
        <x:v>5</x:v>
      </x:c>
      <x:c r="W642" s="34" t="n">
        <x:v>0.1</x:v>
      </x:c>
      <x:c r="X642" s="34" t="n">
        <x:v>0.1</x:v>
      </x:c>
      <x:c r="Y642" s="34" t="n">
        <x:v>0.0001</x:v>
      </x:c>
      <x:c r="Z642" s="30" t="str">
        <x:f>IF(AND(D642="TRADING",I642&lt;&gt;"",L642&lt;&gt;"",M642&lt;&gt;"",N642&lt;&gt;"",O642&lt;&gt;""),"Yes","No")</x:f>
        <x:v>Yes</x:v>
      </x:c>
      <x:c r="AA642" s="39" t="str">
        <x:v>https://developers.binance.com/en/docs/catalog/core-trading-spot-trading/api/rest-api</x:v>
      </x:c>
    </x:row>
    <x:row r="643">
      <x:c r="A643" s="30" t="str">
        <x:v>VITEUSDT</x:v>
      </x:c>
      <x:c r="B643" s="30" t="str">
        <x:v>VITE</x:v>
      </x:c>
      <x:c r="C643" s="30" t="str">
        <x:v>USDT</x:v>
      </x:c>
      <x:c r="D643" s="30" t="str">
        <x:v>BREAK</x:v>
      </x:c>
      <x:c r="E643" s="31" t="b">
        <x:v>1</x:v>
      </x:c>
      <x:c r="F643" s="32" t="n">
        <x:v>43812</x:v>
      </x:c>
      <x:c r="G643" s="32" t="n">
        <x:v>43812.999999988424</x:v>
      </x:c>
      <x:c r="H643" s="33" t="n">
        <x:f>IF(F643="","",('Summary'!$B$5-F643)/365.25)</x:f>
        <x:v>6.6393223581641205</x:v>
      </x:c>
      <x:c r="I643" s="34" t="n">
        <x:v>0.00086</x:v>
      </x:c>
      <x:c r="J643" s="35" t="n">
        <x:v>-0.24561</x:v>
      </x:c>
      <x:c r="K643" s="36" t="n">
        <x:v>236768977.4</x:v>
      </x:c>
      <x:c r="L643" s="36" t="n">
        <x:v>234222.031484</x:v>
      </x:c>
      <x:c r="M643" s="37" t="n">
        <x:v>4001</x:v>
      </x:c>
      <x:c r="N643" s="34" t="n">
        <x:v>0</x:v>
      </x:c>
      <x:c r="O643" s="34" t="n">
        <x:v>0</x:v>
      </x:c>
      <x:c r="P643" s="38" t="str">
        <x:f>IF(OR(N643="",O643="",N643=0,O643=0),"",(O643-N643)/((O643+N643)/2))</x:f>
      </x:c>
      <x:c r="Q643" s="34" t="n">
        <x:v>0.00098924</x:v>
      </x:c>
      <x:c r="R643" s="34" t="n">
        <x:v>0.00116</x:v>
      </x:c>
      <x:c r="S643" s="34" t="n">
        <x:v>0.0008</x:v>
      </x:c>
      <x:c r="T643" s="32" t="n">
        <x:v>46209.26112309028</x:v>
      </x:c>
      <x:c r="U643" s="32" t="n">
        <x:v>46210.26112309028</x:v>
      </x:c>
      <x:c r="V643" s="34" t="n">
        <x:v>5</x:v>
      </x:c>
      <x:c r="W643" s="34" t="n">
        <x:v>0.1</x:v>
      </x:c>
      <x:c r="X643" s="34" t="n">
        <x:v>0.1</x:v>
      </x:c>
      <x:c r="Y643" s="34" t="n">
        <x:v>0.00001</x:v>
      </x:c>
      <x:c r="Z643" s="30" t="str">
        <x:f>IF(AND(D643="TRADING",I643&lt;&gt;"",L643&lt;&gt;"",M643&lt;&gt;"",N643&lt;&gt;"",O643&lt;&gt;""),"Yes","No")</x:f>
        <x:v>No</x:v>
      </x:c>
      <x:c r="AA643" s="39" t="str">
        <x:v>https://developers.binance.com/en/docs/catalog/core-trading-spot-trading/api/rest-api</x:v>
      </x:c>
    </x:row>
    <x:row r="644">
      <x:c r="A644" s="30" t="str">
        <x:v>VOXELUSDT</x:v>
      </x:c>
      <x:c r="B644" s="30" t="str">
        <x:v>VOXEL</x:v>
      </x:c>
      <x:c r="C644" s="30" t="str">
        <x:v>USDT</x:v>
      </x:c>
      <x:c r="D644" s="30" t="str">
        <x:v>BREAK</x:v>
      </x:c>
      <x:c r="E644" s="31" t="b">
        <x:v>1</x:v>
      </x:c>
      <x:c r="F644" s="32" t="n">
        <x:v>44544</x:v>
      </x:c>
      <x:c r="G644" s="32" t="n">
        <x:v>44544.999999988424</x:v>
      </x:c>
      <x:c r="H644" s="33" t="n">
        <x:f>IF(F644="","",('Summary'!$B$5-F644)/365.25)</x:f>
        <x:v>4.635215581983422</x:v>
      </x:c>
      <x:c r="I644" s="34" t="n">
        <x:v>0.014</x:v>
      </x:c>
      <x:c r="J644" s="35" t="n">
        <x:v>-0.03448</x:v>
      </x:c>
      <x:c r="K644" s="36" t="n">
        <x:v>11872226.6</x:v>
      </x:c>
      <x:c r="L644" s="36" t="n">
        <x:v>163813.59403</x:v>
      </x:c>
      <x:c r="M644" s="37" t="n">
        <x:v>4001</x:v>
      </x:c>
      <x:c r="N644" s="34" t="n">
        <x:v>0</x:v>
      </x:c>
      <x:c r="O644" s="34" t="n">
        <x:v>0</x:v>
      </x:c>
      <x:c r="P644" s="38" t="str">
        <x:f>IF(OR(N644="",O644="",N644=0,O644=0),"",(O644-N644)/((O644+N644)/2))</x:f>
      </x:c>
      <x:c r="Q644" s="34" t="n">
        <x:v>0.01379805</x:v>
      </x:c>
      <x:c r="R644" s="34" t="n">
        <x:v>0.0147</x:v>
      </x:c>
      <x:c r="S644" s="34" t="n">
        <x:v>0.013</x:v>
      </x:c>
      <x:c r="T644" s="32" t="n">
        <x:v>46209.26112309028</x:v>
      </x:c>
      <x:c r="U644" s="32" t="n">
        <x:v>46210.26112309028</x:v>
      </x:c>
      <x:c r="V644" s="34" t="n">
        <x:v>5</x:v>
      </x:c>
      <x:c r="W644" s="34" t="n">
        <x:v>0.1</x:v>
      </x:c>
      <x:c r="X644" s="34" t="n">
        <x:v>0.1</x:v>
      </x:c>
      <x:c r="Y644" s="34" t="n">
        <x:v>0.0001</x:v>
      </x:c>
      <x:c r="Z644" s="30" t="str">
        <x:f>IF(AND(D644="TRADING",I644&lt;&gt;"",L644&lt;&gt;"",M644&lt;&gt;"",N644&lt;&gt;"",O644&lt;&gt;""),"Yes","No")</x:f>
        <x:v>No</x:v>
      </x:c>
      <x:c r="AA644" s="39" t="str">
        <x:v>https://developers.binance.com/en/docs/catalog/core-trading-spot-trading/api/rest-api</x:v>
      </x:c>
    </x:row>
    <x:row r="645">
      <x:c r="A645" s="30" t="str">
        <x:v>VTHOUSDT</x:v>
      </x:c>
      <x:c r="B645" s="30" t="str">
        <x:v>VTHO</x:v>
      </x:c>
      <x:c r="C645" s="30" t="str">
        <x:v>USDT</x:v>
      </x:c>
      <x:c r="D645" s="30" t="str">
        <x:v>TRADING</x:v>
      </x:c>
      <x:c r="E645" s="31" t="b">
        <x:v>1</x:v>
      </x:c>
      <x:c r="F645" s="32" t="n">
        <x:v>44029</x:v>
      </x:c>
      <x:c r="G645" s="32" t="n">
        <x:v>44029.999999988424</x:v>
      </x:c>
      <x:c r="H645" s="33" t="n">
        <x:f>IF(F645="","",('Summary'!$B$5-F645)/365.25)</x:f>
        <x:v>6.045208737356455</x:v>
      </x:c>
      <x:c r="I645" s="34" t="n">
        <x:v>0.000332</x:v>
      </x:c>
      <x:c r="J645" s="35" t="n">
        <x:v>0.00302</x:v>
      </x:c>
      <x:c r="K645" s="36" t="n">
        <x:v>114832367</x:v>
      </x:c>
      <x:c r="L645" s="36" t="n">
        <x:v>38184.700402</x:v>
      </x:c>
      <x:c r="M645" s="37" t="n">
        <x:v>780</x:v>
      </x:c>
      <x:c r="N645" s="34" t="n">
        <x:v>0.000331</x:v>
      </x:c>
      <x:c r="O645" s="34" t="n">
        <x:v>0.000332</x:v>
      </x:c>
      <x:c r="P645" s="38" t="n">
        <x:f>IF(OR(N645="",O645="",N645=0,O645=0),"",(O645-N645)/((O645+N645)/2))</x:f>
        <x:v>0.0030165912518852795</x:v>
      </x:c>
      <x:c r="Q645" s="34" t="n">
        <x:v>0.00033253</x:v>
      </x:c>
      <x:c r="R645" s="34" t="n">
        <x:v>0.000336</x:v>
      </x:c>
      <x:c r="S645" s="34" t="n">
        <x:v>0.000331</x:v>
      </x:c>
      <x:c r="T645" s="32" t="n">
        <x:v>46236.01183195602</x:v>
      </x:c>
      <x:c r="U645" s="32" t="n">
        <x:v>46237.01183195602</x:v>
      </x:c>
      <x:c r="V645" s="34" t="n">
        <x:v>1</x:v>
      </x:c>
      <x:c r="W645" s="34" t="n">
        <x:v>1</x:v>
      </x:c>
      <x:c r="X645" s="34" t="n">
        <x:v>1</x:v>
      </x:c>
      <x:c r="Y645" s="34" t="n">
        <x:v>0.000001</x:v>
      </x:c>
      <x:c r="Z645" s="30" t="str">
        <x:f>IF(AND(D645="TRADING",I645&lt;&gt;"",L645&lt;&gt;"",M645&lt;&gt;"",N645&lt;&gt;"",O645&lt;&gt;""),"Yes","No")</x:f>
        <x:v>Yes</x:v>
      </x:c>
      <x:c r="AA645" s="39" t="str">
        <x:v>https://developers.binance.com/en/docs/catalog/core-trading-spot-trading/api/rest-api</x:v>
      </x:c>
    </x:row>
    <x:row r="646">
      <x:c r="A646" s="30" t="str">
        <x:v>WALUSDT</x:v>
      </x:c>
      <x:c r="B646" s="30" t="str">
        <x:v>WAL</x:v>
      </x:c>
      <x:c r="C646" s="30" t="str">
        <x:v>USDT</x:v>
      </x:c>
      <x:c r="D646" s="30" t="str">
        <x:v>TRADING</x:v>
      </x:c>
      <x:c r="E646" s="31" t="b">
        <x:v>1</x:v>
      </x:c>
      <x:c r="F646" s="32" t="n">
        <x:v>45940</x:v>
      </x:c>
      <x:c r="G646" s="32" t="n">
        <x:v>45940.999999988424</x:v>
      </x:c>
      <x:c r="H646" s="33" t="n">
        <x:f>IF(F646="","",('Summary'!$B$5-F646)/365.25)</x:f>
        <x:v>0.8131758831470088</x:v>
      </x:c>
      <x:c r="I646" s="34" t="n">
        <x:v>0.0249</x:v>
      </x:c>
      <x:c r="J646" s="35" t="n">
        <x:v>-0.01969</x:v>
      </x:c>
      <x:c r="K646" s="36" t="n">
        <x:v>6158340.9</x:v>
      </x:c>
      <x:c r="L646" s="36" t="n">
        <x:v>157118.86491</x:v>
      </x:c>
      <x:c r="M646" s="37" t="n">
        <x:v>1881</x:v>
      </x:c>
      <x:c r="N646" s="34" t="n">
        <x:v>0.0249</x:v>
      </x:c>
      <x:c r="O646" s="34" t="n">
        <x:v>0.025</x:v>
      </x:c>
      <x:c r="P646" s="38" t="n">
        <x:f>IF(OR(N646="",O646="",N646=0,O646=0),"",(O646-N646)/((O646+N646)/2))</x:f>
        <x:v>0.004008016032064243</x:v>
      </x:c>
      <x:c r="Q646" s="34" t="n">
        <x:v>0.02551318</x:v>
      </x:c>
      <x:c r="R646" s="34" t="n">
        <x:v>0.0262</x:v>
      </x:c>
      <x:c r="S646" s="34" t="n">
        <x:v>0.0249</x:v>
      </x:c>
      <x:c r="T646" s="32" t="n">
        <x:v>46236.01234854167</x:v>
      </x:c>
      <x:c r="U646" s="32" t="n">
        <x:v>46237.01234854167</x:v>
      </x:c>
      <x:c r="V646" s="34" t="n">
        <x:v>5</x:v>
      </x:c>
      <x:c r="W646" s="34" t="n">
        <x:v>0.1</x:v>
      </x:c>
      <x:c r="X646" s="34" t="n">
        <x:v>0.1</x:v>
      </x:c>
      <x:c r="Y646" s="34" t="n">
        <x:v>0.0001</x:v>
      </x:c>
      <x:c r="Z646" s="30" t="str">
        <x:f>IF(AND(D646="TRADING",I646&lt;&gt;"",L646&lt;&gt;"",M646&lt;&gt;"",N646&lt;&gt;"",O646&lt;&gt;""),"Yes","No")</x:f>
        <x:v>Yes</x:v>
      </x:c>
      <x:c r="AA646" s="39" t="str">
        <x:v>https://developers.binance.com/en/docs/catalog/core-trading-spot-trading/api/rest-api</x:v>
      </x:c>
    </x:row>
    <x:row r="647">
      <x:c r="A647" s="30" t="str">
        <x:v>WANUSDT</x:v>
      </x:c>
      <x:c r="B647" s="30" t="str">
        <x:v>WAN</x:v>
      </x:c>
      <x:c r="C647" s="30" t="str">
        <x:v>USDT</x:v>
      </x:c>
      <x:c r="D647" s="30" t="str">
        <x:v>BREAK</x:v>
      </x:c>
      <x:c r="E647" s="31" t="b">
        <x:v>1</x:v>
      </x:c>
      <x:c r="F647" s="32" t="n">
        <x:v>43704</x:v>
      </x:c>
      <x:c r="G647" s="32" t="n">
        <x:v>43704.999999988424</x:v>
      </x:c>
      <x:c r="H647" s="33" t="n">
        <x:f>IF(F647="","",('Summary'!$B$5-F647)/365.25)</x:f>
        <x:v>6.935010243174387</x:v>
      </x:c>
      <x:c r="I647" s="34" t="n">
        <x:v>0.0543</x:v>
      </x:c>
      <x:c r="J647" s="35" t="n">
        <x:v>-0.0274</x:v>
      </x:c>
      <x:c r="K647" s="36" t="n">
        <x:v>3819291</x:v>
      </x:c>
      <x:c r="L647" s="36" t="n">
        <x:v>212005.4044</x:v>
      </x:c>
      <x:c r="M647" s="37" t="n">
        <x:v>5202</x:v>
      </x:c>
      <x:c r="N647" s="34" t="n">
        <x:v>0</x:v>
      </x:c>
      <x:c r="O647" s="34" t="n">
        <x:v>0</x:v>
      </x:c>
      <x:c r="P647" s="38" t="str">
        <x:f>IF(OR(N647="",O647="",N647=0,O647=0),"",(O647-N647)/((O647+N647)/2))</x:f>
      </x:c>
      <x:c r="Q647" s="34" t="n">
        <x:v>0.0555091</x:v>
      </x:c>
      <x:c r="R647" s="34" t="n">
        <x:v>0.058</x:v>
      </x:c>
      <x:c r="S647" s="34" t="n">
        <x:v>0.05395</x:v>
      </x:c>
      <x:c r="T647" s="32" t="n">
        <x:v>46209.26112309028</x:v>
      </x:c>
      <x:c r="U647" s="32" t="n">
        <x:v>46210.26112309028</x:v>
      </x:c>
      <x:c r="V647" s="34" t="n">
        <x:v>5</x:v>
      </x:c>
      <x:c r="W647" s="34" t="n">
        <x:v>1</x:v>
      </x:c>
      <x:c r="X647" s="34" t="n">
        <x:v>1</x:v>
      </x:c>
      <x:c r="Y647" s="34" t="n">
        <x:v>0.00001</x:v>
      </x:c>
      <x:c r="Z647" s="30" t="str">
        <x:f>IF(AND(D647="TRADING",I647&lt;&gt;"",L647&lt;&gt;"",M647&lt;&gt;"",N647&lt;&gt;"",O647&lt;&gt;""),"Yes","No")</x:f>
        <x:v>No</x:v>
      </x:c>
      <x:c r="AA647" s="39" t="str">
        <x:v>https://developers.binance.com/en/docs/catalog/core-trading-spot-trading/api/rest-api</x:v>
      </x:c>
    </x:row>
    <x:row r="648">
      <x:c r="A648" s="30" t="str">
        <x:v>WAVESUSDT</x:v>
      </x:c>
      <x:c r="B648" s="30" t="str">
        <x:v>WAVES</x:v>
      </x:c>
      <x:c r="C648" s="30" t="str">
        <x:v>USDT</x:v>
      </x:c>
      <x:c r="D648" s="30" t="str">
        <x:v>BREAK</x:v>
      </x:c>
      <x:c r="E648" s="31" t="b">
        <x:v>1</x:v>
      </x:c>
      <x:c r="F648" s="32" t="n">
        <x:v>43483</x:v>
      </x:c>
      <x:c r="G648" s="32" t="n">
        <x:v>43483.999999988424</x:v>
      </x:c>
      <x:c r="H648" s="33" t="n">
        <x:f>IF(F648="","",('Summary'!$B$5-F648)/365.25)</x:f>
        <x:v>7.5400752671305815</x:v>
      </x:c>
      <x:c r="I648" s="34" t="n">
        <x:v>1.076</x:v>
      </x:c>
      <x:c r="J648" s="35" t="n">
        <x:v>0.11967</x:v>
      </x:c>
      <x:c r="K648" s="36" t="n">
        <x:v>435097.68</x:v>
      </x:c>
      <x:c r="L648" s="36" t="n">
        <x:v>438682.24606</x:v>
      </x:c>
      <x:c r="M648" s="37" t="n">
        <x:v>4001</x:v>
      </x:c>
      <x:c r="N648" s="34" t="n">
        <x:v>0</x:v>
      </x:c>
      <x:c r="O648" s="34" t="n">
        <x:v>0</x:v>
      </x:c>
      <x:c r="P648" s="38" t="str">
        <x:f>IF(OR(N648="",O648="",N648=0,O648=0),"",(O648-N648)/((O648+N648)/2))</x:f>
      </x:c>
      <x:c r="Q648" s="34" t="n">
        <x:v>1.00823853</x:v>
      </x:c>
      <x:c r="R648" s="34" t="n">
        <x:v>1.082</x:v>
      </x:c>
      <x:c r="S648" s="34" t="n">
        <x:v>0.951</x:v>
      </x:c>
      <x:c r="T648" s="32" t="n">
        <x:v>46209.26112309028</x:v>
      </x:c>
      <x:c r="U648" s="32" t="n">
        <x:v>46210.26112309028</x:v>
      </x:c>
      <x:c r="V648" s="34" t="n">
        <x:v>5</x:v>
      </x:c>
      <x:c r="W648" s="34" t="n">
        <x:v>0.01</x:v>
      </x:c>
      <x:c r="X648" s="34" t="n">
        <x:v>0.01</x:v>
      </x:c>
      <x:c r="Y648" s="34" t="n">
        <x:v>0.001</x:v>
      </x:c>
      <x:c r="Z648" s="30" t="str">
        <x:f>IF(AND(D648="TRADING",I648&lt;&gt;"",L648&lt;&gt;"",M648&lt;&gt;"",N648&lt;&gt;"",O648&lt;&gt;""),"Yes","No")</x:f>
        <x:v>No</x:v>
      </x:c>
      <x:c r="AA648" s="39" t="str">
        <x:v>https://developers.binance.com/en/docs/catalog/core-trading-spot-trading/api/rest-api</x:v>
      </x:c>
    </x:row>
    <x:row r="649">
      <x:c r="A649" s="30" t="str">
        <x:v>WAXPUSDT</x:v>
      </x:c>
      <x:c r="B649" s="30" t="str">
        <x:v>WAXP</x:v>
      </x:c>
      <x:c r="C649" s="30" t="str">
        <x:v>USDT</x:v>
      </x:c>
      <x:c r="D649" s="30" t="str">
        <x:v>TRADING</x:v>
      </x:c>
      <x:c r="E649" s="31" t="b">
        <x:v>1</x:v>
      </x:c>
      <x:c r="F649" s="32" t="n">
        <x:v>44431</x:v>
      </x:c>
      <x:c r="G649" s="32" t="n">
        <x:v>44431.999999988424</x:v>
      </x:c>
      <x:c r="H649" s="33" t="n">
        <x:f>IF(F649="","",('Summary'!$B$5-F649)/365.25)</x:f>
        <x:v>4.94459272092935</x:v>
      </x:c>
      <x:c r="I649" s="34" t="n">
        <x:v>0.00374</x:v>
      </x:c>
      <x:c r="J649" s="35" t="n">
        <x:v>-0.00796</x:v>
      </x:c>
      <x:c r="K649" s="36" t="n">
        <x:v>16539858</x:v>
      </x:c>
      <x:c r="L649" s="36" t="n">
        <x:v>62030.61615</x:v>
      </x:c>
      <x:c r="M649" s="37" t="n">
        <x:v>1117</x:v>
      </x:c>
      <x:c r="N649" s="34" t="n">
        <x:v>0.00373</x:v>
      </x:c>
      <x:c r="O649" s="34" t="n">
        <x:v>0.00374</x:v>
      </x:c>
      <x:c r="P649" s="38" t="n">
        <x:f>IF(OR(N649="",O649="",N649=0,O649=0),"",(O649-N649)/((O649+N649)/2))</x:f>
        <x:v>0.0026773761713520822</x:v>
      </x:c>
      <x:c r="Q649" s="34" t="n">
        <x:v>0.00375037</x:v>
      </x:c>
      <x:c r="R649" s="34" t="n">
        <x:v>0.00381</x:v>
      </x:c>
      <x:c r="S649" s="34" t="n">
        <x:v>0.00372</x:v>
      </x:c>
      <x:c r="T649" s="32" t="n">
        <x:v>46236.01228068287</x:v>
      </x:c>
      <x:c r="U649" s="32" t="n">
        <x:v>46237.01228068287</x:v>
      </x:c>
      <x:c r="V649" s="34" t="n">
        <x:v>5</x:v>
      </x:c>
      <x:c r="W649" s="34" t="n">
        <x:v>1</x:v>
      </x:c>
      <x:c r="X649" s="34" t="n">
        <x:v>1</x:v>
      </x:c>
      <x:c r="Y649" s="34" t="n">
        <x:v>0.00001</x:v>
      </x:c>
      <x:c r="Z649" s="30" t="str">
        <x:f>IF(AND(D649="TRADING",I649&lt;&gt;"",L649&lt;&gt;"",M649&lt;&gt;"",N649&lt;&gt;"",O649&lt;&gt;""),"Yes","No")</x:f>
        <x:v>Yes</x:v>
      </x:c>
      <x:c r="AA649" s="39" t="str">
        <x:v>https://developers.binance.com/en/docs/catalog/core-trading-spot-trading/api/rest-api</x:v>
      </x:c>
    </x:row>
    <x:row r="650">
      <x:c r="A650" s="30" t="str">
        <x:v>WBETHUSDT</x:v>
      </x:c>
      <x:c r="B650" s="30" t="str">
        <x:v>WBETH</x:v>
      </x:c>
      <x:c r="C650" s="30" t="str">
        <x:v>USDT</x:v>
      </x:c>
      <x:c r="D650" s="30" t="str">
        <x:v>TRADING</x:v>
      </x:c>
      <x:c r="E650" s="31" t="b">
        <x:v>1</x:v>
      </x:c>
      <x:c r="F650" s="32" t="n">
        <x:v>45126</x:v>
      </x:c>
      <x:c r="G650" s="32" t="n">
        <x:v>45126.999999988424</x:v>
      </x:c>
      <x:c r="H650" s="33" t="n">
        <x:f>IF(F650="","",('Summary'!$B$5-F650)/365.25)</x:f>
        <x:v>3.0417864238725394</x:v>
      </x:c>
      <x:c r="I650" s="34" t="n">
        <x:v>2071.7</x:v>
      </x:c>
      <x:c r="J650" s="35" t="n">
        <x:v>0.01718</x:v>
      </x:c>
      <x:c r="K650" s="36" t="n">
        <x:v>98.4284</x:v>
      </x:c>
      <x:c r="L650" s="36" t="n">
        <x:v>203844.845419</x:v>
      </x:c>
      <x:c r="M650" s="37" t="n">
        <x:v>4614</x:v>
      </x:c>
      <x:c r="N650" s="34" t="n">
        <x:v>2071.7</x:v>
      </x:c>
      <x:c r="O650" s="34" t="n">
        <x:v>2072.73</x:v>
      </x:c>
      <x:c r="P650" s="38" t="n">
        <x:f>IF(OR(N650="",O650="",N650=0,O650=0),"",(O650-N650)/((O650+N650)/2))</x:f>
        <x:v>0.0004970526706930507</x:v>
      </x:c>
      <x:c r="Q650" s="34" t="n">
        <x:v>2070.99623096</x:v>
      </x:c>
      <x:c r="R650" s="34" t="n">
        <x:v>2093.28</x:v>
      </x:c>
      <x:c r="S650" s="34" t="n">
        <x:v>2032.19</x:v>
      </x:c>
      <x:c r="T650" s="32" t="n">
        <x:v>46236.012462673614</x:v>
      </x:c>
      <x:c r="U650" s="32" t="n">
        <x:v>46237.012462673614</x:v>
      </x:c>
      <x:c r="V650" s="34" t="n">
        <x:v>5</x:v>
      </x:c>
      <x:c r="W650" s="34" t="n">
        <x:v>0.0001</x:v>
      </x:c>
      <x:c r="X650" s="34" t="n">
        <x:v>0.0001</x:v>
      </x:c>
      <x:c r="Y650" s="34" t="n">
        <x:v>0.01</x:v>
      </x:c>
      <x:c r="Z650" s="30" t="str">
        <x:f>IF(AND(D650="TRADING",I650&lt;&gt;"",L650&lt;&gt;"",M650&lt;&gt;"",N650&lt;&gt;"",O650&lt;&gt;""),"Yes","No")</x:f>
        <x:v>Yes</x:v>
      </x:c>
      <x:c r="AA650" s="39" t="str">
        <x:v>https://developers.binance.com/en/docs/catalog/core-trading-spot-trading/api/rest-api</x:v>
      </x:c>
    </x:row>
    <x:row r="651">
      <x:c r="A651" s="30" t="str">
        <x:v>WBTCUSDT</x:v>
      </x:c>
      <x:c r="B651" s="30" t="str">
        <x:v>WBTC</x:v>
      </x:c>
      <x:c r="C651" s="30" t="str">
        <x:v>USDT</x:v>
      </x:c>
      <x:c r="D651" s="30" t="str">
        <x:v>TRADING</x:v>
      </x:c>
      <x:c r="E651" s="31" t="b">
        <x:v>1</x:v>
      </x:c>
      <x:c r="F651" s="32" t="n">
        <x:v>45044</x:v>
      </x:c>
      <x:c r="G651" s="32" t="n">
        <x:v>45044.999999988424</x:v>
      </x:c>
      <x:c r="H651" s="33" t="n">
        <x:f>IF(F651="","",('Summary'!$B$5-F651)/365.25)</x:f>
        <x:v>3.2662901884173716</x:v>
      </x:c>
      <x:c r="I651" s="34" t="n">
        <x:v>63420.55</x:v>
      </x:c>
      <x:c r="J651" s="35" t="n">
        <x:v>0.00747</x:v>
      </x:c>
      <x:c r="K651" s="36" t="n">
        <x:v>13.70889</x:v>
      </x:c>
      <x:c r="L651" s="36" t="n">
        <x:v>868119.1434371</x:v>
      </x:c>
      <x:c r="M651" s="37" t="n">
        <x:v>3569</x:v>
      </x:c>
      <x:c r="N651" s="34" t="n">
        <x:v>63434.12</x:v>
      </x:c>
      <x:c r="O651" s="34" t="n">
        <x:v>63451.88</x:v>
      </x:c>
      <x:c r="P651" s="38" t="n">
        <x:f>IF(OR(N651="",O651="",N651=0,O651=0),"",(O651-N651)/((O651+N651)/2))</x:f>
        <x:v>0.00027993632079180935</x:v>
      </x:c>
      <x:c r="Q651" s="34" t="n">
        <x:v>63325.26874438</x:v>
      </x:c>
      <x:c r="R651" s="34" t="n">
        <x:v>63868.52</x:v>
      </x:c>
      <x:c r="S651" s="34" t="n">
        <x:v>62856.26</x:v>
      </x:c>
      <x:c r="T651" s="32" t="n">
        <x:v>46236.012490023146</x:v>
      </x:c>
      <x:c r="U651" s="32" t="n">
        <x:v>46237.012490023146</x:v>
      </x:c>
      <x:c r="V651" s="34" t="n">
        <x:v>5</x:v>
      </x:c>
      <x:c r="W651" s="34" t="n">
        <x:v>0.00001</x:v>
      </x:c>
      <x:c r="X651" s="34" t="n">
        <x:v>0.00001</x:v>
      </x:c>
      <x:c r="Y651" s="34" t="n">
        <x:v>0.01</x:v>
      </x:c>
      <x:c r="Z651" s="30" t="str">
        <x:f>IF(AND(D651="TRADING",I651&lt;&gt;"",L651&lt;&gt;"",M651&lt;&gt;"",N651&lt;&gt;"",O651&lt;&gt;""),"Yes","No")</x:f>
        <x:v>Yes</x:v>
      </x:c>
      <x:c r="AA651" s="39" t="str">
        <x:v>https://developers.binance.com/en/docs/catalog/core-trading-spot-trading/api/rest-api</x:v>
      </x:c>
    </x:row>
    <x:row r="652">
      <x:c r="A652" s="30" t="str">
        <x:v>WCTUSDT</x:v>
      </x:c>
      <x:c r="B652" s="30" t="str">
        <x:v>WCT</x:v>
      </x:c>
      <x:c r="C652" s="30" t="str">
        <x:v>USDT</x:v>
      </x:c>
      <x:c r="D652" s="30" t="str">
        <x:v>TRADING</x:v>
      </x:c>
      <x:c r="E652" s="31" t="b">
        <x:v>1</x:v>
      </x:c>
      <x:c r="F652" s="32" t="n">
        <x:v>45762</x:v>
      </x:c>
      <x:c r="G652" s="32" t="n">
        <x:v>45762.999999988424</x:v>
      </x:c>
      <x:c r="H652" s="33" t="n">
        <x:f>IF(F652="","",('Summary'!$B$5-F652)/365.25)</x:f>
        <x:v>1.300513323256523</x:v>
      </x:c>
      <x:c r="I652" s="34" t="n">
        <x:v>0.03566</x:v>
      </x:c>
      <x:c r="J652" s="35" t="n">
        <x:v>-0.012190000000000001</x:v>
      </x:c>
      <x:c r="K652" s="36" t="n">
        <x:v>4795584.7</x:v>
      </x:c>
      <x:c r="L652" s="36" t="n">
        <x:v>171527.835217</x:v>
      </x:c>
      <x:c r="M652" s="37" t="n">
        <x:v>4195</x:v>
      </x:c>
      <x:c r="N652" s="34" t="n">
        <x:v>0.03566</x:v>
      </x:c>
      <x:c r="O652" s="34" t="n">
        <x:v>0.03567</x:v>
      </x:c>
      <x:c r="P652" s="38" t="n">
        <x:f>IF(OR(N652="",O652="",N652=0,O652=0),"",(O652-N652)/((O652+N652)/2))</x:f>
        <x:v>0.0002803869339689629</x:v>
      </x:c>
      <x:c r="Q652" s="34" t="n">
        <x:v>0.03576787</x:v>
      </x:c>
      <x:c r="R652" s="34" t="n">
        <x:v>0.03632</x:v>
      </x:c>
      <x:c r="S652" s="34" t="n">
        <x:v>0.03546</x:v>
      </x:c>
      <x:c r="T652" s="32" t="n">
        <x:v>46236.01232667824</x:v>
      </x:c>
      <x:c r="U652" s="32" t="n">
        <x:v>46237.01232667824</x:v>
      </x:c>
      <x:c r="V652" s="34" t="n">
        <x:v>5</x:v>
      </x:c>
      <x:c r="W652" s="34" t="n">
        <x:v>0.1</x:v>
      </x:c>
      <x:c r="X652" s="34" t="n">
        <x:v>0.1</x:v>
      </x:c>
      <x:c r="Y652" s="34" t="n">
        <x:v>0.00001</x:v>
      </x:c>
      <x:c r="Z652" s="30" t="str">
        <x:f>IF(AND(D652="TRADING",I652&lt;&gt;"",L652&lt;&gt;"",M652&lt;&gt;"",N652&lt;&gt;"",O652&lt;&gt;""),"Yes","No")</x:f>
        <x:v>Yes</x:v>
      </x:c>
      <x:c r="AA652" s="39" t="str">
        <x:v>https://developers.binance.com/en/docs/catalog/core-trading-spot-trading/api/rest-api</x:v>
      </x:c>
    </x:row>
    <x:row r="653">
      <x:c r="A653" s="30" t="str">
        <x:v>WDCBUSDT</x:v>
      </x:c>
      <x:c r="B653" s="30" t="str">
        <x:v>WDCB</x:v>
      </x:c>
      <x:c r="C653" s="30" t="str">
        <x:v>USDT</x:v>
      </x:c>
      <x:c r="D653" s="30" t="str">
        <x:v>TRADING</x:v>
      </x:c>
      <x:c r="E653" s="31" t="b">
        <x:v>1</x:v>
      </x:c>
      <x:c r="F653" s="32" t="n">
        <x:v>46210</x:v>
      </x:c>
      <x:c r="G653" s="32" t="n">
        <x:v>46210.999999988424</x:v>
      </x:c>
      <x:c r="H653" s="33" t="n">
        <x:f>IF(F653="","",('Summary'!$B$5-F653)/365.25)</x:f>
        <x:v>0.07395617062134144</x:v>
      </x:c>
      <x:c r="I653" s="34" t="n">
        <x:v>555.76</x:v>
      </x:c>
      <x:c r="J653" s="35" t="n">
        <x:v>0.02342</x:v>
      </x:c>
      <x:c r="K653" s="36" t="n">
        <x:v>631.203</x:v>
      </x:c>
      <x:c r="L653" s="36" t="n">
        <x:v>347671.53088</x:v>
      </x:c>
      <x:c r="M653" s="37" t="n">
        <x:v>8926</x:v>
      </x:c>
      <x:c r="N653" s="34" t="n">
        <x:v>556.19</x:v>
      </x:c>
      <x:c r="O653" s="34" t="n">
        <x:v>557.37</x:v>
      </x:c>
      <x:c r="P653" s="38" t="n">
        <x:f>IF(OR(N653="",O653="",N653=0,O653=0),"",(O653-N653)/((O653+N653)/2))</x:f>
        <x:v>0.0021193289988863644</x:v>
      </x:c>
      <x:c r="Q653" s="34" t="n">
        <x:v>550.80779223</x:v>
      </x:c>
      <x:c r="R653" s="34" t="n">
        <x:v>557.06</x:v>
      </x:c>
      <x:c r="S653" s="34" t="n">
        <x:v>541.46</x:v>
      </x:c>
      <x:c r="T653" s="32" t="n">
        <x:v>46236.01243767361</x:v>
      </x:c>
      <x:c r="U653" s="32" t="n">
        <x:v>46237.01243767361</x:v>
      </x:c>
      <x:c r="V653" s="34" t="n">
        <x:v>5</x:v>
      </x:c>
      <x:c r="W653" s="34" t="n">
        <x:v>0.001</x:v>
      </x:c>
      <x:c r="X653" s="34" t="n">
        <x:v>0.001</x:v>
      </x:c>
      <x:c r="Y653" s="34" t="n">
        <x:v>0.01</x:v>
      </x:c>
      <x:c r="Z653" s="30" t="str">
        <x:f>IF(AND(D653="TRADING",I653&lt;&gt;"",L653&lt;&gt;"",M653&lt;&gt;"",N653&lt;&gt;"",O653&lt;&gt;""),"Yes","No")</x:f>
        <x:v>Yes</x:v>
      </x:c>
      <x:c r="AA653" s="39" t="str">
        <x:v>https://developers.binance.com/en/docs/catalog/core-trading-spot-trading/api/rest-api</x:v>
      </x:c>
    </x:row>
    <x:row r="654">
      <x:c r="A654" s="30" t="str">
        <x:v>WIFUSDT</x:v>
      </x:c>
      <x:c r="B654" s="30" t="str">
        <x:v>WIF</x:v>
      </x:c>
      <x:c r="C654" s="30" t="str">
        <x:v>USDT</x:v>
      </x:c>
      <x:c r="D654" s="30" t="str">
        <x:v>TRADING</x:v>
      </x:c>
      <x:c r="E654" s="31" t="b">
        <x:v>1</x:v>
      </x:c>
      <x:c r="F654" s="32" t="n">
        <x:v>45356</x:v>
      </x:c>
      <x:c r="G654" s="32" t="n">
        <x:v>45356.999999988424</x:v>
      </x:c>
      <x:c r="H654" s="33" t="n">
        <x:f>IF(F654="","",('Summary'!$B$5-F654)/365.25)</x:f>
        <x:v>2.412080742832156</x:v>
      </x:c>
      <x:c r="I654" s="34" t="n">
        <x:v>0.1387</x:v>
      </x:c>
      <x:c r="J654" s="35" t="n">
        <x:v>0.01985</x:v>
      </x:c>
      <x:c r="K654" s="36" t="n">
        <x:v>6240726.95</x:v>
      </x:c>
      <x:c r="L654" s="36" t="n">
        <x:v>872326.474924</x:v>
      </x:c>
      <x:c r="M654" s="37" t="n">
        <x:v>17671</x:v>
      </x:c>
      <x:c r="N654" s="34" t="n">
        <x:v>0.1387</x:v>
      </x:c>
      <x:c r="O654" s="34" t="n">
        <x:v>0.1388</x:v>
      </x:c>
      <x:c r="P654" s="38" t="n">
        <x:f>IF(OR(N654="",O654="",N654=0,O654=0),"",(O654-N654)/((O654+N654)/2))</x:f>
        <x:v>0.0007207207207208415</x:v>
      </x:c>
      <x:c r="Q654" s="34" t="n">
        <x:v>0.13977963</x:v>
      </x:c>
      <x:c r="R654" s="34" t="n">
        <x:v>0.143</x:v>
      </x:c>
      <x:c r="S654" s="34" t="n">
        <x:v>0.1357</x:v>
      </x:c>
      <x:c r="T654" s="32" t="n">
        <x:v>46236.01247710648</x:v>
      </x:c>
      <x:c r="U654" s="32" t="n">
        <x:v>46237.01247710648</x:v>
      </x:c>
      <x:c r="V654" s="34" t="n">
        <x:v>1</x:v>
      </x:c>
      <x:c r="W654" s="34" t="n">
        <x:v>0.01</x:v>
      </x:c>
      <x:c r="X654" s="34" t="n">
        <x:v>0.01</x:v>
      </x:c>
      <x:c r="Y654" s="34" t="n">
        <x:v>0.0001</x:v>
      </x:c>
      <x:c r="Z654" s="30" t="str">
        <x:f>IF(AND(D654="TRADING",I654&lt;&gt;"",L654&lt;&gt;"",M654&lt;&gt;"",N654&lt;&gt;"",O654&lt;&gt;""),"Yes","No")</x:f>
        <x:v>Yes</x:v>
      </x:c>
      <x:c r="AA654" s="39" t="str">
        <x:v>https://developers.binance.com/en/docs/catalog/core-trading-spot-trading/api/rest-api</x:v>
      </x:c>
    </x:row>
    <x:row r="655">
      <x:c r="A655" s="30" t="str">
        <x:v>WINGUSDT</x:v>
      </x:c>
      <x:c r="B655" s="30" t="str">
        <x:v>WING</x:v>
      </x:c>
      <x:c r="C655" s="30" t="str">
        <x:v>USDT</x:v>
      </x:c>
      <x:c r="D655" s="30" t="str">
        <x:v>BREAK</x:v>
      </x:c>
      <x:c r="E655" s="31" t="b">
        <x:v>1</x:v>
      </x:c>
      <x:c r="F655" s="32" t="n">
        <x:v>44090</x:v>
      </x:c>
      <x:c r="G655" s="32" t="n">
        <x:v>44090.999999988424</x:v>
      </x:c>
      <x:c r="H655" s="33" t="n">
        <x:f>IF(F655="","",('Summary'!$B$5-F655)/365.25)</x:f>
        <x:v>5.878199839341396</x:v>
      </x:c>
      <x:c r="I655" s="34" t="n">
        <x:v>0.326</x:v>
      </x:c>
      <x:c r="J655" s="35" t="n">
        <x:v>-0.23294</x:v>
      </x:c>
      <x:c r="K655" s="36" t="n">
        <x:v>906940.49</x:v>
      </x:c>
      <x:c r="L655" s="36" t="n">
        <x:v>334298.94935</x:v>
      </x:c>
      <x:c r="M655" s="37" t="n">
        <x:v>4001</x:v>
      </x:c>
      <x:c r="N655" s="34" t="n">
        <x:v>0</x:v>
      </x:c>
      <x:c r="O655" s="34" t="n">
        <x:v>0</x:v>
      </x:c>
      <x:c r="P655" s="38" t="str">
        <x:f>IF(OR(N655="",O655="",N655=0,O655=0),"",(O655-N655)/((O655+N655)/2))</x:f>
      </x:c>
      <x:c r="Q655" s="34" t="n">
        <x:v>0.36860075</x:v>
      </x:c>
      <x:c r="R655" s="34" t="n">
        <x:v>0.456</x:v>
      </x:c>
      <x:c r="S655" s="34" t="n">
        <x:v>0.291</x:v>
      </x:c>
      <x:c r="T655" s="32" t="n">
        <x:v>46209.26112309028</x:v>
      </x:c>
      <x:c r="U655" s="32" t="n">
        <x:v>46210.26112309028</x:v>
      </x:c>
      <x:c r="V655" s="34" t="n">
        <x:v>5</x:v>
      </x:c>
      <x:c r="W655" s="34" t="n">
        <x:v>0.01</x:v>
      </x:c>
      <x:c r="X655" s="34" t="n">
        <x:v>0.01</x:v>
      </x:c>
      <x:c r="Y655" s="34" t="n">
        <x:v>0.001</x:v>
      </x:c>
      <x:c r="Z655" s="30" t="str">
        <x:f>IF(AND(D655="TRADING",I655&lt;&gt;"",L655&lt;&gt;"",M655&lt;&gt;"",N655&lt;&gt;"",O655&lt;&gt;""),"Yes","No")</x:f>
        <x:v>No</x:v>
      </x:c>
      <x:c r="AA655" s="39" t="str">
        <x:v>https://developers.binance.com/en/docs/catalog/core-trading-spot-trading/api/rest-api</x:v>
      </x:c>
    </x:row>
    <x:row r="656">
      <x:c r="A656" s="30" t="str">
        <x:v>WINUSDT</x:v>
      </x:c>
      <x:c r="B656" s="30" t="str">
        <x:v>WIN</x:v>
      </x:c>
      <x:c r="C656" s="30" t="str">
        <x:v>USDT</x:v>
      </x:c>
      <x:c r="D656" s="30" t="str">
        <x:v>TRADING</x:v>
      </x:c>
      <x:c r="E656" s="31" t="b">
        <x:v>1</x:v>
      </x:c>
      <x:c r="F656" s="32" t="n">
        <x:v>43678</x:v>
      </x:c>
      <x:c r="G656" s="32" t="n">
        <x:v>43678.999999988424</x:v>
      </x:c>
      <x:c r="H656" s="33" t="n">
        <x:f>IF(F656="","",('Summary'!$B$5-F656)/365.25)</x:f>
        <x:v>7.006194363639822</x:v>
      </x:c>
      <x:c r="I656" s="34" t="n">
        <x:v>0.00002842</x:v>
      </x:c>
      <x:c r="J656" s="35" t="n">
        <x:v>0.01864</x:v>
      </x:c>
      <x:c r="K656" s="36" t="n">
        <x:v>5057459848</x:v>
      </x:c>
      <x:c r="L656" s="36" t="n">
        <x:v>143499.18559948</x:v>
      </x:c>
      <x:c r="M656" s="37" t="n">
        <x:v>4243</x:v>
      </x:c>
      <x:c r="N656" s="34" t="n">
        <x:v>0.00002838</x:v>
      </x:c>
      <x:c r="O656" s="34" t="n">
        <x:v>0.00002842</x:v>
      </x:c>
      <x:c r="P656" s="38" t="n">
        <x:f>IF(OR(N656="",O656="",N656=0,O656=0),"",(O656-N656)/((O656+N656)/2))</x:f>
        <x:v>0.0014084507042253387</x:v>
      </x:c>
      <x:c r="Q656" s="34" t="n">
        <x:v>0.00002837</x:v>
      </x:c>
      <x:c r="R656" s="34" t="n">
        <x:v>0.00002897</x:v>
      </x:c>
      <x:c r="S656" s="34" t="n">
        <x:v>0.00002777</x:v>
      </x:c>
      <x:c r="T656" s="32" t="n">
        <x:v>46236.011706516205</x:v>
      </x:c>
      <x:c r="U656" s="32" t="n">
        <x:v>46237.011706516205</x:v>
      </x:c>
      <x:c r="V656" s="34" t="n">
        <x:v>5</x:v>
      </x:c>
      <x:c r="W656" s="34" t="n">
        <x:v>1</x:v>
      </x:c>
      <x:c r="X656" s="34" t="n">
        <x:v>1</x:v>
      </x:c>
      <x:c r="Y656" s="34" t="n">
        <x:v>1e-8</x:v>
      </x:c>
      <x:c r="Z656" s="30" t="str">
        <x:f>IF(AND(D656="TRADING",I656&lt;&gt;"",L656&lt;&gt;"",M656&lt;&gt;"",N656&lt;&gt;"",O656&lt;&gt;""),"Yes","No")</x:f>
        <x:v>Yes</x:v>
      </x:c>
      <x:c r="AA656" s="39" t="str">
        <x:v>https://developers.binance.com/en/docs/catalog/core-trading-spot-trading/api/rest-api</x:v>
      </x:c>
    </x:row>
    <x:row r="657">
      <x:c r="A657" s="30" t="str">
        <x:v>WLDUSDT</x:v>
      </x:c>
      <x:c r="B657" s="30" t="str">
        <x:v>WLD</x:v>
      </x:c>
      <x:c r="C657" s="30" t="str">
        <x:v>USDT</x:v>
      </x:c>
      <x:c r="D657" s="30" t="str">
        <x:v>TRADING</x:v>
      </x:c>
      <x:c r="E657" s="31" t="b">
        <x:v>1</x:v>
      </x:c>
      <x:c r="F657" s="32" t="n">
        <x:v>45131</x:v>
      </x:c>
      <x:c r="G657" s="32" t="n">
        <x:v>45131.999999988424</x:v>
      </x:c>
      <x:c r="H657" s="33" t="n">
        <x:f>IF(F657="","",('Summary'!$B$5-F657)/365.25)</x:f>
        <x:v>3.0280971699368786</x:v>
      </x:c>
      <x:c r="I657" s="34" t="n">
        <x:v>0.3164</x:v>
      </x:c>
      <x:c r="J657" s="35" t="n">
        <x:v>0.04942</x:v>
      </x:c>
      <x:c r="K657" s="36" t="n">
        <x:v>31749447.8</x:v>
      </x:c>
      <x:c r="L657" s="36" t="n">
        <x:v>10001735.31331</x:v>
      </x:c>
      <x:c r="M657" s="37" t="n">
        <x:v>90092</x:v>
      </x:c>
      <x:c r="N657" s="34" t="n">
        <x:v>0.3163</x:v>
      </x:c>
      <x:c r="O657" s="34" t="n">
        <x:v>0.3164</x:v>
      </x:c>
      <x:c r="P657" s="38" t="n">
        <x:f>IF(OR(N657="",O657="",N657=0,O657=0),"",(O657-N657)/((O657+N657)/2))</x:f>
        <x:v>0.00031610557926343915</x:v>
      </x:c>
      <x:c r="Q657" s="34" t="n">
        <x:v>0.31502076</x:v>
      </x:c>
      <x:c r="R657" s="34" t="n">
        <x:v>0.3242</x:v>
      </x:c>
      <x:c r="S657" s="34" t="n">
        <x:v>0.3002</x:v>
      </x:c>
      <x:c r="T657" s="32" t="n">
        <x:v>46236.012482893515</x:v>
      </x:c>
      <x:c r="U657" s="32" t="n">
        <x:v>46237.012482893515</x:v>
      </x:c>
      <x:c r="V657" s="34" t="n">
        <x:v>5</x:v>
      </x:c>
      <x:c r="W657" s="34" t="n">
        <x:v>0.1</x:v>
      </x:c>
      <x:c r="X657" s="34" t="n">
        <x:v>0.1</x:v>
      </x:c>
      <x:c r="Y657" s="34" t="n">
        <x:v>0.0001</x:v>
      </x:c>
      <x:c r="Z657" s="30" t="str">
        <x:f>IF(AND(D657="TRADING",I657&lt;&gt;"",L657&lt;&gt;"",M657&lt;&gt;"",N657&lt;&gt;"",O657&lt;&gt;""),"Yes","No")</x:f>
        <x:v>Yes</x:v>
      </x:c>
      <x:c r="AA657" s="39" t="str">
        <x:v>https://developers.binance.com/en/docs/catalog/core-trading-spot-trading/api/rest-api</x:v>
      </x:c>
    </x:row>
    <x:row r="658">
      <x:c r="A658" s="30" t="str">
        <x:v>WLFIUSDT</x:v>
      </x:c>
      <x:c r="B658" s="30" t="str">
        <x:v>WLFI</x:v>
      </x:c>
      <x:c r="C658" s="30" t="str">
        <x:v>USDT</x:v>
      </x:c>
      <x:c r="D658" s="30" t="str">
        <x:v>TRADING</x:v>
      </x:c>
      <x:c r="E658" s="31" t="b">
        <x:v>1</x:v>
      </x:c>
      <x:c r="F658" s="32" t="n">
        <x:v>45901</x:v>
      </x:c>
      <x:c r="G658" s="32" t="n">
        <x:v>45901.999999988424</x:v>
      </x:c>
      <x:c r="H658" s="33" t="n">
        <x:f>IF(F658="","",('Summary'!$B$5-F658)/365.25)</x:f>
        <x:v>0.9199520638451607</x:v>
      </x:c>
      <x:c r="I658" s="34" t="n">
        <x:v>0.0552</x:v>
      </x:c>
      <x:c r="J658" s="35" t="n">
        <x:v>-0.01075</x:v>
      </x:c>
      <x:c r="K658" s="36" t="n">
        <x:v>39758288.9</x:v>
      </x:c>
      <x:c r="L658" s="36" t="n">
        <x:v>2216080.73726</x:v>
      </x:c>
      <x:c r="M658" s="37" t="n">
        <x:v>11768</x:v>
      </x:c>
      <x:c r="N658" s="34" t="n">
        <x:v>0.0552</x:v>
      </x:c>
      <x:c r="O658" s="34" t="n">
        <x:v>0.0553</x:v>
      </x:c>
      <x:c r="P658" s="38" t="n">
        <x:f>IF(OR(N658="",O658="",N658=0,O658=0),"",(O658-N658)/((O658+N658)/2))</x:f>
        <x:v>0.0018099547511312736</x:v>
      </x:c>
      <x:c r="Q658" s="34" t="n">
        <x:v>0.05573884</x:v>
      </x:c>
      <x:c r="R658" s="34" t="n">
        <x:v>0.0563</x:v>
      </x:c>
      <x:c r="S658" s="34" t="n">
        <x:v>0.0551</x:v>
      </x:c>
      <x:c r="T658" s="32" t="n">
        <x:v>46236.012483680555</x:v>
      </x:c>
      <x:c r="U658" s="32" t="n">
        <x:v>46237.012483680555</x:v>
      </x:c>
      <x:c r="V658" s="34" t="n">
        <x:v>5</x:v>
      </x:c>
      <x:c r="W658" s="34" t="n">
        <x:v>0.1</x:v>
      </x:c>
      <x:c r="X658" s="34" t="n">
        <x:v>0.1</x:v>
      </x:c>
      <x:c r="Y658" s="34" t="n">
        <x:v>0.0001</x:v>
      </x:c>
      <x:c r="Z658" s="30" t="str">
        <x:f>IF(AND(D658="TRADING",I658&lt;&gt;"",L658&lt;&gt;"",M658&lt;&gt;"",N658&lt;&gt;"",O658&lt;&gt;""),"Yes","No")</x:f>
        <x:v>Yes</x:v>
      </x:c>
      <x:c r="AA658" s="39" t="str">
        <x:v>https://developers.binance.com/en/docs/catalog/core-trading-spot-trading/api/rest-api</x:v>
      </x:c>
    </x:row>
    <x:row r="659">
      <x:c r="A659" s="30" t="str">
        <x:v>WNXMUSDT</x:v>
      </x:c>
      <x:c r="B659" s="30" t="str">
        <x:v>WNXM</x:v>
      </x:c>
      <x:c r="C659" s="30" t="str">
        <x:v>USDT</x:v>
      </x:c>
      <x:c r="D659" s="30" t="str">
        <x:v>BREAK</x:v>
      </x:c>
      <x:c r="E659" s="31" t="b">
        <x:v>1</x:v>
      </x:c>
      <x:c r="F659" s="32" t="n">
        <x:v>44071</x:v>
      </x:c>
      <x:c r="G659" s="32" t="n">
        <x:v>44071.999999988424</x:v>
      </x:c>
      <x:c r="H659" s="33" t="n">
        <x:f>IF(F659="","",('Summary'!$B$5-F659)/365.25)</x:f>
        <x:v>5.930219004296906</x:v>
      </x:c>
      <x:c r="I659" s="34" t="n">
        <x:v>73.26</x:v>
      </x:c>
      <x:c r="J659" s="35" t="n">
        <x:v>0.03198</x:v>
      </x:c>
      <x:c r="K659" s="36" t="n">
        <x:v>2428.38</x:v>
      </x:c>
      <x:c r="L659" s="36" t="n">
        <x:v>177656.5217</x:v>
      </x:c>
      <x:c r="M659" s="37" t="n">
        <x:v>4001</x:v>
      </x:c>
      <x:c r="N659" s="34" t="n">
        <x:v>0</x:v>
      </x:c>
      <x:c r="O659" s="34" t="n">
        <x:v>0</x:v>
      </x:c>
      <x:c r="P659" s="38" t="str">
        <x:f>IF(OR(N659="",O659="",N659=0,O659=0),"",(O659-N659)/((O659+N659)/2))</x:f>
      </x:c>
      <x:c r="Q659" s="34" t="n">
        <x:v>73.15845201</x:v>
      </x:c>
      <x:c r="R659" s="34" t="n">
        <x:v>76.37</x:v>
      </x:c>
      <x:c r="S659" s="34" t="n">
        <x:v>69.38</x:v>
      </x:c>
      <x:c r="T659" s="32" t="n">
        <x:v>46209.26112309028</x:v>
      </x:c>
      <x:c r="U659" s="32" t="n">
        <x:v>46210.26112309028</x:v>
      </x:c>
      <x:c r="V659" s="34" t="n">
        <x:v>5</x:v>
      </x:c>
      <x:c r="W659" s="34" t="n">
        <x:v>0.01</x:v>
      </x:c>
      <x:c r="X659" s="34" t="n">
        <x:v>0.01</x:v>
      </x:c>
      <x:c r="Y659" s="34" t="n">
        <x:v>0.01</x:v>
      </x:c>
      <x:c r="Z659" s="30" t="str">
        <x:f>IF(AND(D659="TRADING",I659&lt;&gt;"",L659&lt;&gt;"",M659&lt;&gt;"",N659&lt;&gt;"",O659&lt;&gt;""),"Yes","No")</x:f>
        <x:v>No</x:v>
      </x:c>
      <x:c r="AA659" s="39" t="str">
        <x:v>https://developers.binance.com/en/docs/catalog/core-trading-spot-trading/api/rest-api</x:v>
      </x:c>
    </x:row>
    <x:row r="660">
      <x:c r="A660" s="30" t="str">
        <x:v>WOOUSDT</x:v>
      </x:c>
      <x:c r="B660" s="30" t="str">
        <x:v>WOO</x:v>
      </x:c>
      <x:c r="C660" s="30" t="str">
        <x:v>USDT</x:v>
      </x:c>
      <x:c r="D660" s="30" t="str">
        <x:v>TRADING</x:v>
      </x:c>
      <x:c r="E660" s="31" t="b">
        <x:v>1</x:v>
      </x:c>
      <x:c r="F660" s="32" t="n">
        <x:v>44600</x:v>
      </x:c>
      <x:c r="G660" s="32" t="n">
        <x:v>44600.999999988424</x:v>
      </x:c>
      <x:c r="H660" s="33" t="n">
        <x:f>IF(F660="","",('Summary'!$B$5-F660)/365.25)</x:f>
        <x:v>4.481895937904024</x:v>
      </x:c>
      <x:c r="I660" s="34" t="n">
        <x:v>0.01153</x:v>
      </x:c>
      <x:c r="J660" s="35" t="n">
        <x:v>0.0017399999999999998</x:v>
      </x:c>
      <x:c r="K660" s="36" t="n">
        <x:v>6229029.6</x:v>
      </x:c>
      <x:c r="L660" s="36" t="n">
        <x:v>71594.580024</x:v>
      </x:c>
      <x:c r="M660" s="37" t="n">
        <x:v>1228</x:v>
      </x:c>
      <x:c r="N660" s="34" t="n">
        <x:v>0.01152</x:v>
      </x:c>
      <x:c r="O660" s="34" t="n">
        <x:v>0.01154</x:v>
      </x:c>
      <x:c r="P660" s="38" t="n">
        <x:f>IF(OR(N660="",O660="",N660=0,O660=0),"",(O660-N660)/((O660+N660)/2))</x:f>
        <x:v>0.0017346053772765988</x:v>
      </x:c>
      <x:c r="Q660" s="34" t="n">
        <x:v>0.0114937</x:v>
      </x:c>
      <x:c r="R660" s="34" t="n">
        <x:v>0.01168</x:v>
      </x:c>
      <x:c r="S660" s="34" t="n">
        <x:v>0.01136</x:v>
      </x:c>
      <x:c r="T660" s="32" t="n">
        <x:v>46236.01248104167</x:v>
      </x:c>
      <x:c r="U660" s="32" t="n">
        <x:v>46237.01248104167</x:v>
      </x:c>
      <x:c r="V660" s="34" t="n">
        <x:v>5</x:v>
      </x:c>
      <x:c r="W660" s="34" t="n">
        <x:v>0.1</x:v>
      </x:c>
      <x:c r="X660" s="34" t="n">
        <x:v>0.1</x:v>
      </x:c>
      <x:c r="Y660" s="34" t="n">
        <x:v>0.00001</x:v>
      </x:c>
      <x:c r="Z660" s="30" t="str">
        <x:f>IF(AND(D660="TRADING",I660&lt;&gt;"",L660&lt;&gt;"",M660&lt;&gt;"",N660&lt;&gt;"",O660&lt;&gt;""),"Yes","No")</x:f>
        <x:v>Yes</x:v>
      </x:c>
      <x:c r="AA660" s="39" t="str">
        <x:v>https://developers.binance.com/en/docs/catalog/core-trading-spot-trading/api/rest-api</x:v>
      </x:c>
    </x:row>
    <x:row r="661">
      <x:c r="A661" s="30" t="str">
        <x:v>WRXUSDT</x:v>
      </x:c>
      <x:c r="B661" s="30" t="str">
        <x:v>WRX</x:v>
      </x:c>
      <x:c r="C661" s="30" t="str">
        <x:v>USDT</x:v>
      </x:c>
      <x:c r="D661" s="30" t="str">
        <x:v>BREAK</x:v>
      </x:c>
      <x:c r="E661" s="31" t="b">
        <x:v>1</x:v>
      </x:c>
      <x:c r="F661" s="32" t="n">
        <x:v>43866</x:v>
      </x:c>
      <x:c r="G661" s="32" t="n">
        <x:v>43866.999999988424</x:v>
      </x:c>
      <x:c r="H661" s="33" t="n">
        <x:f>IF(F661="","",('Summary'!$B$5-F661)/365.25)</x:f>
        <x:v>6.491478415658987</x:v>
      </x:c>
      <x:c r="I661" s="34" t="n">
        <x:v>0.0173</x:v>
      </x:c>
      <x:c r="J661" s="35" t="n">
        <x:v>-0.04945</x:v>
      </x:c>
      <x:c r="K661" s="36" t="n">
        <x:v>25499366.4</x:v>
      </x:c>
      <x:c r="L661" s="36" t="n">
        <x:v>400903.64233</x:v>
      </x:c>
      <x:c r="M661" s="37" t="n">
        <x:v>4001</x:v>
      </x:c>
      <x:c r="N661" s="34" t="n">
        <x:v>0</x:v>
      </x:c>
      <x:c r="O661" s="34" t="n">
        <x:v>0</x:v>
      </x:c>
      <x:c r="P661" s="38" t="str">
        <x:f>IF(OR(N661="",O661="",N661=0,O661=0),"",(O661-N661)/((O661+N661)/2))</x:f>
      </x:c>
      <x:c r="Q661" s="34" t="n">
        <x:v>0.0157221</x:v>
      </x:c>
      <x:c r="R661" s="34" t="n">
        <x:v>0.0183</x:v>
      </x:c>
      <x:c r="S661" s="34" t="n">
        <x:v>0.0144</x:v>
      </x:c>
      <x:c r="T661" s="32" t="n">
        <x:v>46209.26112309028</x:v>
      </x:c>
      <x:c r="U661" s="32" t="n">
        <x:v>46210.26112309028</x:v>
      </x:c>
      <x:c r="V661" s="34" t="n">
        <x:v>5</x:v>
      </x:c>
      <x:c r="W661" s="34" t="n">
        <x:v>0.1</x:v>
      </x:c>
      <x:c r="X661" s="34" t="n">
        <x:v>0.1</x:v>
      </x:c>
      <x:c r="Y661" s="34" t="n">
        <x:v>0.0001</x:v>
      </x:c>
      <x:c r="Z661" s="30" t="str">
        <x:f>IF(AND(D661="TRADING",I661&lt;&gt;"",L661&lt;&gt;"",M661&lt;&gt;"",N661&lt;&gt;"",O661&lt;&gt;""),"Yes","No")</x:f>
        <x:v>No</x:v>
      </x:c>
      <x:c r="AA661" s="39" t="str">
        <x:v>https://developers.binance.com/en/docs/catalog/core-trading-spot-trading/api/rest-api</x:v>
      </x:c>
    </x:row>
    <x:row r="662">
      <x:c r="A662" s="30" t="str">
        <x:v>WTCUSDT</x:v>
      </x:c>
      <x:c r="B662" s="30" t="str">
        <x:v>WTC</x:v>
      </x:c>
      <x:c r="C662" s="30" t="str">
        <x:v>USDT</x:v>
      </x:c>
      <x:c r="D662" s="30" t="str">
        <x:v>BREAK</x:v>
      </x:c>
      <x:c r="E662" s="31" t="b">
        <x:v>1</x:v>
      </x:c>
      <x:c r="F662" s="32" t="n">
        <x:v>43928</x:v>
      </x:c>
      <x:c r="G662" s="32" t="n">
        <x:v>43928.999999988424</x:v>
      </x:c>
      <x:c r="H662" s="33" t="n">
        <x:f>IF(F662="","",('Summary'!$B$5-F662)/365.25)</x:f>
        <x:v>6.321731666856796</x:v>
      </x:c>
      <x:c r="I662" s="34" t="n">
        <x:v>0.0103</x:v>
      </x:c>
      <x:c r="J662" s="35" t="n">
        <x:v>-0.5654</x:v>
      </x:c>
      <x:c r="K662" s="36" t="n">
        <x:v>28831218</x:v>
      </x:c>
      <x:c r="L662" s="36" t="n">
        <x:v>485356.1247</x:v>
      </x:c>
      <x:c r="M662" s="37" t="n">
        <x:v>4001</x:v>
      </x:c>
      <x:c r="N662" s="34" t="n">
        <x:v>0</x:v>
      </x:c>
      <x:c r="O662" s="34" t="n">
        <x:v>0</x:v>
      </x:c>
      <x:c r="P662" s="38" t="str">
        <x:f>IF(OR(N662="",O662="",N662=0,O662=0),"",(O662-N662)/((O662+N662)/2))</x:f>
      </x:c>
      <x:c r="Q662" s="34" t="n">
        <x:v>0.0168344</x:v>
      </x:c>
      <x:c r="R662" s="34" t="n">
        <x:v>0.024</x:v>
      </x:c>
      <x:c r="S662" s="34" t="n">
        <x:v>0.01</x:v>
      </x:c>
      <x:c r="T662" s="32" t="n">
        <x:v>46209.26112309028</x:v>
      </x:c>
      <x:c r="U662" s="32" t="n">
        <x:v>46210.26112309028</x:v>
      </x:c>
      <x:c r="V662" s="34" t="n">
        <x:v>5</x:v>
      </x:c>
      <x:c r="W662" s="34" t="n">
        <x:v>1</x:v>
      </x:c>
      <x:c r="X662" s="34" t="n">
        <x:v>1</x:v>
      </x:c>
      <x:c r="Y662" s="34" t="n">
        <x:v>0.0001</x:v>
      </x:c>
      <x:c r="Z662" s="30" t="str">
        <x:f>IF(AND(D662="TRADING",I662&lt;&gt;"",L662&lt;&gt;"",M662&lt;&gt;"",N662&lt;&gt;"",O662&lt;&gt;""),"Yes","No")</x:f>
        <x:v>No</x:v>
      </x:c>
      <x:c r="AA662" s="39" t="str">
        <x:v>https://developers.binance.com/en/docs/catalog/core-trading-spot-trading/api/rest-api</x:v>
      </x:c>
    </x:row>
    <x:row r="663">
      <x:c r="A663" s="30" t="str">
        <x:v>WUSDT</x:v>
      </x:c>
      <x:c r="B663" s="30" t="str">
        <x:v>W</x:v>
      </x:c>
      <x:c r="C663" s="30" t="str">
        <x:v>USDT</x:v>
      </x:c>
      <x:c r="D663" s="30" t="str">
        <x:v>TRADING</x:v>
      </x:c>
      <x:c r="E663" s="31" t="b">
        <x:v>1</x:v>
      </x:c>
      <x:c r="F663" s="32" t="n">
        <x:v>45385</x:v>
      </x:c>
      <x:c r="G663" s="32" t="n">
        <x:v>45385.999999988424</x:v>
      </x:c>
      <x:c r="H663" s="33" t="n">
        <x:f>IF(F663="","",('Summary'!$B$5-F663)/365.25)</x:f>
        <x:v>2.332683070005325</x:v>
      </x:c>
      <x:c r="I663" s="34" t="n">
        <x:v>0.00817</x:v>
      </x:c>
      <x:c r="J663" s="35" t="n">
        <x:v>0.023809999999999998</x:v>
      </x:c>
      <x:c r="K663" s="36" t="n">
        <x:v>44416599.3</x:v>
      </x:c>
      <x:c r="L663" s="36" t="n">
        <x:v>362375.541307</x:v>
      </x:c>
      <x:c r="M663" s="37" t="n">
        <x:v>3612</x:v>
      </x:c>
      <x:c r="N663" s="34" t="n">
        <x:v>0.00816</x:v>
      </x:c>
      <x:c r="O663" s="34" t="n">
        <x:v>0.00817</x:v>
      </x:c>
      <x:c r="P663" s="38" t="n">
        <x:f>IF(OR(N663="",O663="",N663=0,O663=0),"",(O663-N663)/((O663+N663)/2))</x:f>
        <x:v>0.0012247397428046041</x:v>
      </x:c>
      <x:c r="Q663" s="34" t="n">
        <x:v>0.00815856</x:v>
      </x:c>
      <x:c r="R663" s="34" t="n">
        <x:v>0.00826</x:v>
      </x:c>
      <x:c r="S663" s="34" t="n">
        <x:v>0.00797</x:v>
      </x:c>
      <x:c r="T663" s="32" t="n">
        <x:v>46236.01175380787</x:v>
      </x:c>
      <x:c r="U663" s="32" t="n">
        <x:v>46237.01175380787</x:v>
      </x:c>
      <x:c r="V663" s="34" t="n">
        <x:v>5</x:v>
      </x:c>
      <x:c r="W663" s="34" t="n">
        <x:v>0.1</x:v>
      </x:c>
      <x:c r="X663" s="34" t="n">
        <x:v>0.1</x:v>
      </x:c>
      <x:c r="Y663" s="34" t="n">
        <x:v>0.00001</x:v>
      </x:c>
      <x:c r="Z663" s="30" t="str">
        <x:f>IF(AND(D663="TRADING",I663&lt;&gt;"",L663&lt;&gt;"",M663&lt;&gt;"",N663&lt;&gt;"",O663&lt;&gt;""),"Yes","No")</x:f>
        <x:v>Yes</x:v>
      </x:c>
      <x:c r="AA663" s="39" t="str">
        <x:v>https://developers.binance.com/en/docs/catalog/core-trading-spot-trading/api/rest-api</x:v>
      </x:c>
    </x:row>
    <x:row r="664">
      <x:c r="A664" s="30" t="str">
        <x:v>XAIUSDT</x:v>
      </x:c>
      <x:c r="B664" s="30" t="str">
        <x:v>XAI</x:v>
      </x:c>
      <x:c r="C664" s="30" t="str">
        <x:v>USDT</x:v>
      </x:c>
      <x:c r="D664" s="30" t="str">
        <x:v>TRADING</x:v>
      </x:c>
      <x:c r="E664" s="31" t="b">
        <x:v>1</x:v>
      </x:c>
      <x:c r="F664" s="32" t="n">
        <x:v>45300</x:v>
      </x:c>
      <x:c r="G664" s="32" t="n">
        <x:v>45300.999999988424</x:v>
      </x:c>
      <x:c r="H664" s="33" t="n">
        <x:f>IF(F664="","",('Summary'!$B$5-F664)/365.25)</x:f>
        <x:v>2.565400386911554</x:v>
      </x:c>
      <x:c r="I664" s="34" t="n">
        <x:v>0.00608</x:v>
      </x:c>
      <x:c r="J664" s="35" t="n">
        <x:v>0.0033</x:v>
      </x:c>
      <x:c r="K664" s="36" t="n">
        <x:v>25509599.1</x:v>
      </x:c>
      <x:c r="L664" s="36" t="n">
        <x:v>155398.592731</x:v>
      </x:c>
      <x:c r="M664" s="37" t="n">
        <x:v>3014</x:v>
      </x:c>
      <x:c r="N664" s="34" t="n">
        <x:v>0.00606</x:v>
      </x:c>
      <x:c r="O664" s="34" t="n">
        <x:v>0.00607</x:v>
      </x:c>
      <x:c r="P664" s="38" t="n">
        <x:f>IF(OR(N664="",O664="",N664=0,O664=0),"",(O664-N664)/((O664+N664)/2))</x:f>
        <x:v>0.0016488046166528594</x:v>
      </x:c>
      <x:c r="Q664" s="34" t="n">
        <x:v>0.00609177</x:v>
      </x:c>
      <x:c r="R664" s="34" t="n">
        <x:v>0.00616</x:v>
      </x:c>
      <x:c r="S664" s="34" t="n">
        <x:v>0.00603</x:v>
      </x:c>
      <x:c r="T664" s="32" t="n">
        <x:v>46236.01244011574</x:v>
      </x:c>
      <x:c r="U664" s="32" t="n">
        <x:v>46237.01244011574</x:v>
      </x:c>
      <x:c r="V664" s="34" t="n">
        <x:v>5</x:v>
      </x:c>
      <x:c r="W664" s="34" t="n">
        <x:v>0.1</x:v>
      </x:c>
      <x:c r="X664" s="34" t="n">
        <x:v>0.1</x:v>
      </x:c>
      <x:c r="Y664" s="34" t="n">
        <x:v>0.00001</x:v>
      </x:c>
      <x:c r="Z664" s="30" t="str">
        <x:f>IF(AND(D664="TRADING",I664&lt;&gt;"",L664&lt;&gt;"",M664&lt;&gt;"",N664&lt;&gt;"",O664&lt;&gt;""),"Yes","No")</x:f>
        <x:v>Yes</x:v>
      </x:c>
      <x:c r="AA664" s="39" t="str">
        <x:v>https://developers.binance.com/en/docs/catalog/core-trading-spot-trading/api/rest-api</x:v>
      </x:c>
    </x:row>
    <x:row r="665">
      <x:c r="A665" s="30" t="str">
        <x:v>XAUTUSDT</x:v>
      </x:c>
      <x:c r="B665" s="30" t="str">
        <x:v>XAUT</x:v>
      </x:c>
      <x:c r="C665" s="30" t="str">
        <x:v>USDT</x:v>
      </x:c>
      <x:c r="D665" s="30" t="str">
        <x:v>TRADING</x:v>
      </x:c>
      <x:c r="E665" s="31" t="b">
        <x:v>1</x:v>
      </x:c>
      <x:c r="F665" s="32" t="n">
        <x:v>46107</x:v>
      </x:c>
      <x:c r="G665" s="32" t="n">
        <x:v>46107.999999988424</x:v>
      </x:c>
      <x:c r="H665" s="33" t="n">
        <x:f>IF(F665="","",('Summary'!$B$5-F665)/365.25)</x:f>
        <x:v>0.3559548016959479</x:v>
      </x:c>
      <x:c r="I665" s="34" t="n">
        <x:v>4056.91</x:v>
      </x:c>
      <x:c r="J665" s="35" t="n">
        <x:v>0.0032</x:v>
      </x:c>
      <x:c r="K665" s="36" t="n">
        <x:v>6726.3597</x:v>
      </x:c>
      <x:c r="L665" s="36" t="n">
        <x:v>27240462.654131</x:v>
      </x:c>
      <x:c r="M665" s="37" t="n">
        <x:v>45506</x:v>
      </x:c>
      <x:c r="N665" s="34" t="n">
        <x:v>4056.91</x:v>
      </x:c>
      <x:c r="O665" s="34" t="n">
        <x:v>4056.92</x:v>
      </x:c>
      <x:c r="P665" s="38" t="n">
        <x:f>IF(OR(N665="",O665="",N665=0,O665=0),"",(O665-N665)/((O665+N665)/2))</x:f>
        <x:v>0.0000024649271676183204</x:v>
      </x:c>
      <x:c r="Q665" s="34" t="n">
        <x:v>4049.80760308</x:v>
      </x:c>
      <x:c r="R665" s="34" t="n">
        <x:v>4068.26</x:v>
      </x:c>
      <x:c r="S665" s="34" t="n">
        <x:v>4043.96</x:v>
      </x:c>
      <x:c r="T665" s="32" t="n">
        <x:v>46236.01248322917</x:v>
      </x:c>
      <x:c r="U665" s="32" t="n">
        <x:v>46237.01248322917</x:v>
      </x:c>
      <x:c r="V665" s="34" t="n">
        <x:v>5</x:v>
      </x:c>
      <x:c r="W665" s="34" t="n">
        <x:v>0.0001</x:v>
      </x:c>
      <x:c r="X665" s="34" t="n">
        <x:v>0.0001</x:v>
      </x:c>
      <x:c r="Y665" s="34" t="n">
        <x:v>0.01</x:v>
      </x:c>
      <x:c r="Z665" s="30" t="str">
        <x:f>IF(AND(D665="TRADING",I665&lt;&gt;"",L665&lt;&gt;"",M665&lt;&gt;"",N665&lt;&gt;"",O665&lt;&gt;""),"Yes","No")</x:f>
        <x:v>Yes</x:v>
      </x:c>
      <x:c r="AA665" s="39" t="str">
        <x:v>https://developers.binance.com/en/docs/catalog/core-trading-spot-trading/api/rest-api</x:v>
      </x:c>
    </x:row>
    <x:row r="666">
      <x:c r="A666" s="30" t="str">
        <x:v>XECUSDT</x:v>
      </x:c>
      <x:c r="B666" s="30" t="str">
        <x:v>XEC</x:v>
      </x:c>
      <x:c r="C666" s="30" t="str">
        <x:v>USDT</x:v>
      </x:c>
      <x:c r="D666" s="30" t="str">
        <x:v>TRADING</x:v>
      </x:c>
      <x:c r="E666" s="31" t="b">
        <x:v>1</x:v>
      </x:c>
      <x:c r="F666" s="32" t="n">
        <x:v>44442</x:v>
      </x:c>
      <x:c r="G666" s="32" t="n">
        <x:v>44442.999999988424</x:v>
      </x:c>
      <x:c r="H666" s="33" t="n">
        <x:f>IF(F666="","",('Summary'!$B$5-F666)/365.25)</x:f>
        <x:v>4.9144763622708965</x:v>
      </x:c>
      <x:c r="I666" s="34" t="n">
        <x:v>0.00000685</x:v>
      </x:c>
      <x:c r="J666" s="35" t="n">
        <x:v>0.028530000000000003</x:v>
      </x:c>
      <x:c r="K666" s="36" t="n">
        <x:v>142766446477</x:v>
      </x:c>
      <x:c r="L666" s="36" t="n">
        <x:v>978356.75846407</x:v>
      </x:c>
      <x:c r="M666" s="37" t="n">
        <x:v>7832</x:v>
      </x:c>
      <x:c r="N666" s="34" t="n">
        <x:v>0.00000684</x:v>
      </x:c>
      <x:c r="O666" s="34" t="n">
        <x:v>0.00000685</x:v>
      </x:c>
      <x:c r="P666" s="38" t="n">
        <x:f>IF(OR(N666="",O666="",N666=0,O666=0),"",(O666-N666)/((O666+N666)/2))</x:f>
        <x:v>0.001460920379839285</x:v>
      </x:c>
      <x:c r="Q666" s="34" t="n">
        <x:v>0.00000685</x:v>
      </x:c>
      <x:c r="R666" s="34" t="n">
        <x:v>0.00000727</x:v>
      </x:c>
      <x:c r="S666" s="34" t="n">
        <x:v>0.00000663</x:v>
      </x:c>
      <x:c r="T666" s="32" t="n">
        <x:v>46236.01244861111</x:v>
      </x:c>
      <x:c r="U666" s="32" t="n">
        <x:v>46237.01244861111</x:v>
      </x:c>
      <x:c r="V666" s="34" t="n">
        <x:v>5</x:v>
      </x:c>
      <x:c r="W666" s="34" t="n">
        <x:v>1</x:v>
      </x:c>
      <x:c r="X666" s="34" t="n">
        <x:v>1</x:v>
      </x:c>
      <x:c r="Y666" s="34" t="n">
        <x:v>1e-8</x:v>
      </x:c>
      <x:c r="Z666" s="30" t="str">
        <x:f>IF(AND(D666="TRADING",I666&lt;&gt;"",L666&lt;&gt;"",M666&lt;&gt;"",N666&lt;&gt;"",O666&lt;&gt;""),"Yes","No")</x:f>
        <x:v>Yes</x:v>
      </x:c>
      <x:c r="AA666" s="39" t="str">
        <x:v>https://developers.binance.com/en/docs/catalog/core-trading-spot-trading/api/rest-api</x:v>
      </x:c>
    </x:row>
    <x:row r="667">
      <x:c r="A667" s="30" t="str">
        <x:v>XEMUSDT</x:v>
      </x:c>
      <x:c r="B667" s="30" t="str">
        <x:v>XEM</x:v>
      </x:c>
      <x:c r="C667" s="30" t="str">
        <x:v>USDT</x:v>
      </x:c>
      <x:c r="D667" s="30" t="str">
        <x:v>BREAK</x:v>
      </x:c>
      <x:c r="E667" s="31" t="b">
        <x:v>1</x:v>
      </x:c>
      <x:c r="F667" s="32" t="n">
        <x:v>44159</x:v>
      </x:c>
      <x:c r="G667" s="32" t="n">
        <x:v>44159.999999988424</x:v>
      </x:c>
      <x:c r="H667" s="33" t="n">
        <x:f>IF(F667="","",('Summary'!$B$5-F667)/365.25)</x:f>
        <x:v>5.689288135029281</x:v>
      </x:c>
      <x:c r="I667" s="34" t="n">
        <x:v>0.01596</x:v>
      </x:c>
      <x:c r="J667" s="35" t="n">
        <x:v>0.03167</x:v>
      </x:c>
      <x:c r="K667" s="36" t="n">
        <x:v>19421302</x:v>
      </x:c>
      <x:c r="L667" s="36" t="n">
        <x:v>299857.23906</x:v>
      </x:c>
      <x:c r="M667" s="37" t="n">
        <x:v>4001</x:v>
      </x:c>
      <x:c r="N667" s="34" t="n">
        <x:v>0</x:v>
      </x:c>
      <x:c r="O667" s="34" t="n">
        <x:v>0</x:v>
      </x:c>
      <x:c r="P667" s="38" t="str">
        <x:f>IF(OR(N667="",O667="",N667=0,O667=0),"",(O667-N667)/((O667+N667)/2))</x:f>
      </x:c>
      <x:c r="Q667" s="34" t="n">
        <x:v>0.01543961</x:v>
      </x:c>
      <x:c r="R667" s="34" t="n">
        <x:v>0.0163</x:v>
      </x:c>
      <x:c r="S667" s="34" t="n">
        <x:v>0.01484</x:v>
      </x:c>
      <x:c r="T667" s="32" t="n">
        <x:v>46209.26112309028</x:v>
      </x:c>
      <x:c r="U667" s="32" t="n">
        <x:v>46210.26112309028</x:v>
      </x:c>
      <x:c r="V667" s="34" t="n">
        <x:v>5</x:v>
      </x:c>
      <x:c r="W667" s="34" t="n">
        <x:v>1</x:v>
      </x:c>
      <x:c r="X667" s="34" t="n">
        <x:v>1</x:v>
      </x:c>
      <x:c r="Y667" s="34" t="n">
        <x:v>0.00001</x:v>
      </x:c>
      <x:c r="Z667" s="30" t="str">
        <x:f>IF(AND(D667="TRADING",I667&lt;&gt;"",L667&lt;&gt;"",M667&lt;&gt;"",N667&lt;&gt;"",O667&lt;&gt;""),"Yes","No")</x:f>
        <x:v>No</x:v>
      </x:c>
      <x:c r="AA667" s="39" t="str">
        <x:v>https://developers.binance.com/en/docs/catalog/core-trading-spot-trading/api/rest-api</x:v>
      </x:c>
    </x:row>
    <x:row r="668">
      <x:c r="A668" s="30" t="str">
        <x:v>XLMUSDT</x:v>
      </x:c>
      <x:c r="B668" s="30" t="str">
        <x:v>XLM</x:v>
      </x:c>
      <x:c r="C668" s="30" t="str">
        <x:v>USDT</x:v>
      </x:c>
      <x:c r="D668" s="30" t="str">
        <x:v>TRADING</x:v>
      </x:c>
      <x:c r="E668" s="31" t="b">
        <x:v>1</x:v>
      </x:c>
      <x:c r="F668" s="32" t="n">
        <x:v>43251</x:v>
      </x:c>
      <x:c r="G668" s="32" t="n">
        <x:v>43251.999999988424</x:v>
      </x:c>
      <x:c r="H668" s="33" t="n">
        <x:f>IF(F668="","",('Summary'!$B$5-F668)/365.25)</x:f>
        <x:v>8.17525664974523</x:v>
      </x:c>
      <x:c r="I668" s="34" t="n">
        <x:v>0.1741</x:v>
      </x:c>
      <x:c r="J668" s="35" t="n">
        <x:v>0.01753</x:v>
      </x:c>
      <x:c r="K668" s="36" t="n">
        <x:v>41148193</x:v>
      </x:c>
      <x:c r="L668" s="36" t="n">
        <x:v>7187436.6681</x:v>
      </x:c>
      <x:c r="M668" s="37" t="n">
        <x:v>67170</x:v>
      </x:c>
      <x:c r="N668" s="34" t="n">
        <x:v>0.174</x:v>
      </x:c>
      <x:c r="O668" s="34" t="n">
        <x:v>0.1741</x:v>
      </x:c>
      <x:c r="P668" s="38" t="n">
        <x:f>IF(OR(N668="",O668="",N668=0,O668=0),"",(O668-N668)/((O668+N668)/2))</x:f>
        <x:v>0.0005745475438093464</x:v>
      </x:c>
      <x:c r="Q668" s="34" t="n">
        <x:v>0.17467199</x:v>
      </x:c>
      <x:c r="R668" s="34" t="n">
        <x:v>0.1776</x:v>
      </x:c>
      <x:c r="S668" s="34" t="n">
        <x:v>0.1705</x:v>
      </x:c>
      <x:c r="T668" s="32" t="n">
        <x:v>46236.01247902778</x:v>
      </x:c>
      <x:c r="U668" s="32" t="n">
        <x:v>46237.01247902778</x:v>
      </x:c>
      <x:c r="V668" s="34" t="n">
        <x:v>5</x:v>
      </x:c>
      <x:c r="W668" s="34" t="n">
        <x:v>1</x:v>
      </x:c>
      <x:c r="X668" s="34" t="n">
        <x:v>1</x:v>
      </x:c>
      <x:c r="Y668" s="34" t="n">
        <x:v>0.0001</x:v>
      </x:c>
      <x:c r="Z668" s="30" t="str">
        <x:f>IF(AND(D668="TRADING",I668&lt;&gt;"",L668&lt;&gt;"",M668&lt;&gt;"",N668&lt;&gt;"",O668&lt;&gt;""),"Yes","No")</x:f>
        <x:v>Yes</x:v>
      </x:c>
      <x:c r="AA668" s="39" t="str">
        <x:v>https://developers.binance.com/en/docs/catalog/core-trading-spot-trading/api/rest-api</x:v>
      </x:c>
    </x:row>
    <x:row r="669">
      <x:c r="A669" s="30" t="str">
        <x:v>XMRUSDT</x:v>
      </x:c>
      <x:c r="B669" s="30" t="str">
        <x:v>XMR</x:v>
      </x:c>
      <x:c r="C669" s="30" t="str">
        <x:v>USDT</x:v>
      </x:c>
      <x:c r="D669" s="30" t="str">
        <x:v>BREAK</x:v>
      </x:c>
      <x:c r="E669" s="31" t="b">
        <x:v>1</x:v>
      </x:c>
      <x:c r="F669" s="32" t="n">
        <x:v>43539</x:v>
      </x:c>
      <x:c r="G669" s="32" t="n">
        <x:v>43539.999999988424</x:v>
      </x:c>
      <x:c r="H669" s="33" t="n">
        <x:f>IF(F669="","",('Summary'!$B$5-F669)/365.25)</x:f>
        <x:v>7.386755623051184</x:v>
      </x:c>
      <x:c r="I669" s="34" t="n">
        <x:v>118.7</x:v>
      </x:c>
      <x:c r="J669" s="35" t="n">
        <x:v>0.04766</x:v>
      </x:c>
      <x:c r="K669" s="36" t="n">
        <x:v>5017.379</x:v>
      </x:c>
      <x:c r="L669" s="36" t="n">
        <x:v>574681.0774</x:v>
      </x:c>
      <x:c r="M669" s="37" t="n">
        <x:v>4001</x:v>
      </x:c>
      <x:c r="N669" s="34" t="n">
        <x:v>0</x:v>
      </x:c>
      <x:c r="O669" s="34" t="n">
        <x:v>0</x:v>
      </x:c>
      <x:c r="P669" s="38" t="str">
        <x:f>IF(OR(N669="",O669="",N669=0,O669=0),"",(O669-N669)/((O669+N669)/2))</x:f>
      </x:c>
      <x:c r="Q669" s="34" t="n">
        <x:v>114.53810394</x:v>
      </x:c>
      <x:c r="R669" s="34" t="n">
        <x:v>119.6</x:v>
      </x:c>
      <x:c r="S669" s="34" t="n">
        <x:v>110.4</x:v>
      </x:c>
      <x:c r="T669" s="32" t="n">
        <x:v>46209.26112309028</x:v>
      </x:c>
      <x:c r="U669" s="32" t="n">
        <x:v>46210.26112309028</x:v>
      </x:c>
      <x:c r="V669" s="34" t="n">
        <x:v>5</x:v>
      </x:c>
      <x:c r="W669" s="34" t="n">
        <x:v>0.001</x:v>
      </x:c>
      <x:c r="X669" s="34" t="n">
        <x:v>0.001</x:v>
      </x:c>
      <x:c r="Y669" s="34" t="n">
        <x:v>0.1</x:v>
      </x:c>
      <x:c r="Z669" s="30" t="str">
        <x:f>IF(AND(D669="TRADING",I669&lt;&gt;"",L669&lt;&gt;"",M669&lt;&gt;"",N669&lt;&gt;"",O669&lt;&gt;""),"Yes","No")</x:f>
        <x:v>No</x:v>
      </x:c>
      <x:c r="AA669" s="39" t="str">
        <x:v>https://developers.binance.com/en/docs/catalog/core-trading-spot-trading/api/rest-api</x:v>
      </x:c>
    </x:row>
    <x:row r="670">
      <x:c r="A670" s="30" t="str">
        <x:v>XNOUSDT</x:v>
      </x:c>
      <x:c r="B670" s="30" t="str">
        <x:v>XNO</x:v>
      </x:c>
      <x:c r="C670" s="30" t="str">
        <x:v>USDT</x:v>
      </x:c>
      <x:c r="D670" s="30" t="str">
        <x:v>TRADING</x:v>
      </x:c>
      <x:c r="E670" s="31" t="b">
        <x:v>1</x:v>
      </x:c>
      <x:c r="F670" s="32" t="n">
        <x:v>44589</x:v>
      </x:c>
      <x:c r="G670" s="32" t="n">
        <x:v>44589.999999988424</x:v>
      </x:c>
      <x:c r="H670" s="33" t="n">
        <x:f>IF(F670="","",('Summary'!$B$5-F670)/365.25)</x:f>
        <x:v>4.512012296562478</x:v>
      </x:c>
      <x:c r="I670" s="34" t="n">
        <x:v>0.401</x:v>
      </x:c>
      <x:c r="J670" s="35" t="n">
        <x:v>-0.01956</x:v>
      </x:c>
      <x:c r="K670" s="36" t="n">
        <x:v>176643.72</x:v>
      </x:c>
      <x:c r="L670" s="36" t="n">
        <x:v>70626.07159</x:v>
      </x:c>
      <x:c r="M670" s="37" t="n">
        <x:v>1831</x:v>
      </x:c>
      <x:c r="N670" s="34" t="n">
        <x:v>0.399</x:v>
      </x:c>
      <x:c r="O670" s="34" t="n">
        <x:v>0.401</x:v>
      </x:c>
      <x:c r="P670" s="38" t="n">
        <x:f>IF(OR(N670="",O670="",N670=0,O670=0),"",(O670-N670)/((O670+N670)/2))</x:f>
        <x:v>0.0050000000000000044</x:v>
      </x:c>
      <x:c r="Q670" s="34" t="n">
        <x:v>0.39982215</x:v>
      </x:c>
      <x:c r="R670" s="34" t="n">
        <x:v>0.41</x:v>
      </x:c>
      <x:c r="S670" s="34" t="n">
        <x:v>0.39</x:v>
      </x:c>
      <x:c r="T670" s="32" t="n">
        <x:v>46236.011355636576</x:v>
      </x:c>
      <x:c r="U670" s="32" t="n">
        <x:v>46237.011355636576</x:v>
      </x:c>
      <x:c r="V670" s="34" t="n">
        <x:v>5</x:v>
      </x:c>
      <x:c r="W670" s="34" t="n">
        <x:v>0.01</x:v>
      </x:c>
      <x:c r="X670" s="34" t="n">
        <x:v>0.01</x:v>
      </x:c>
      <x:c r="Y670" s="34" t="n">
        <x:v>0.001</x:v>
      </x:c>
      <x:c r="Z670" s="30" t="str">
        <x:f>IF(AND(D670="TRADING",I670&lt;&gt;"",L670&lt;&gt;"",M670&lt;&gt;"",N670&lt;&gt;"",O670&lt;&gt;""),"Yes","No")</x:f>
        <x:v>Yes</x:v>
      </x:c>
      <x:c r="AA670" s="39" t="str">
        <x:v>https://developers.binance.com/en/docs/catalog/core-trading-spot-trading/api/rest-api</x:v>
      </x:c>
    </x:row>
    <x:row r="671">
      <x:c r="A671" s="30" t="str">
        <x:v>XPLUSDT</x:v>
      </x:c>
      <x:c r="B671" s="30" t="str">
        <x:v>XPL</x:v>
      </x:c>
      <x:c r="C671" s="30" t="str">
        <x:v>USDT</x:v>
      </x:c>
      <x:c r="D671" s="30" t="str">
        <x:v>TRADING</x:v>
      </x:c>
      <x:c r="E671" s="31" t="b">
        <x:v>1</x:v>
      </x:c>
      <x:c r="F671" s="32" t="n">
        <x:v>45925</x:v>
      </x:c>
      <x:c r="G671" s="32" t="n">
        <x:v>45925.999999988424</x:v>
      </x:c>
      <x:c r="H671" s="33" t="n">
        <x:f>IF(F671="","",('Summary'!$B$5-F671)/365.25)</x:f>
        <x:v>0.8542436449539903</x:v>
      </x:c>
      <x:c r="I671" s="34" t="n">
        <x:v>0.07562</x:v>
      </x:c>
      <x:c r="J671" s="35" t="n">
        <x:v>-0.00026</x:v>
      </x:c>
      <x:c r="K671" s="36" t="n">
        <x:v>29401862</x:v>
      </x:c>
      <x:c r="L671" s="36" t="n">
        <x:v>2255860.270812</x:v>
      </x:c>
      <x:c r="M671" s="37" t="n">
        <x:v>56909</x:v>
      </x:c>
      <x:c r="N671" s="34" t="n">
        <x:v>0.07562</x:v>
      </x:c>
      <x:c r="O671" s="34" t="n">
        <x:v>0.07563</x:v>
      </x:c>
      <x:c r="P671" s="38" t="n">
        <x:f>IF(OR(N671="",O671="",N671=0,O671=0),"",(O671-N671)/((O671+N671)/2))</x:f>
        <x:v>0.00013223140495862643</x:v>
      </x:c>
      <x:c r="Q671" s="34" t="n">
        <x:v>0.07672508</x:v>
      </x:c>
      <x:c r="R671" s="34" t="n">
        <x:v>0.0775</x:v>
      </x:c>
      <x:c r="S671" s="34" t="n">
        <x:v>0.07531</x:v>
      </x:c>
      <x:c r="T671" s="32" t="n">
        <x:v>46236.01240197917</x:v>
      </x:c>
      <x:c r="U671" s="32" t="n">
        <x:v>46237.01240197917</x:v>
      </x:c>
      <x:c r="V671" s="34" t="n">
        <x:v>5</x:v>
      </x:c>
      <x:c r="W671" s="34" t="n">
        <x:v>0.1</x:v>
      </x:c>
      <x:c r="X671" s="34" t="n">
        <x:v>0.1</x:v>
      </x:c>
      <x:c r="Y671" s="34" t="n">
        <x:v>0.00001</x:v>
      </x:c>
      <x:c r="Z671" s="30" t="str">
        <x:f>IF(AND(D671="TRADING",I671&lt;&gt;"",L671&lt;&gt;"",M671&lt;&gt;"",N671&lt;&gt;"",O671&lt;&gt;""),"Yes","No")</x:f>
        <x:v>Yes</x:v>
      </x:c>
      <x:c r="AA671" s="39" t="str">
        <x:v>https://developers.binance.com/en/docs/catalog/core-trading-spot-trading/api/rest-api</x:v>
      </x:c>
    </x:row>
    <x:row r="672">
      <x:c r="A672" s="30" t="str">
        <x:v>XRPBEARUSDT</x:v>
      </x:c>
      <x:c r="B672" s="30" t="str">
        <x:v>XRPBEAR</x:v>
      </x:c>
      <x:c r="C672" s="30" t="str">
        <x:v>USDT</x:v>
      </x:c>
      <x:c r="D672" s="30" t="str">
        <x:v>BREAK</x:v>
      </x:c>
      <x:c r="E672" s="31" t="b">
        <x:v>1</x:v>
      </x:c>
      <x:c r="F672" s="32" t="n">
        <x:v>43873</x:v>
      </x:c>
      <x:c r="G672" s="32" t="n">
        <x:v>43873.999999988424</x:v>
      </x:c>
      <x:c r="H672" s="33" t="n">
        <x:f>IF(F672="","",('Summary'!$B$5-F672)/365.25)</x:f>
        <x:v>6.472313460149063</x:v>
      </x:c>
      <x:c r="I672" s="34" t="n">
        <x:v>0</x:v>
      </x:c>
      <x:c r="J672" s="35" t="n">
        <x:v>0</x:v>
      </x:c>
      <x:c r="K672" s="36" t="n">
        <x:v>0</x:v>
      </x:c>
      <x:c r="L672" s="36" t="n">
        <x:v>0</x:v>
      </x:c>
      <x:c r="M672" s="37" t="n">
        <x:v>0</x:v>
      </x:c>
      <x:c r="N672" s="34" t="n">
        <x:v>0</x:v>
      </x:c>
      <x:c r="O672" s="34" t="n">
        <x:v>0</x:v>
      </x:c>
      <x:c r="P672" s="38" t="str">
        <x:f>IF(OR(N672="",O672="",N672=0,O672=0),"",(O672-N672)/((O672+N672)/2))</x:f>
      </x:c>
      <x:c r="Q672" s="34" t="n">
        <x:v>0</x:v>
      </x:c>
      <x:c r="R672" s="34" t="n">
        <x:v>0</x:v>
      </x:c>
      <x:c r="S672" s="34" t="n">
        <x:v>0</x:v>
      </x:c>
      <x:c r="T672" s="32" t="n">
        <x:v>46209.26112309028</x:v>
      </x:c>
      <x:c r="U672" s="32" t="n">
        <x:v>46210.26112309028</x:v>
      </x:c>
      <x:c r="V672" s="34" t="n">
        <x:v>10</x:v>
      </x:c>
      <x:c r="W672" s="34" t="n">
        <x:v>0.00001</x:v>
      </x:c>
      <x:c r="X672" s="34" t="n">
        <x:v>0.00001</x:v>
      </x:c>
      <x:c r="Y672" s="34" t="n">
        <x:v>0.01</x:v>
      </x:c>
      <x:c r="Z672" s="30" t="str">
        <x:f>IF(AND(D672="TRADING",I672&lt;&gt;"",L672&lt;&gt;"",M672&lt;&gt;"",N672&lt;&gt;"",O672&lt;&gt;""),"Yes","No")</x:f>
        <x:v>No</x:v>
      </x:c>
      <x:c r="AA672" s="39" t="str">
        <x:v>https://developers.binance.com/en/docs/catalog/core-trading-spot-trading/api/rest-api</x:v>
      </x:c>
    </x:row>
    <x:row r="673">
      <x:c r="A673" s="30" t="str">
        <x:v>XRPBULLUSDT</x:v>
      </x:c>
      <x:c r="B673" s="30" t="str">
        <x:v>XRPBULL</x:v>
      </x:c>
      <x:c r="C673" s="30" t="str">
        <x:v>USDT</x:v>
      </x:c>
      <x:c r="D673" s="30" t="str">
        <x:v>BREAK</x:v>
      </x:c>
      <x:c r="E673" s="31" t="b">
        <x:v>1</x:v>
      </x:c>
      <x:c r="F673" s="32" t="n">
        <x:v>43873</x:v>
      </x:c>
      <x:c r="G673" s="32" t="n">
        <x:v>43873.999999988424</x:v>
      </x:c>
      <x:c r="H673" s="33" t="n">
        <x:f>IF(F673="","",('Summary'!$B$5-F673)/365.25)</x:f>
        <x:v>6.472313460149063</x:v>
      </x:c>
      <x:c r="I673" s="34" t="n">
        <x:v>0</x:v>
      </x:c>
      <x:c r="J673" s="35" t="n">
        <x:v>0</x:v>
      </x:c>
      <x:c r="K673" s="36" t="n">
        <x:v>0</x:v>
      </x:c>
      <x:c r="L673" s="36" t="n">
        <x:v>0</x:v>
      </x:c>
      <x:c r="M673" s="37" t="n">
        <x:v>0</x:v>
      </x:c>
      <x:c r="N673" s="34" t="n">
        <x:v>0</x:v>
      </x:c>
      <x:c r="O673" s="34" t="n">
        <x:v>0</x:v>
      </x:c>
      <x:c r="P673" s="38" t="str">
        <x:f>IF(OR(N673="",O673="",N673=0,O673=0),"",(O673-N673)/((O673+N673)/2))</x:f>
      </x:c>
      <x:c r="Q673" s="34" t="n">
        <x:v>0</x:v>
      </x:c>
      <x:c r="R673" s="34" t="n">
        <x:v>0</x:v>
      </x:c>
      <x:c r="S673" s="34" t="n">
        <x:v>0</x:v>
      </x:c>
      <x:c r="T673" s="32" t="n">
        <x:v>46209.26112309028</x:v>
      </x:c>
      <x:c r="U673" s="32" t="n">
        <x:v>46210.26112309028</x:v>
      </x:c>
      <x:c r="V673" s="34" t="n">
        <x:v>10</x:v>
      </x:c>
      <x:c r="W673" s="34" t="n">
        <x:v>0.00001</x:v>
      </x:c>
      <x:c r="X673" s="34" t="n">
        <x:v>0.00001</x:v>
      </x:c>
      <x:c r="Y673" s="34" t="n">
        <x:v>0.01</x:v>
      </x:c>
      <x:c r="Z673" s="30" t="str">
        <x:f>IF(AND(D673="TRADING",I673&lt;&gt;"",L673&lt;&gt;"",M673&lt;&gt;"",N673&lt;&gt;"",O673&lt;&gt;""),"Yes","No")</x:f>
        <x:v>No</x:v>
      </x:c>
      <x:c r="AA673" s="39" t="str">
        <x:v>https://developers.binance.com/en/docs/catalog/core-trading-spot-trading/api/rest-api</x:v>
      </x:c>
    </x:row>
    <x:row r="674">
      <x:c r="A674" s="30" t="str">
        <x:v>XRPUSDT</x:v>
      </x:c>
      <x:c r="B674" s="30" t="str">
        <x:v>XRP</x:v>
      </x:c>
      <x:c r="C674" s="30" t="str">
        <x:v>USDT</x:v>
      </x:c>
      <x:c r="D674" s="30" t="str">
        <x:v>TRADING</x:v>
      </x:c>
      <x:c r="E674" s="31" t="b">
        <x:v>1</x:v>
      </x:c>
      <x:c r="F674" s="32" t="n">
        <x:v>43224</x:v>
      </x:c>
      <x:c r="G674" s="32" t="n">
        <x:v>43224.999999988424</x:v>
      </x:c>
      <x:c r="H674" s="33" t="n">
        <x:f>IF(F674="","",('Summary'!$B$5-F674)/365.25)</x:f>
        <x:v>8.249178620997796</x:v>
      </x:c>
      <x:c r="I674" s="34" t="n">
        <x:v>1.0844</x:v>
      </x:c>
      <x:c r="J674" s="35" t="n">
        <x:v>0.02052</x:v>
      </x:c>
      <x:c r="K674" s="36" t="n">
        <x:v>33785021.2</x:v>
      </x:c>
      <x:c r="L674" s="36" t="n">
        <x:v>36501253.40799</x:v>
      </x:c>
      <x:c r="M674" s="37" t="n">
        <x:v>196164</x:v>
      </x:c>
      <x:c r="N674" s="34" t="n">
        <x:v>1.0844</x:v>
      </x:c>
      <x:c r="O674" s="34" t="n">
        <x:v>1.0845</x:v>
      </x:c>
      <x:c r="P674" s="38" t="n">
        <x:f>IF(OR(N674="",O674="",N674=0,O674=0),"",(O674-N674)/((O674+N674)/2))</x:f>
        <x:v>0.00009221264235325649</x:v>
      </x:c>
      <x:c r="Q674" s="34" t="n">
        <x:v>1.08039753</x:v>
      </x:c>
      <x:c r="R674" s="34" t="n">
        <x:v>1.0933</x:v>
      </x:c>
      <x:c r="S674" s="34" t="n">
        <x:v>1.0609</x:v>
      </x:c>
      <x:c r="T674" s="32" t="n">
        <x:v>46236.01248039352</x:v>
      </x:c>
      <x:c r="U674" s="32" t="n">
        <x:v>46237.01248039352</x:v>
      </x:c>
      <x:c r="V674" s="34" t="n">
        <x:v>5</x:v>
      </x:c>
      <x:c r="W674" s="34" t="n">
        <x:v>0.1</x:v>
      </x:c>
      <x:c r="X674" s="34" t="n">
        <x:v>0.1</x:v>
      </x:c>
      <x:c r="Y674" s="34" t="n">
        <x:v>0.0001</x:v>
      </x:c>
      <x:c r="Z674" s="30" t="str">
        <x:f>IF(AND(D674="TRADING",I674&lt;&gt;"",L674&lt;&gt;"",M674&lt;&gt;"",N674&lt;&gt;"",O674&lt;&gt;""),"Yes","No")</x:f>
        <x:v>Yes</x:v>
      </x:c>
      <x:c r="AA674" s="39" t="str">
        <x:v>https://developers.binance.com/en/docs/catalog/core-trading-spot-trading/api/rest-api</x:v>
      </x:c>
    </x:row>
    <x:row r="675">
      <x:c r="A675" s="30" t="str">
        <x:v>XTZUSDT</x:v>
      </x:c>
      <x:c r="B675" s="30" t="str">
        <x:v>XTZ</x:v>
      </x:c>
      <x:c r="C675" s="30" t="str">
        <x:v>USDT</x:v>
      </x:c>
      <x:c r="D675" s="30" t="str">
        <x:v>TRADING</x:v>
      </x:c>
      <x:c r="E675" s="31" t="b">
        <x:v>1</x:v>
      </x:c>
      <x:c r="F675" s="32" t="n">
        <x:v>43732</x:v>
      </x:c>
      <x:c r="G675" s="32" t="n">
        <x:v>43732.999999988424</x:v>
      </x:c>
      <x:c r="H675" s="33" t="n">
        <x:f>IF(F675="","",('Summary'!$B$5-F675)/365.25)</x:f>
        <x:v>6.858350421134689</x:v>
      </x:c>
      <x:c r="I675" s="34" t="n">
        <x:v>0.2004</x:v>
      </x:c>
      <x:c r="J675" s="35" t="n">
        <x:v>0.005520000000000001</x:v>
      </x:c>
      <x:c r="K675" s="36" t="n">
        <x:v>492320.7</x:v>
      </x:c>
      <x:c r="L675" s="36" t="n">
        <x:v>98750.39561</x:v>
      </x:c>
      <x:c r="M675" s="37" t="n">
        <x:v>1658</x:v>
      </x:c>
      <x:c r="N675" s="34" t="n">
        <x:v>0.2003</x:v>
      </x:c>
      <x:c r="O675" s="34" t="n">
        <x:v>0.2005</x:v>
      </x:c>
      <x:c r="P675" s="38" t="n">
        <x:f>IF(OR(N675="",O675="",N675=0,O675=0),"",(O675-N675)/((O675+N675)/2))</x:f>
        <x:v>0.0009980039920159966</x:v>
      </x:c>
      <x:c r="Q675" s="34" t="n">
        <x:v>0.20058144</x:v>
      </x:c>
      <x:c r="R675" s="34" t="n">
        <x:v>0.2019</x:v>
      </x:c>
      <x:c r="S675" s="34" t="n">
        <x:v>0.1992</x:v>
      </x:c>
      <x:c r="T675" s="32" t="n">
        <x:v>46236.01240015047</x:v>
      </x:c>
      <x:c r="U675" s="32" t="n">
        <x:v>46237.01240015047</x:v>
      </x:c>
      <x:c r="V675" s="34" t="n">
        <x:v>5</x:v>
      </x:c>
      <x:c r="W675" s="34" t="n">
        <x:v>0.1</x:v>
      </x:c>
      <x:c r="X675" s="34" t="n">
        <x:v>0.1</x:v>
      </x:c>
      <x:c r="Y675" s="34" t="n">
        <x:v>0.0001</x:v>
      </x:c>
      <x:c r="Z675" s="30" t="str">
        <x:f>IF(AND(D675="TRADING",I675&lt;&gt;"",L675&lt;&gt;"",M675&lt;&gt;"",N675&lt;&gt;"",O675&lt;&gt;""),"Yes","No")</x:f>
        <x:v>Yes</x:v>
      </x:c>
      <x:c r="AA675" s="39" t="str">
        <x:v>https://developers.binance.com/en/docs/catalog/core-trading-spot-trading/api/rest-api</x:v>
      </x:c>
    </x:row>
    <x:row r="676">
      <x:c r="A676" s="30" t="str">
        <x:v>XUSDUSDT</x:v>
      </x:c>
      <x:c r="B676" s="30" t="str">
        <x:v>XUSD</x:v>
      </x:c>
      <x:c r="C676" s="30" t="str">
        <x:v>USDT</x:v>
      </x:c>
      <x:c r="D676" s="30" t="str">
        <x:v>TRADING</x:v>
      </x:c>
      <x:c r="E676" s="31" t="b">
        <x:v>1</x:v>
      </x:c>
      <x:c r="F676" s="32" t="n">
        <x:v>45735</x:v>
      </x:c>
      <x:c r="G676" s="32" t="n">
        <x:v>45735.999999988424</x:v>
      </x:c>
      <x:c r="H676" s="33" t="n">
        <x:f>IF(F676="","",('Summary'!$B$5-F676)/365.25)</x:f>
        <x:v>1.3744352945090896</x:v>
      </x:c>
      <x:c r="I676" s="34" t="n">
        <x:v>1.001</x:v>
      </x:c>
      <x:c r="J676" s="35" t="n">
        <x:v>0.0001</x:v>
      </x:c>
      <x:c r="K676" s="36" t="n">
        <x:v>878431</x:v>
      </x:c>
      <x:c r="L676" s="36" t="n">
        <x:v>879369.5877</x:v>
      </x:c>
      <x:c r="M676" s="37" t="n">
        <x:v>244</x:v>
      </x:c>
      <x:c r="N676" s="34" t="n">
        <x:v>1.001</x:v>
      </x:c>
      <x:c r="O676" s="34" t="n">
        <x:v>1.0011</x:v>
      </x:c>
      <x:c r="P676" s="38" t="n">
        <x:f>IF(OR(N676="",O676="",N676=0,O676=0),"",(O676-N676)/((O676+N676)/2))</x:f>
        <x:v>0.00009989511013456974</x:v>
      </x:c>
      <x:c r="Q676" s="34" t="n">
        <x:v>1.00106848</x:v>
      </x:c>
      <x:c r="R676" s="34" t="n">
        <x:v>1.0012</x:v>
      </x:c>
      <x:c r="S676" s="34" t="n">
        <x:v>1.0008</x:v>
      </x:c>
      <x:c r="T676" s="32" t="n">
        <x:v>46236.01182667824</x:v>
      </x:c>
      <x:c r="U676" s="32" t="n">
        <x:v>46237.01182667824</x:v>
      </x:c>
      <x:c r="V676" s="34" t="n">
        <x:v>5</x:v>
      </x:c>
      <x:c r="W676" s="34" t="n">
        <x:v>1</x:v>
      </x:c>
      <x:c r="X676" s="34" t="n">
        <x:v>1</x:v>
      </x:c>
      <x:c r="Y676" s="34" t="n">
        <x:v>0.0001</x:v>
      </x:c>
      <x:c r="Z676" s="30" t="str">
        <x:f>IF(AND(D676="TRADING",I676&lt;&gt;"",L676&lt;&gt;"",M676&lt;&gt;"",N676&lt;&gt;"",O676&lt;&gt;""),"Yes","No")</x:f>
        <x:v>Yes</x:v>
      </x:c>
      <x:c r="AA676" s="39" t="str">
        <x:v>https://developers.binance.com/en/docs/catalog/core-trading-spot-trading/api/rest-api</x:v>
      </x:c>
    </x:row>
    <x:row r="677">
      <x:c r="A677" s="30" t="str">
        <x:v>XVGUSDT</x:v>
      </x:c>
      <x:c r="B677" s="30" t="str">
        <x:v>XVG</x:v>
      </x:c>
      <x:c r="C677" s="30" t="str">
        <x:v>USDT</x:v>
      </x:c>
      <x:c r="D677" s="30" t="str">
        <x:v>TRADING</x:v>
      </x:c>
      <x:c r="E677" s="31" t="b">
        <x:v>1</x:v>
      </x:c>
      <x:c r="F677" s="32" t="n">
        <x:v>44353</x:v>
      </x:c>
      <x:c r="G677" s="32" t="n">
        <x:v>44353.999999988424</x:v>
      </x:c>
      <x:c r="H677" s="33" t="n">
        <x:f>IF(F677="","",('Summary'!$B$5-F677)/365.25)</x:f>
        <x:v>5.158145082325653</x:v>
      </x:c>
      <x:c r="I677" s="34" t="n">
        <x:v>0.001916</x:v>
      </x:c>
      <x:c r="J677" s="35" t="n">
        <x:v>-0.014910000000000001</x:v>
      </x:c>
      <x:c r="K677" s="36" t="n">
        <x:v>55038321</x:v>
      </x:c>
      <x:c r="L677" s="36" t="n">
        <x:v>105762.834065</x:v>
      </x:c>
      <x:c r="M677" s="37" t="n">
        <x:v>2212</x:v>
      </x:c>
      <x:c r="N677" s="34" t="n">
        <x:v>0.001916</x:v>
      </x:c>
      <x:c r="O677" s="34" t="n">
        <x:v>0.00192</x:v>
      </x:c>
      <x:c r="P677" s="38" t="n">
        <x:f>IF(OR(N677="",O677="",N677=0,O677=0),"",(O677-N677)/((O677+N677)/2))</x:f>
        <x:v>0.0020855057351408224</x:v>
      </x:c>
      <x:c r="Q677" s="34" t="n">
        <x:v>0.00192162</x:v>
      </x:c>
      <x:c r="R677" s="34" t="n">
        <x:v>0.001947</x:v>
      </x:c>
      <x:c r="S677" s="34" t="n">
        <x:v>0.001902</x:v>
      </x:c>
      <x:c r="T677" s="32" t="n">
        <x:v>46236.01231586806</x:v>
      </x:c>
      <x:c r="U677" s="32" t="n">
        <x:v>46237.01231586806</x:v>
      </x:c>
      <x:c r="V677" s="34" t="n">
        <x:v>5</x:v>
      </x:c>
      <x:c r="W677" s="34" t="n">
        <x:v>1</x:v>
      </x:c>
      <x:c r="X677" s="34" t="n">
        <x:v>1</x:v>
      </x:c>
      <x:c r="Y677" s="34" t="n">
        <x:v>0.000001</x:v>
      </x:c>
      <x:c r="Z677" s="30" t="str">
        <x:f>IF(AND(D677="TRADING",I677&lt;&gt;"",L677&lt;&gt;"",M677&lt;&gt;"",N677&lt;&gt;"",O677&lt;&gt;""),"Yes","No")</x:f>
        <x:v>Yes</x:v>
      </x:c>
      <x:c r="AA677" s="39" t="str">
        <x:v>https://developers.binance.com/en/docs/catalog/core-trading-spot-trading/api/rest-api</x:v>
      </x:c>
    </x:row>
    <x:row r="678">
      <x:c r="A678" s="30" t="str">
        <x:v>XVSUSDT</x:v>
      </x:c>
      <x:c r="B678" s="30" t="str">
        <x:v>XVS</x:v>
      </x:c>
      <x:c r="C678" s="30" t="str">
        <x:v>USDT</x:v>
      </x:c>
      <x:c r="D678" s="30" t="str">
        <x:v>TRADING</x:v>
      </x:c>
      <x:c r="E678" s="31" t="b">
        <x:v>1</x:v>
      </x:c>
      <x:c r="F678" s="32" t="n">
        <x:v>44110</x:v>
      </x:c>
      <x:c r="G678" s="32" t="n">
        <x:v>44110.999999988424</x:v>
      </x:c>
      <x:c r="H678" s="33" t="n">
        <x:f>IF(F678="","",('Summary'!$B$5-F678)/365.25)</x:f>
        <x:v>5.8234428235987545</x:v>
      </x:c>
      <x:c r="I678" s="34" t="n">
        <x:v>2.71</x:v>
      </x:c>
      <x:c r="J678" s="35" t="n">
        <x:v>-0.01812</x:v>
      </x:c>
      <x:c r="K678" s="36" t="n">
        <x:v>35740.62</x:v>
      </x:c>
      <x:c r="L678" s="36" t="n">
        <x:v>97430.6637</x:v>
      </x:c>
      <x:c r="M678" s="37" t="n">
        <x:v>3291</x:v>
      </x:c>
      <x:c r="N678" s="34" t="n">
        <x:v>2.7</x:v>
      </x:c>
      <x:c r="O678" s="34" t="n">
        <x:v>2.71</x:v>
      </x:c>
      <x:c r="P678" s="38" t="n">
        <x:f>IF(OR(N678="",O678="",N678=0,O678=0),"",(O678-N678)/((O678+N678)/2))</x:f>
        <x:v>0.0036968576709795883</x:v>
      </x:c>
      <x:c r="Q678" s="34" t="n">
        <x:v>2.7260485</x:v>
      </x:c>
      <x:c r="R678" s="34" t="n">
        <x:v>2.76</x:v>
      </x:c>
      <x:c r="S678" s="34" t="n">
        <x:v>2.7</x:v>
      </x:c>
      <x:c r="T678" s="32" t="n">
        <x:v>46236.012384305555</x:v>
      </x:c>
      <x:c r="U678" s="32" t="n">
        <x:v>46237.012384305555</x:v>
      </x:c>
      <x:c r="V678" s="34" t="n">
        <x:v>5</x:v>
      </x:c>
      <x:c r="W678" s="34" t="n">
        <x:v>0.01</x:v>
      </x:c>
      <x:c r="X678" s="34" t="n">
        <x:v>0.01</x:v>
      </x:c>
      <x:c r="Y678" s="34" t="n">
        <x:v>0.01</x:v>
      </x:c>
      <x:c r="Z678" s="30" t="str">
        <x:f>IF(AND(D678="TRADING",I678&lt;&gt;"",L678&lt;&gt;"",M678&lt;&gt;"",N678&lt;&gt;"",O678&lt;&gt;""),"Yes","No")</x:f>
        <x:v>Yes</x:v>
      </x:c>
      <x:c r="AA678" s="39" t="str">
        <x:v>https://developers.binance.com/en/docs/catalog/core-trading-spot-trading/api/rest-api</x:v>
      </x:c>
    </x:row>
    <x:row r="679">
      <x:c r="A679" s="30" t="str">
        <x:v>XZCUSDT</x:v>
      </x:c>
      <x:c r="B679" s="30" t="str">
        <x:v>XZC</x:v>
      </x:c>
      <x:c r="C679" s="30" t="str">
        <x:v>USDT</x:v>
      </x:c>
      <x:c r="D679" s="30" t="str">
        <x:v>BREAK</x:v>
      </x:c>
      <x:c r="E679" s="31" t="b">
        <x:v>1</x:v>
      </x:c>
      <x:c r="F679" s="32" t="n">
        <x:v>43928</x:v>
      </x:c>
      <x:c r="G679" s="32" t="n">
        <x:v>43928.999999988424</x:v>
      </x:c>
      <x:c r="H679" s="33" t="n">
        <x:f>IF(F679="","",('Summary'!$B$5-F679)/365.25)</x:f>
        <x:v>6.321731666856796</x:v>
      </x:c>
      <x:c r="I679" s="34" t="n">
        <x:v>0</x:v>
      </x:c>
      <x:c r="J679" s="35" t="n">
        <x:v>0</x:v>
      </x:c>
      <x:c r="K679" s="36" t="n">
        <x:v>0</x:v>
      </x:c>
      <x:c r="L679" s="36" t="n">
        <x:v>0</x:v>
      </x:c>
      <x:c r="M679" s="37" t="n">
        <x:v>0</x:v>
      </x:c>
      <x:c r="N679" s="34" t="n">
        <x:v>0</x:v>
      </x:c>
      <x:c r="O679" s="34" t="n">
        <x:v>0</x:v>
      </x:c>
      <x:c r="P679" s="38" t="str">
        <x:f>IF(OR(N679="",O679="",N679=0,O679=0),"",(O679-N679)/((O679+N679)/2))</x:f>
      </x:c>
      <x:c r="Q679" s="34" t="n">
        <x:v>0</x:v>
      </x:c>
      <x:c r="R679" s="34" t="n">
        <x:v>0</x:v>
      </x:c>
      <x:c r="S679" s="34" t="n">
        <x:v>0</x:v>
      </x:c>
      <x:c r="T679" s="32" t="n">
        <x:v>46209.26112309028</x:v>
      </x:c>
      <x:c r="U679" s="32" t="n">
        <x:v>46210.26112309028</x:v>
      </x:c>
      <x:c r="V679" s="34" t="n">
        <x:v>10</x:v>
      </x:c>
      <x:c r="W679" s="34" t="n">
        <x:v>0.001</x:v>
      </x:c>
      <x:c r="X679" s="34" t="n">
        <x:v>0.001</x:v>
      </x:c>
      <x:c r="Y679" s="34" t="n">
        <x:v>0.001</x:v>
      </x:c>
      <x:c r="Z679" s="30" t="str">
        <x:f>IF(AND(D679="TRADING",I679&lt;&gt;"",L679&lt;&gt;"",M679&lt;&gt;"",N679&lt;&gt;"",O679&lt;&gt;""),"Yes","No")</x:f>
        <x:v>No</x:v>
      </x:c>
      <x:c r="AA679" s="39" t="str">
        <x:v>https://developers.binance.com/en/docs/catalog/core-trading-spot-trading/api/rest-api</x:v>
      </x:c>
    </x:row>
    <x:row r="680">
      <x:c r="A680" s="30" t="str">
        <x:v>YBUSDT</x:v>
      </x:c>
      <x:c r="B680" s="30" t="str">
        <x:v>YB</x:v>
      </x:c>
      <x:c r="C680" s="30" t="str">
        <x:v>USDT</x:v>
      </x:c>
      <x:c r="D680" s="30" t="str">
        <x:v>TRADING</x:v>
      </x:c>
      <x:c r="E680" s="31" t="b">
        <x:v>1</x:v>
      </x:c>
      <x:c r="F680" s="32" t="n">
        <x:v>45945</x:v>
      </x:c>
      <x:c r="G680" s="32" t="n">
        <x:v>45945.999999988424</x:v>
      </x:c>
      <x:c r="H680" s="33" t="n">
        <x:f>IF(F680="","",('Summary'!$B$5-F680)/365.25)</x:f>
        <x:v>0.7994866292113483</x:v>
      </x:c>
      <x:c r="I680" s="34" t="n">
        <x:v>0.0653</x:v>
      </x:c>
      <x:c r="J680" s="35" t="n">
        <x:v>-0.0076</x:v>
      </x:c>
      <x:c r="K680" s="36" t="n">
        <x:v>1372172.3</x:v>
      </x:c>
      <x:c r="L680" s="36" t="n">
        <x:v>90395.23475</x:v>
      </x:c>
      <x:c r="M680" s="37" t="n">
        <x:v>1390</x:v>
      </x:c>
      <x:c r="N680" s="34" t="n">
        <x:v>0.0652</x:v>
      </x:c>
      <x:c r="O680" s="34" t="n">
        <x:v>0.0653</x:v>
      </x:c>
      <x:c r="P680" s="38" t="n">
        <x:f>IF(OR(N680="",O680="",N680=0,O680=0),"",(O680-N680)/((O680+N680)/2))</x:f>
        <x:v>0.001532567049808473</x:v>
      </x:c>
      <x:c r="Q680" s="34" t="n">
        <x:v>0.06587747</x:v>
      </x:c>
      <x:c r="R680" s="34" t="n">
        <x:v>0.0668</x:v>
      </x:c>
      <x:c r="S680" s="34" t="n">
        <x:v>0.0651</x:v>
      </x:c>
      <x:c r="T680" s="32" t="n">
        <x:v>46236.01232362269</x:v>
      </x:c>
      <x:c r="U680" s="32" t="n">
        <x:v>46237.01232362269</x:v>
      </x:c>
      <x:c r="V680" s="34" t="n">
        <x:v>5</x:v>
      </x:c>
      <x:c r="W680" s="34" t="n">
        <x:v>0.1</x:v>
      </x:c>
      <x:c r="X680" s="34" t="n">
        <x:v>0.1</x:v>
      </x:c>
      <x:c r="Y680" s="34" t="n">
        <x:v>0.0001</x:v>
      </x:c>
      <x:c r="Z680" s="30" t="str">
        <x:f>IF(AND(D680="TRADING",I680&lt;&gt;"",L680&lt;&gt;"",M680&lt;&gt;"",N680&lt;&gt;"",O680&lt;&gt;""),"Yes","No")</x:f>
        <x:v>Yes</x:v>
      </x:c>
      <x:c r="AA680" s="39" t="str">
        <x:v>https://developers.binance.com/en/docs/catalog/core-trading-spot-trading/api/rest-api</x:v>
      </x:c>
    </x:row>
    <x:row r="681">
      <x:c r="A681" s="30" t="str">
        <x:v>YFIIUSDT</x:v>
      </x:c>
      <x:c r="B681" s="30" t="str">
        <x:v>YFII</x:v>
      </x:c>
      <x:c r="C681" s="30" t="str">
        <x:v>USDT</x:v>
      </x:c>
      <x:c r="D681" s="30" t="str">
        <x:v>BREAK</x:v>
      </x:c>
      <x:c r="E681" s="31" t="b">
        <x:v>1</x:v>
      </x:c>
      <x:c r="F681" s="32" t="n">
        <x:v>44075</x:v>
      </x:c>
      <x:c r="G681" s="32" t="n">
        <x:v>44075.999999988424</x:v>
      </x:c>
      <x:c r="H681" s="33" t="n">
        <x:f>IF(F681="","",('Summary'!$B$5-F681)/365.25)</x:f>
        <x:v>5.919267601148378</x:v>
      </x:c>
      <x:c r="I681" s="34" t="n">
        <x:v>435.5</x:v>
      </x:c>
      <x:c r="J681" s="35" t="n">
        <x:v>0.02302</x:v>
      </x:c>
      <x:c r="K681" s="36" t="n">
        <x:v>1767.0523</x:v>
      </x:c>
      <x:c r="L681" s="36" t="n">
        <x:v>762617.42137</x:v>
      </x:c>
      <x:c r="M681" s="37" t="n">
        <x:v>4001</x:v>
      </x:c>
      <x:c r="N681" s="34" t="n">
        <x:v>0</x:v>
      </x:c>
      <x:c r="O681" s="34" t="n">
        <x:v>0</x:v>
      </x:c>
      <x:c r="P681" s="38" t="str">
        <x:f>IF(OR(N681="",O681="",N681=0,O681=0),"",(O681-N681)/((O681+N681)/2))</x:f>
      </x:c>
      <x:c r="Q681" s="34" t="n">
        <x:v>431.57603279</x:v>
      </x:c>
      <x:c r="R681" s="34" t="n">
        <x:v>442.4</x:v>
      </x:c>
      <x:c r="S681" s="34" t="n">
        <x:v>421.1</x:v>
      </x:c>
      <x:c r="T681" s="32" t="n">
        <x:v>46209.26112309028</x:v>
      </x:c>
      <x:c r="U681" s="32" t="n">
        <x:v>46210.26112309028</x:v>
      </x:c>
      <x:c r="V681" s="34" t="n">
        <x:v>10</x:v>
      </x:c>
      <x:c r="W681" s="34" t="n">
        <x:v>0.0001</x:v>
      </x:c>
      <x:c r="X681" s="34" t="n">
        <x:v>0.0001</x:v>
      </x:c>
      <x:c r="Y681" s="34" t="n">
        <x:v>0.1</x:v>
      </x:c>
      <x:c r="Z681" s="30" t="str">
        <x:f>IF(AND(D681="TRADING",I681&lt;&gt;"",L681&lt;&gt;"",M681&lt;&gt;"",N681&lt;&gt;"",O681&lt;&gt;""),"Yes","No")</x:f>
        <x:v>No</x:v>
      </x:c>
      <x:c r="AA681" s="39" t="str">
        <x:v>https://developers.binance.com/en/docs/catalog/core-trading-spot-trading/api/rest-api</x:v>
      </x:c>
    </x:row>
    <x:row r="682">
      <x:c r="A682" s="30" t="str">
        <x:v>YFIUSDT</x:v>
      </x:c>
      <x:c r="B682" s="30" t="str">
        <x:v>YFI</x:v>
      </x:c>
      <x:c r="C682" s="30" t="str">
        <x:v>USDT</x:v>
      </x:c>
      <x:c r="D682" s="30" t="str">
        <x:v>TRADING</x:v>
      </x:c>
      <x:c r="E682" s="31" t="b">
        <x:v>1</x:v>
      </x:c>
      <x:c r="F682" s="32" t="n">
        <x:v>44053</x:v>
      </x:c>
      <x:c r="G682" s="32" t="n">
        <x:v>44053.999999988424</x:v>
      </x:c>
      <x:c r="H682" s="33" t="n">
        <x:f>IF(F682="","",('Summary'!$B$5-F682)/365.25)</x:f>
        <x:v>5.979500318465284</x:v>
      </x:c>
      <x:c r="I682" s="34" t="n">
        <x:v>2101</x:v>
      </x:c>
      <x:c r="J682" s="35" t="n">
        <x:v>0.030910000000000003</x:v>
      </x:c>
      <x:c r="K682" s="36" t="n">
        <x:v>153.19549</x:v>
      </x:c>
      <x:c r="L682" s="36" t="n">
        <x:v>325649.87803</x:v>
      </x:c>
      <x:c r="M682" s="37" t="n">
        <x:v>3867</x:v>
      </x:c>
      <x:c r="N682" s="34" t="n">
        <x:v>2099</x:v>
      </x:c>
      <x:c r="O682" s="34" t="n">
        <x:v>2100</x:v>
      </x:c>
      <x:c r="P682" s="38" t="n">
        <x:f>IF(OR(N682="",O682="",N682=0,O682=0),"",(O682-N682)/((O682+N682)/2))</x:f>
        <x:v>0.0004763038818766373</x:v>
      </x:c>
      <x:c r="Q682" s="34" t="n">
        <x:v>2125.71452352</x:v>
      </x:c>
      <x:c r="R682" s="34" t="n">
        <x:v>2164</x:v>
      </x:c>
      <x:c r="S682" s="34" t="n">
        <x:v>2038</x:v>
      </x:c>
      <x:c r="T682" s="32" t="n">
        <x:v>46236.01227417824</x:v>
      </x:c>
      <x:c r="U682" s="32" t="n">
        <x:v>46237.01227417824</x:v>
      </x:c>
      <x:c r="V682" s="34" t="n">
        <x:v>5</x:v>
      </x:c>
      <x:c r="W682" s="34" t="n">
        <x:v>0.00001</x:v>
      </x:c>
      <x:c r="X682" s="34" t="n">
        <x:v>0.00001</x:v>
      </x:c>
      <x:c r="Y682" s="34" t="n">
        <x:v>1</x:v>
      </x:c>
      <x:c r="Z682" s="30" t="str">
        <x:f>IF(AND(D682="TRADING",I682&lt;&gt;"",L682&lt;&gt;"",M682&lt;&gt;"",N682&lt;&gt;"",O682&lt;&gt;""),"Yes","No")</x:f>
        <x:v>Yes</x:v>
      </x:c>
      <x:c r="AA682" s="39" t="str">
        <x:v>https://developers.binance.com/en/docs/catalog/core-trading-spot-trading/api/rest-api</x:v>
      </x:c>
    </x:row>
    <x:row r="683">
      <x:c r="A683" s="30" t="str">
        <x:v>YGGUSDT</x:v>
      </x:c>
      <x:c r="B683" s="30" t="str">
        <x:v>YGG</x:v>
      </x:c>
      <x:c r="C683" s="30" t="str">
        <x:v>USDT</x:v>
      </x:c>
      <x:c r="D683" s="30" t="str">
        <x:v>TRADING</x:v>
      </x:c>
      <x:c r="E683" s="31" t="b">
        <x:v>1</x:v>
      </x:c>
      <x:c r="F683" s="32" t="n">
        <x:v>44463</x:v>
      </x:c>
      <x:c r="G683" s="32" t="n">
        <x:v>44463.999999988424</x:v>
      </x:c>
      <x:c r="H683" s="33" t="n">
        <x:f>IF(F683="","",('Summary'!$B$5-F683)/365.25)</x:f>
        <x:v>4.856981495741122</x:v>
      </x:c>
      <x:c r="I683" s="34" t="n">
        <x:v>0.01812</x:v>
      </x:c>
      <x:c r="J683" s="35" t="n">
        <x:v>0.00499</x:v>
      </x:c>
      <x:c r="K683" s="36" t="n">
        <x:v>10737964.9</x:v>
      </x:c>
      <x:c r="L683" s="36" t="n">
        <x:v>194920.752412</x:v>
      </x:c>
      <x:c r="M683" s="37" t="n">
        <x:v>2440</x:v>
      </x:c>
      <x:c r="N683" s="34" t="n">
        <x:v>0.01811</x:v>
      </x:c>
      <x:c r="O683" s="34" t="n">
        <x:v>0.01813</x:v>
      </x:c>
      <x:c r="P683" s="38" t="n">
        <x:f>IF(OR(N683="",O683="",N683=0,O683=0),"",(O683-N683)/((O683+N683)/2))</x:f>
        <x:v>0.0011037527593818534</x:v>
      </x:c>
      <x:c r="Q683" s="34" t="n">
        <x:v>0.01815249</x:v>
      </x:c>
      <x:c r="R683" s="34" t="n">
        <x:v>0.0184</x:v>
      </x:c>
      <x:c r="S683" s="34" t="n">
        <x:v>0.01794</x:v>
      </x:c>
      <x:c r="T683" s="32" t="n">
        <x:v>46236.01247619213</x:v>
      </x:c>
      <x:c r="U683" s="32" t="n">
        <x:v>46237.01247619213</x:v>
      </x:c>
      <x:c r="V683" s="34" t="n">
        <x:v>5</x:v>
      </x:c>
      <x:c r="W683" s="34" t="n">
        <x:v>0.1</x:v>
      </x:c>
      <x:c r="X683" s="34" t="n">
        <x:v>0.1</x:v>
      </x:c>
      <x:c r="Y683" s="34" t="n">
        <x:v>0.00001</x:v>
      </x:c>
      <x:c r="Z683" s="30" t="str">
        <x:f>IF(AND(D683="TRADING",I683&lt;&gt;"",L683&lt;&gt;"",M683&lt;&gt;"",N683&lt;&gt;"",O683&lt;&gt;""),"Yes","No")</x:f>
        <x:v>Yes</x:v>
      </x:c>
      <x:c r="AA683" s="39" t="str">
        <x:v>https://developers.binance.com/en/docs/catalog/core-trading-spot-trading/api/rest-api</x:v>
      </x:c>
    </x:row>
    <x:row r="684">
      <x:c r="A684" s="30" t="str">
        <x:v>ZAMAUSDT</x:v>
      </x:c>
      <x:c r="B684" s="30" t="str">
        <x:v>ZAMA</x:v>
      </x:c>
      <x:c r="C684" s="30" t="str">
        <x:v>USDT</x:v>
      </x:c>
      <x:c r="D684" s="30" t="str">
        <x:v>TRADING</x:v>
      </x:c>
      <x:c r="E684" s="31" t="b">
        <x:v>1</x:v>
      </x:c>
      <x:c r="F684" s="32" t="n">
        <x:v>46055</x:v>
      </x:c>
      <x:c r="G684" s="32" t="n">
        <x:v>46055.999999988424</x:v>
      </x:c>
      <x:c r="H684" s="33" t="n">
        <x:f>IF(F684="","",('Summary'!$B$5-F684)/365.25)</x:f>
        <x:v>0.49832304262681715</x:v>
      </x:c>
      <x:c r="I684" s="34" t="n">
        <x:v>0.04973</x:v>
      </x:c>
      <x:c r="J684" s="35" t="n">
        <x:v>-0.036610000000000004</x:v>
      </x:c>
      <x:c r="K684" s="36" t="n">
        <x:v>147019722</x:v>
      </x:c>
      <x:c r="L684" s="36" t="n">
        <x:v>7619987.00795</x:v>
      </x:c>
      <x:c r="M684" s="37" t="n">
        <x:v>109970</x:v>
      </x:c>
      <x:c r="N684" s="34" t="n">
        <x:v>0.04972</x:v>
      </x:c>
      <x:c r="O684" s="34" t="n">
        <x:v>0.04973</x:v>
      </x:c>
      <x:c r="P684" s="38" t="n">
        <x:f>IF(OR(N684="",O684="",N684=0,O684=0),"",(O684-N684)/((O684+N684)/2))</x:f>
        <x:v>0.00020110608345908618</x:v>
      </x:c>
      <x:c r="Q684" s="34" t="n">
        <x:v>0.05182969</x:v>
      </x:c>
      <x:c r="R684" s="34" t="n">
        <x:v>0.05472</x:v>
      </x:c>
      <x:c r="S684" s="34" t="n">
        <x:v>0.04899</x:v>
      </x:c>
      <x:c r="T684" s="32" t="n">
        <x:v>46236.0124809375</x:v>
      </x:c>
      <x:c r="U684" s="32" t="n">
        <x:v>46237.0124809375</x:v>
      </x:c>
      <x:c r="V684" s="34" t="n">
        <x:v>5</x:v>
      </x:c>
      <x:c r="W684" s="34" t="n">
        <x:v>1</x:v>
      </x:c>
      <x:c r="X684" s="34" t="n">
        <x:v>1</x:v>
      </x:c>
      <x:c r="Y684" s="34" t="n">
        <x:v>0.00001</x:v>
      </x:c>
      <x:c r="Z684" s="30" t="str">
        <x:f>IF(AND(D684="TRADING",I684&lt;&gt;"",L684&lt;&gt;"",M684&lt;&gt;"",N684&lt;&gt;"",O684&lt;&gt;""),"Yes","No")</x:f>
        <x:v>Yes</x:v>
      </x:c>
      <x:c r="AA684" s="39" t="str">
        <x:v>https://developers.binance.com/en/docs/catalog/core-trading-spot-trading/api/rest-api</x:v>
      </x:c>
    </x:row>
    <x:row r="685">
      <x:c r="A685" s="30" t="str">
        <x:v>ZBTUSDT</x:v>
      </x:c>
      <x:c r="B685" s="30" t="str">
        <x:v>ZBT</x:v>
      </x:c>
      <x:c r="C685" s="30" t="str">
        <x:v>USDT</x:v>
      </x:c>
      <x:c r="D685" s="30" t="str">
        <x:v>TRADING</x:v>
      </x:c>
      <x:c r="E685" s="31" t="b">
        <x:v>1</x:v>
      </x:c>
      <x:c r="F685" s="32" t="n">
        <x:v>45947</x:v>
      </x:c>
      <x:c r="G685" s="32" t="n">
        <x:v>45947.999999988424</x:v>
      </x:c>
      <x:c r="H685" s="33" t="n">
        <x:f>IF(F685="","",('Summary'!$B$5-F685)/365.25)</x:f>
        <x:v>0.794010927637084</x:v>
      </x:c>
      <x:c r="I685" s="34" t="n">
        <x:v>0.1216</x:v>
      </x:c>
      <x:c r="J685" s="35" t="n">
        <x:v>0.040209999999999996</x:v>
      </x:c>
      <x:c r="K685" s="36" t="n">
        <x:v>13599835</x:v>
      </x:c>
      <x:c r="L685" s="36" t="n">
        <x:v>1665621.75054</x:v>
      </x:c>
      <x:c r="M685" s="37" t="n">
        <x:v>46636</x:v>
      </x:c>
      <x:c r="N685" s="34" t="n">
        <x:v>0.1215</x:v>
      </x:c>
      <x:c r="O685" s="34" t="n">
        <x:v>0.1216</x:v>
      </x:c>
      <x:c r="P685" s="38" t="n">
        <x:f>IF(OR(N685="",O685="",N685=0,O685=0),"",(O685-N685)/((O685+N685)/2))</x:f>
        <x:v>0.0008227067050596698</x:v>
      </x:c>
      <x:c r="Q685" s="34" t="n">
        <x:v>0.12247367</x:v>
      </x:c>
      <x:c r="R685" s="34" t="n">
        <x:v>0.127</x:v>
      </x:c>
      <x:c r="S685" s="34" t="n">
        <x:v>0.1166</x:v>
      </x:c>
      <x:c r="T685" s="32" t="n">
        <x:v>46236.01245525463</x:v>
      </x:c>
      <x:c r="U685" s="32" t="n">
        <x:v>46237.01245525463</x:v>
      </x:c>
      <x:c r="V685" s="34" t="n">
        <x:v>5</x:v>
      </x:c>
      <x:c r="W685" s="34" t="n">
        <x:v>0.1</x:v>
      </x:c>
      <x:c r="X685" s="34" t="n">
        <x:v>0.1</x:v>
      </x:c>
      <x:c r="Y685" s="34" t="n">
        <x:v>0.0001</x:v>
      </x:c>
      <x:c r="Z685" s="30" t="str">
        <x:f>IF(AND(D685="TRADING",I685&lt;&gt;"",L685&lt;&gt;"",M685&lt;&gt;"",N685&lt;&gt;"",O685&lt;&gt;""),"Yes","No")</x:f>
        <x:v>Yes</x:v>
      </x:c>
      <x:c r="AA685" s="39" t="str">
        <x:v>https://developers.binance.com/en/docs/catalog/core-trading-spot-trading/api/rest-api</x:v>
      </x:c>
    </x:row>
    <x:row r="686">
      <x:c r="A686" s="30" t="str">
        <x:v>ZECUSDT</x:v>
      </x:c>
      <x:c r="B686" s="30" t="str">
        <x:v>ZEC</x:v>
      </x:c>
      <x:c r="C686" s="30" t="str">
        <x:v>USDT</x:v>
      </x:c>
      <x:c r="D686" s="30" t="str">
        <x:v>TRADING</x:v>
      </x:c>
      <x:c r="E686" s="31" t="b">
        <x:v>1</x:v>
      </x:c>
      <x:c r="F686" s="32" t="n">
        <x:v>43545</x:v>
      </x:c>
      <x:c r="G686" s="32" t="n">
        <x:v>43545.999999988424</x:v>
      </x:c>
      <x:c r="H686" s="33" t="n">
        <x:f>IF(F686="","",('Summary'!$B$5-F686)/365.25)</x:f>
        <x:v>7.3703285183283915</x:v>
      </x:c>
      <x:c r="I686" s="34" t="n">
        <x:v>483.67</x:v>
      </x:c>
      <x:c r="J686" s="35" t="n">
        <x:v>0.03975</x:v>
      </x:c>
      <x:c r="K686" s="36" t="n">
        <x:v>74549.259</x:v>
      </x:c>
      <x:c r="L686" s="36" t="n">
        <x:v>35732549.53467</x:v>
      </x:c>
      <x:c r="M686" s="37" t="n">
        <x:v>189677</x:v>
      </x:c>
      <x:c r="N686" s="34" t="n">
        <x:v>483.65</x:v>
      </x:c>
      <x:c r="O686" s="34" t="n">
        <x:v>483.66</x:v>
      </x:c>
      <x:c r="P686" s="38" t="n">
        <x:f>IF(OR(N686="",O686="",N686=0,O686=0),"",(O686-N686)/((O686+N686)/2))</x:f>
        <x:v>0.000020675895007903877</x:v>
      </x:c>
      <x:c r="Q686" s="34" t="n">
        <x:v>479.31461713</x:v>
      </x:c>
      <x:c r="R686" s="34" t="n">
        <x:v>496.04</x:v>
      </x:c>
      <x:c r="S686" s="34" t="n">
        <x:v>462.65</x:v>
      </x:c>
      <x:c r="T686" s="32" t="n">
        <x:v>46236.012482349535</x:v>
      </x:c>
      <x:c r="U686" s="32" t="n">
        <x:v>46237.012482349535</x:v>
      </x:c>
      <x:c r="V686" s="34" t="n">
        <x:v>5</x:v>
      </x:c>
      <x:c r="W686" s="34" t="n">
        <x:v>0.001</x:v>
      </x:c>
      <x:c r="X686" s="34" t="n">
        <x:v>0.001</x:v>
      </x:c>
      <x:c r="Y686" s="34" t="n">
        <x:v>0.01</x:v>
      </x:c>
      <x:c r="Z686" s="30" t="str">
        <x:f>IF(AND(D686="TRADING",I686&lt;&gt;"",L686&lt;&gt;"",M686&lt;&gt;"",N686&lt;&gt;"",O686&lt;&gt;""),"Yes","No")</x:f>
        <x:v>Yes</x:v>
      </x:c>
      <x:c r="AA686" s="39" t="str">
        <x:v>https://developers.binance.com/en/docs/catalog/core-trading-spot-trading/api/rest-api</x:v>
      </x:c>
    </x:row>
    <x:row r="687">
      <x:c r="A687" s="30" t="str">
        <x:v>ZENUSDT</x:v>
      </x:c>
      <x:c r="B687" s="30" t="str">
        <x:v>ZEN</x:v>
      </x:c>
      <x:c r="C687" s="30" t="str">
        <x:v>USDT</x:v>
      </x:c>
      <x:c r="D687" s="30" t="str">
        <x:v>TRADING</x:v>
      </x:c>
      <x:c r="E687" s="31" t="b">
        <x:v>1</x:v>
      </x:c>
      <x:c r="F687" s="32" t="n">
        <x:v>44018</x:v>
      </x:c>
      <x:c r="G687" s="32" t="n">
        <x:v>44018.999999988424</x:v>
      </x:c>
      <x:c r="H687" s="33" t="n">
        <x:f>IF(F687="","",('Summary'!$B$5-F687)/365.25)</x:f>
        <x:v>6.0753250960149074</x:v>
      </x:c>
      <x:c r="I687" s="34" t="n">
        <x:v>4.161</x:v>
      </x:c>
      <x:c r="J687" s="35" t="n">
        <x:v>0.04233</x:v>
      </x:c>
      <x:c r="K687" s="36" t="n">
        <x:v>336072.15</x:v>
      </x:c>
      <x:c r="L687" s="36" t="n">
        <x:v>1378865.85589</x:v>
      </x:c>
      <x:c r="M687" s="37" t="n">
        <x:v>20819</x:v>
      </x:c>
      <x:c r="N687" s="34" t="n">
        <x:v>4.164</x:v>
      </x:c>
      <x:c r="O687" s="34" t="n">
        <x:v>4.166</x:v>
      </x:c>
      <x:c r="P687" s="38" t="n">
        <x:f>IF(OR(N687="",O687="",N687=0,O687=0),"",(O687-N687)/((O687+N687)/2))</x:f>
        <x:v>0.00048019207683089267</x:v>
      </x:c>
      <x:c r="Q687" s="34" t="n">
        <x:v>4.10288641</x:v>
      </x:c>
      <x:c r="R687" s="34" t="n">
        <x:v>4.21</x:v>
      </x:c>
      <x:c r="S687" s="34" t="n">
        <x:v>3.963</x:v>
      </x:c>
      <x:c r="T687" s="32" t="n">
        <x:v>46236.01248135417</x:v>
      </x:c>
      <x:c r="U687" s="32" t="n">
        <x:v>46237.01248135417</x:v>
      </x:c>
      <x:c r="V687" s="34" t="n">
        <x:v>5</x:v>
      </x:c>
      <x:c r="W687" s="34" t="n">
        <x:v>0.01</x:v>
      </x:c>
      <x:c r="X687" s="34" t="n">
        <x:v>0.01</x:v>
      </x:c>
      <x:c r="Y687" s="34" t="n">
        <x:v>0.001</x:v>
      </x:c>
      <x:c r="Z687" s="30" t="str">
        <x:f>IF(AND(D687="TRADING",I687&lt;&gt;"",L687&lt;&gt;"",M687&lt;&gt;"",N687&lt;&gt;"",O687&lt;&gt;""),"Yes","No")</x:f>
        <x:v>Yes</x:v>
      </x:c>
      <x:c r="AA687" s="39" t="str">
        <x:v>https://developers.binance.com/en/docs/catalog/core-trading-spot-trading/api/rest-api</x:v>
      </x:c>
    </x:row>
    <x:row r="688">
      <x:c r="A688" s="30" t="str">
        <x:v>ZILUSDT</x:v>
      </x:c>
      <x:c r="B688" s="30" t="str">
        <x:v>ZIL</x:v>
      </x:c>
      <x:c r="C688" s="30" t="str">
        <x:v>USDT</x:v>
      </x:c>
      <x:c r="D688" s="30" t="str">
        <x:v>TRADING</x:v>
      </x:c>
      <x:c r="E688" s="31" t="b">
        <x:v>1</x:v>
      </x:c>
      <x:c r="F688" s="32" t="n">
        <x:v>43515</x:v>
      </x:c>
      <x:c r="G688" s="32" t="n">
        <x:v>43515.999999988424</x:v>
      </x:c>
      <x:c r="H688" s="33" t="n">
        <x:f>IF(F688="","",('Summary'!$B$5-F688)/365.25)</x:f>
        <x:v>7.4524640419423545</x:v>
      </x:c>
      <x:c r="I688" s="34" t="n">
        <x:v>0.002513</x:v>
      </x:c>
      <x:c r="J688" s="35" t="n">
        <x:v>-0.053840000000000006</x:v>
      </x:c>
      <x:c r="K688" s="36" t="n">
        <x:v>92597483.4</x:v>
      </x:c>
      <x:c r="L688" s="36" t="n">
        <x:v>238130.4306941</x:v>
      </x:c>
      <x:c r="M688" s="37" t="n">
        <x:v>5627</x:v>
      </x:c>
      <x:c r="N688" s="34" t="n">
        <x:v>0.002512</x:v>
      </x:c>
      <x:c r="O688" s="34" t="n">
        <x:v>0.002514</x:v>
      </x:c>
      <x:c r="P688" s="38" t="n">
        <x:f>IF(OR(N688="",O688="",N688=0,O688=0),"",(O688-N688)/((O688+N688)/2))</x:f>
        <x:v>0.000795861520095609</x:v>
      </x:c>
      <x:c r="Q688" s="34" t="n">
        <x:v>0.00257167</x:v>
      </x:c>
      <x:c r="R688" s="34" t="n">
        <x:v>0.002667</x:v>
      </x:c>
      <x:c r="S688" s="34" t="n">
        <x:v>0.002513</x:v>
      </x:c>
      <x:c r="T688" s="32" t="n">
        <x:v>46236.01237539352</x:v>
      </x:c>
      <x:c r="U688" s="32" t="n">
        <x:v>46237.01237539352</x:v>
      </x:c>
      <x:c r="V688" s="34" t="n">
        <x:v>5</x:v>
      </x:c>
      <x:c r="W688" s="34" t="n">
        <x:v>0.1</x:v>
      </x:c>
      <x:c r="X688" s="34" t="n">
        <x:v>0.1</x:v>
      </x:c>
      <x:c r="Y688" s="34" t="n">
        <x:v>0.000001</x:v>
      </x:c>
      <x:c r="Z688" s="30" t="str">
        <x:f>IF(AND(D688="TRADING",I688&lt;&gt;"",L688&lt;&gt;"",M688&lt;&gt;"",N688&lt;&gt;"",O688&lt;&gt;""),"Yes","No")</x:f>
        <x:v>Yes</x:v>
      </x:c>
      <x:c r="AA688" s="39" t="str">
        <x:v>https://developers.binance.com/en/docs/catalog/core-trading-spot-trading/api/rest-api</x:v>
      </x:c>
    </x:row>
    <x:row r="689">
      <x:c r="A689" s="30" t="str">
        <x:v>ZKCUSDT</x:v>
      </x:c>
      <x:c r="B689" s="30" t="str">
        <x:v>ZKC</x:v>
      </x:c>
      <x:c r="C689" s="30" t="str">
        <x:v>USDT</x:v>
      </x:c>
      <x:c r="D689" s="30" t="str">
        <x:v>TRADING</x:v>
      </x:c>
      <x:c r="E689" s="31" t="b">
        <x:v>1</x:v>
      </x:c>
      <x:c r="F689" s="32" t="n">
        <x:v>45915</x:v>
      </x:c>
      <x:c r="G689" s="32" t="n">
        <x:v>45915.999999988424</x:v>
      </x:c>
      <x:c r="H689" s="33" t="n">
        <x:f>IF(F689="","",('Summary'!$B$5-F689)/365.25)</x:f>
        <x:v>0.8816221528253113</x:v>
      </x:c>
      <x:c r="I689" s="34" t="n">
        <x:v>0.0375</x:v>
      </x:c>
      <x:c r="J689" s="35" t="n">
        <x:v>-0.02089</x:v>
      </x:c>
      <x:c r="K689" s="36" t="n">
        <x:v>5370220.7</x:v>
      </x:c>
      <x:c r="L689" s="36" t="n">
        <x:v>202461.11545</x:v>
      </x:c>
      <x:c r="M689" s="37" t="n">
        <x:v>2879</x:v>
      </x:c>
      <x:c r="N689" s="34" t="n">
        <x:v>0.0374</x:v>
      </x:c>
      <x:c r="O689" s="34" t="n">
        <x:v>0.0375</x:v>
      </x:c>
      <x:c r="P689" s="38" t="n">
        <x:f>IF(OR(N689="",O689="",N689=0,O689=0),"",(O689-N689)/((O689+N689)/2))</x:f>
        <x:v>0.0026702269692922814</x:v>
      </x:c>
      <x:c r="Q689" s="34" t="n">
        <x:v>0.03770071</x:v>
      </x:c>
      <x:c r="R689" s="34" t="n">
        <x:v>0.0384</x:v>
      </x:c>
      <x:c r="S689" s="34" t="n">
        <x:v>0.0371</x:v>
      </x:c>
      <x:c r="T689" s="32" t="n">
        <x:v>46236.012432986114</x:v>
      </x:c>
      <x:c r="U689" s="32" t="n">
        <x:v>46237.012432986114</x:v>
      </x:c>
      <x:c r="V689" s="34" t="n">
        <x:v>5</x:v>
      </x:c>
      <x:c r="W689" s="34" t="n">
        <x:v>0.1</x:v>
      </x:c>
      <x:c r="X689" s="34" t="n">
        <x:v>0.1</x:v>
      </x:c>
      <x:c r="Y689" s="34" t="n">
        <x:v>0.0001</x:v>
      </x:c>
      <x:c r="Z689" s="30" t="str">
        <x:f>IF(AND(D689="TRADING",I689&lt;&gt;"",L689&lt;&gt;"",M689&lt;&gt;"",N689&lt;&gt;"",O689&lt;&gt;""),"Yes","No")</x:f>
        <x:v>Yes</x:v>
      </x:c>
      <x:c r="AA689" s="39" t="str">
        <x:v>https://developers.binance.com/en/docs/catalog/core-trading-spot-trading/api/rest-api</x:v>
      </x:c>
    </x:row>
    <x:row r="690">
      <x:c r="A690" s="30" t="str">
        <x:v>ZKPUSDT</x:v>
      </x:c>
      <x:c r="B690" s="30" t="str">
        <x:v>ZKP</x:v>
      </x:c>
      <x:c r="C690" s="30" t="str">
        <x:v>USDT</x:v>
      </x:c>
      <x:c r="D690" s="30" t="str">
        <x:v>TRADING</x:v>
      </x:c>
      <x:c r="E690" s="31" t="b">
        <x:v>1</x:v>
      </x:c>
      <x:c r="F690" s="32" t="n">
        <x:v>46029</x:v>
      </x:c>
      <x:c r="G690" s="32" t="n">
        <x:v>46029.999999988424</x:v>
      </x:c>
      <x:c r="H690" s="33" t="n">
        <x:f>IF(F690="","",('Summary'!$B$5-F690)/365.25)</x:f>
        <x:v>0.5695071630922518</x:v>
      </x:c>
      <x:c r="I690" s="34" t="n">
        <x:v>0.0451</x:v>
      </x:c>
      <x:c r="J690" s="35" t="n">
        <x:v>-0.02169</x:v>
      </x:c>
      <x:c r="K690" s="36" t="n">
        <x:v>3195344.7</x:v>
      </x:c>
      <x:c r="L690" s="36" t="n">
        <x:v>145906.10372</x:v>
      </x:c>
      <x:c r="M690" s="37" t="n">
        <x:v>4294</x:v>
      </x:c>
      <x:c r="N690" s="34" t="n">
        <x:v>0.0451</x:v>
      </x:c>
      <x:c r="O690" s="34" t="n">
        <x:v>0.0453</x:v>
      </x:c>
      <x:c r="P690" s="38" t="n">
        <x:f>IF(OR(N690="",O690="",N690=0,O690=0),"",(O690-N690)/((O690+N690)/2))</x:f>
        <x:v>0.00442477876106192</x:v>
      </x:c>
      <x:c r="Q690" s="34" t="n">
        <x:v>0.04566209</x:v>
      </x:c>
      <x:c r="R690" s="34" t="n">
        <x:v>0.0469</x:v>
      </x:c>
      <x:c r="S690" s="34" t="n">
        <x:v>0.0448</x:v>
      </x:c>
      <x:c r="T690" s="32" t="n">
        <x:v>46236.012399976855</x:v>
      </x:c>
      <x:c r="U690" s="32" t="n">
        <x:v>46237.012399976855</x:v>
      </x:c>
      <x:c r="V690" s="34" t="n">
        <x:v>5</x:v>
      </x:c>
      <x:c r="W690" s="34" t="n">
        <x:v>0.1</x:v>
      </x:c>
      <x:c r="X690" s="34" t="n">
        <x:v>0.1</x:v>
      </x:c>
      <x:c r="Y690" s="34" t="n">
        <x:v>0.0001</x:v>
      </x:c>
      <x:c r="Z690" s="30" t="str">
        <x:f>IF(AND(D690="TRADING",I690&lt;&gt;"",L690&lt;&gt;"",M690&lt;&gt;"",N690&lt;&gt;"",O690&lt;&gt;""),"Yes","No")</x:f>
        <x:v>Yes</x:v>
      </x:c>
      <x:c r="AA690" s="39" t="str">
        <x:v>https://developers.binance.com/en/docs/catalog/core-trading-spot-trading/api/rest-api</x:v>
      </x:c>
    </x:row>
    <x:row r="691">
      <x:c r="A691" s="30" t="str">
        <x:v>ZKUSDT</x:v>
      </x:c>
      <x:c r="B691" s="30" t="str">
        <x:v>ZK</x:v>
      </x:c>
      <x:c r="C691" s="30" t="str">
        <x:v>USDT</x:v>
      </x:c>
      <x:c r="D691" s="30" t="str">
        <x:v>TRADING</x:v>
      </x:c>
      <x:c r="E691" s="31" t="b">
        <x:v>1</x:v>
      </x:c>
      <x:c r="F691" s="32" t="n">
        <x:v>45460</x:v>
      </x:c>
      <x:c r="G691" s="32" t="n">
        <x:v>45460.999999988424</x:v>
      </x:c>
      <x:c r="H691" s="33" t="n">
        <x:f>IF(F691="","",('Summary'!$B$5-F691)/365.25)</x:f>
        <x:v>2.1273442609704176</x:v>
      </x:c>
      <x:c r="I691" s="34" t="n">
        <x:v>0.00808</x:v>
      </x:c>
      <x:c r="J691" s="35" t="n">
        <x:v>0.02799</x:v>
      </x:c>
      <x:c r="K691" s="36" t="n">
        <x:v>132760942.2</x:v>
      </x:c>
      <x:c r="L691" s="36" t="n">
        <x:v>1054831.613826</x:v>
      </x:c>
      <x:c r="M691" s="37" t="n">
        <x:v>8663</x:v>
      </x:c>
      <x:c r="N691" s="34" t="n">
        <x:v>0.00807</x:v>
      </x:c>
      <x:c r="O691" s="34" t="n">
        <x:v>0.00808</x:v>
      </x:c>
      <x:c r="P691" s="38" t="n">
        <x:f>IF(OR(N691="",O691="",N691=0,O691=0),"",(O691-N691)/((O691+N691)/2))</x:f>
        <x:v>0.0012383900928792065</x:v>
      </x:c>
      <x:c r="Q691" s="34" t="n">
        <x:v>0.00794535</x:v>
      </x:c>
      <x:c r="R691" s="34" t="n">
        <x:v>0.0082</x:v>
      </x:c>
      <x:c r="S691" s="34" t="n">
        <x:v>0.00772</x:v>
      </x:c>
      <x:c r="T691" s="32" t="n">
        <x:v>46236.01247434028</x:v>
      </x:c>
      <x:c r="U691" s="32" t="n">
        <x:v>46237.01247434028</x:v>
      </x:c>
      <x:c r="V691" s="34" t="n">
        <x:v>5</x:v>
      </x:c>
      <x:c r="W691" s="34" t="n">
        <x:v>0.1</x:v>
      </x:c>
      <x:c r="X691" s="34" t="n">
        <x:v>0.1</x:v>
      </x:c>
      <x:c r="Y691" s="34" t="n">
        <x:v>0.00001</x:v>
      </x:c>
      <x:c r="Z691" s="30" t="str">
        <x:f>IF(AND(D691="TRADING",I691&lt;&gt;"",L691&lt;&gt;"",M691&lt;&gt;"",N691&lt;&gt;"",O691&lt;&gt;""),"Yes","No")</x:f>
        <x:v>Yes</x:v>
      </x:c>
      <x:c r="AA691" s="39" t="str">
        <x:v>https://developers.binance.com/en/docs/catalog/core-trading-spot-trading/api/rest-api</x:v>
      </x:c>
    </x:row>
    <x:row r="692">
      <x:c r="A692" s="30" t="str">
        <x:v>ZROUSDT</x:v>
      </x:c>
      <x:c r="B692" s="30" t="str">
        <x:v>ZRO</x:v>
      </x:c>
      <x:c r="C692" s="30" t="str">
        <x:v>USDT</x:v>
      </x:c>
      <x:c r="D692" s="30" t="str">
        <x:v>TRADING</x:v>
      </x:c>
      <x:c r="E692" s="31" t="b">
        <x:v>1</x:v>
      </x:c>
      <x:c r="F692" s="32" t="n">
        <x:v>45463</x:v>
      </x:c>
      <x:c r="G692" s="32" t="n">
        <x:v>45463.999999988424</x:v>
      </x:c>
      <x:c r="H692" s="33" t="n">
        <x:f>IF(F692="","",('Summary'!$B$5-F692)/365.25)</x:f>
        <x:v>2.119130708609021</x:v>
      </x:c>
      <x:c r="I692" s="34" t="n">
        <x:v>0.717</x:v>
      </x:c>
      <x:c r="J692" s="35" t="n">
        <x:v>-0.0124</x:v>
      </x:c>
      <x:c r="K692" s="36" t="n">
        <x:v>2511845.26</x:v>
      </x:c>
      <x:c r="L692" s="36" t="n">
        <x:v>1823411.15443</x:v>
      </x:c>
      <x:c r="M692" s="37" t="n">
        <x:v>15874</x:v>
      </x:c>
      <x:c r="N692" s="34" t="n">
        <x:v>0.717</x:v>
      </x:c>
      <x:c r="O692" s="34" t="n">
        <x:v>0.718</x:v>
      </x:c>
      <x:c r="P692" s="38" t="n">
        <x:f>IF(OR(N692="",O692="",N692=0,O692=0),"",(O692-N692)/((O692+N692)/2))</x:f>
        <x:v>0.0013937282229965168</x:v>
      </x:c>
      <x:c r="Q692" s="34" t="n">
        <x:v>0.72592495</x:v>
      </x:c>
      <x:c r="R692" s="34" t="n">
        <x:v>0.745</x:v>
      </x:c>
      <x:c r="S692" s="34" t="n">
        <x:v>0.71</x:v>
      </x:c>
      <x:c r="T692" s="32" t="n">
        <x:v>46236.012477372686</x:v>
      </x:c>
      <x:c r="U692" s="32" t="n">
        <x:v>46237.012477372686</x:v>
      </x:c>
      <x:c r="V692" s="34" t="n">
        <x:v>5</x:v>
      </x:c>
      <x:c r="W692" s="34" t="n">
        <x:v>0.01</x:v>
      </x:c>
      <x:c r="X692" s="34" t="n">
        <x:v>0.01</x:v>
      </x:c>
      <x:c r="Y692" s="34" t="n">
        <x:v>0.001</x:v>
      </x:c>
      <x:c r="Z692" s="30" t="str">
        <x:f>IF(AND(D692="TRADING",I692&lt;&gt;"",L692&lt;&gt;"",M692&lt;&gt;"",N692&lt;&gt;"",O692&lt;&gt;""),"Yes","No")</x:f>
        <x:v>Yes</x:v>
      </x:c>
      <x:c r="AA692" s="39" t="str">
        <x:v>https://developers.binance.com/en/docs/catalog/core-trading-spot-trading/api/rest-api</x:v>
      </x:c>
    </x:row>
    <x:row r="693">
      <x:c r="A693" s="30" t="str">
        <x:v>ZRXUSDT</x:v>
      </x:c>
      <x:c r="B693" s="30" t="str">
        <x:v>ZRX</x:v>
      </x:c>
      <x:c r="C693" s="30" t="str">
        <x:v>USDT</x:v>
      </x:c>
      <x:c r="D693" s="30" t="str">
        <x:v>TRADING</x:v>
      </x:c>
      <x:c r="E693" s="31" t="b">
        <x:v>1</x:v>
      </x:c>
      <x:c r="F693" s="32" t="n">
        <x:v>43524</x:v>
      </x:c>
      <x:c r="G693" s="32" t="n">
        <x:v>43524.999999988424</x:v>
      </x:c>
      <x:c r="H693" s="33" t="n">
        <x:f>IF(F693="","",('Summary'!$B$5-F693)/365.25)</x:f>
        <x:v>7.427823384858166</x:v>
      </x:c>
      <x:c r="I693" s="34" t="n">
        <x:v>0.0784</x:v>
      </x:c>
      <x:c r="J693" s="35" t="n">
        <x:v>0.00256</x:v>
      </x:c>
      <x:c r="K693" s="36" t="n">
        <x:v>757572</x:v>
      </x:c>
      <x:c r="L693" s="36" t="n">
        <x:v>59516.822</x:v>
      </x:c>
      <x:c r="M693" s="37" t="n">
        <x:v>796</x:v>
      </x:c>
      <x:c r="N693" s="34" t="n">
        <x:v>0.0783</x:v>
      </x:c>
      <x:c r="O693" s="34" t="n">
        <x:v>0.0784</x:v>
      </x:c>
      <x:c r="P693" s="38" t="n">
        <x:f>IF(OR(N693="",O693="",N693=0,O693=0),"",(O693-N693)/((O693+N693)/2))</x:f>
        <x:v>0.0012763241863433677</x:v>
      </x:c>
      <x:c r="Q693" s="34" t="n">
        <x:v>0.07856259</x:v>
      </x:c>
      <x:c r="R693" s="34" t="n">
        <x:v>0.0797</x:v>
      </x:c>
      <x:c r="S693" s="34" t="n">
        <x:v>0.0778</x:v>
      </x:c>
      <x:c r="T693" s="32" t="n">
        <x:v>46236.012480694444</x:v>
      </x:c>
      <x:c r="U693" s="32" t="n">
        <x:v>46237.012480694444</x:v>
      </x:c>
      <x:c r="V693" s="34" t="n">
        <x:v>5</x:v>
      </x:c>
      <x:c r="W693" s="34" t="n">
        <x:v>1</x:v>
      </x:c>
      <x:c r="X693" s="34" t="n">
        <x:v>1</x:v>
      </x:c>
      <x:c r="Y693" s="34" t="n">
        <x:v>0.0001</x:v>
      </x:c>
      <x:c r="Z693" s="30" t="str">
        <x:f>IF(AND(D693="TRADING",I693&lt;&gt;"",L693&lt;&gt;"",M693&lt;&gt;"",N693&lt;&gt;"",O693&lt;&gt;""),"Yes","No")</x:f>
        <x:v>Yes</x:v>
      </x:c>
      <x:c r="AA693" s="39" t="str">
        <x:v>https://developers.binance.com/en/docs/catalog/core-trading-spot-trading/api/rest-api</x:v>
      </x:c>
    </x:row>
    <x:row r="694">
      <x:c r="A694" s="30" t="str">
        <x:v>币安人生USDT</x:v>
      </x:c>
      <x:c r="B694" s="30" t="str">
        <x:v>币安人生</x:v>
      </x:c>
      <x:c r="C694" s="30" t="str">
        <x:v>USDT</x:v>
      </x:c>
      <x:c r="D694" s="30" t="str">
        <x:v>TRADING</x:v>
      </x:c>
      <x:c r="E694" s="31" t="b">
        <x:v>1</x:v>
      </x:c>
      <x:c r="F694" s="32" t="n">
        <x:v>46029</x:v>
      </x:c>
      <x:c r="G694" s="32" t="n">
        <x:v>46029.999999988424</x:v>
      </x:c>
      <x:c r="H694" s="33" t="n">
        <x:f>IF(F694="","",('Summary'!$B$5-F694)/365.25)</x:f>
        <x:v>0.5695071630922518</x:v>
      </x:c>
      <x:c r="I694" s="34" t="n">
        <x:v>0.5645</x:v>
      </x:c>
      <x:c r="J694" s="35" t="n">
        <x:v>-0.08849</x:v>
      </x:c>
      <x:c r="K694" s="36" t="n">
        <x:v>4284531.6</x:v>
      </x:c>
      <x:c r="L694" s="36" t="n">
        <x:v>2538247.47488</x:v>
      </x:c>
      <x:c r="M694" s="37" t="n">
        <x:v>25635</x:v>
      </x:c>
      <x:c r="N694" s="34" t="n">
        <x:v>0.5643</x:v>
      </x:c>
      <x:c r="O694" s="34" t="n">
        <x:v>0.5645</x:v>
      </x:c>
      <x:c r="P694" s="38" t="n">
        <x:f>IF(OR(N694="",O694="",N694=0,O694=0),"",(O694-N694)/((O694+N694)/2))</x:f>
        <x:v>0.0003543586109142062</x:v>
      </x:c>
      <x:c r="Q694" s="34" t="n">
        <x:v>0.59242123</x:v>
      </x:c>
      <x:c r="R694" s="34" t="n">
        <x:v>0.6284</x:v>
      </x:c>
      <x:c r="S694" s="34" t="n">
        <x:v>0.5634</x:v>
      </x:c>
      <x:c r="T694" s="32" t="n">
        <x:v>46236.01246986111</x:v>
      </x:c>
      <x:c r="U694" s="32" t="n">
        <x:v>46237.01246986111</x:v>
      </x:c>
      <x:c r="V694" s="34" t="n">
        <x:v>1</x:v>
      </x:c>
      <x:c r="W694" s="34" t="n">
        <x:v>0.1</x:v>
      </x:c>
      <x:c r="X694" s="34" t="n">
        <x:v>0.1</x:v>
      </x:c>
      <x:c r="Y694" s="34" t="n">
        <x:v>0.0001</x:v>
      </x:c>
      <x:c r="Z694" s="30" t="str">
        <x:f>IF(AND(D694="TRADING",I694&lt;&gt;"",L694&lt;&gt;"",M694&lt;&gt;"",N694&lt;&gt;"",O694&lt;&gt;""),"Yes","No")</x:f>
        <x:v>Yes</x:v>
      </x:c>
      <x:c r="AA694" s="39" t="str">
        <x:v>https://developers.binance.com/en/docs/catalog/core-trading-spot-trading/api/rest-api</x:v>
      </x:c>
    </x:row>
  </x:sheetData>
  <x:mergeCells>
    <x:mergeCell ref="A1:AA1"/>
    <x:mergeCell ref="A2:AA2"/>
  </x:mergeCells>
  <x:conditionalFormatting sqref="D6:D694">
    <x:cfRule type="containsText" dxfId="0" priority="1" operator="containsText" text="TRADING"/>
    <x:cfRule type="containsText" dxfId="1" priority="2" operator="containsText" text="BREAK"/>
  </x:conditionalFormatting>
  <x:conditionalFormatting sqref="Z6:Z694">
    <x:cfRule type="containsText" dxfId="2" priority="3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712aa2c10fd145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48" hidden="0" customWidth="1"/>
    <x:col min="4" max="4" width="45" hidden="0" customWidth="1"/>
  </x:cols>
  <x:sheetData>
    <x:row r="1" ht="30" customHeight="1">
      <x:c r="A1" s="3" t="str">
        <x:v>Methodology, Definitions, and Sources</x:v>
      </x:c>
      <x:c r="B1" s="3"/>
      <x:c r="C1" s="3"/>
      <x:c r="D1" s="3"/>
      <x:c r="E1" s="3"/>
      <x:c r="F1" s="3"/>
      <x:c r="G1" s="3"/>
    </x:row>
    <x:row r="3">
      <x:c r="A3" s="12" t="str">
        <x:v>Item</x:v>
      </x:c>
      <x:c r="B3" s="12" t="str">
        <x:v>Definition</x:v>
      </x:c>
      <x:c r="C3" s="12" t="str">
        <x:v>Research implication</x:v>
      </x:c>
    </x:row>
    <x:row r="4" ht="50" customHeight="1">
      <x:c r="A4" s="87" t="str">
        <x:v>Scope</x:v>
      </x:c>
      <x:c r="B4" s="88" t="str">
        <x:v>Symbols returned by Binance Spot exchange information with quote asset USD or USDT.</x:v>
      </x:c>
      <x:c r="C4" s="89" t="str">
        <x:v>This is an exploratory universe, not an approved sample.</x:v>
      </x:c>
    </x:row>
    <x:row r="5" ht="50" customHeight="1">
      <x:c r="A5" s="90" t="str">
        <x:v>Market status</x:v>
      </x:c>
      <x:c r="B5" s="91" t="str">
        <x:v>The status reported by Binance at extraction time, including TRADING and BREAK.</x:v>
      </x:c>
      <x:c r="C5" s="92" t="str">
        <x:v>Historical or inactive markets remain visible for auditability.</x:v>
      </x:c>
    </x:row>
    <x:row r="6" ht="50" customHeight="1">
      <x:c r="A6" s="90" t="str">
        <x:v>Earliest daily candle</x:v>
      </x:c>
      <x:c r="B6" s="91" t="str">
        <x:v>First 1d kline returned with startTime=0, limit=1, and UTC timezone.</x:v>
      </x:c>
      <x:c r="C6" s="92" t="str">
        <x:v>The date is specific to the trading pair and daily interval.</x:v>
      </x:c>
    </x:row>
    <x:row r="7" ht="50" customHeight="1">
      <x:c r="A7" s="90" t="str">
        <x:v>24h quote volume</x:v>
      </x:c>
      <x:c r="B7" s="91" t="str">
        <x:v>Rolling 24-hour traded value measured in the quote asset.</x:v>
      </x:c>
      <x:c r="C7" s="92" t="str">
        <x:v>USD and USDT values are shown separately and are not asserted to be economically identical.</x:v>
      </x:c>
    </x:row>
    <x:row r="8" ht="50" customHeight="1">
      <x:c r="A8" s="90" t="str">
        <x:v>24h trades</x:v>
      </x:c>
      <x:c r="B8" s="91" t="str">
        <x:v>Number of trades in the rolling ticker window.</x:v>
      </x:c>
      <x:c r="C8" s="92" t="str">
        <x:v>A current activity indicator, not a historical liquidity guarantee.</x:v>
      </x:c>
    </x:row>
    <x:row r="9" ht="50" customHeight="1">
      <x:c r="A9" s="90" t="str">
        <x:v>Midpoint spread</x:v>
      </x:c>
      <x:c r="B9" s="91" t="str">
        <x:v>(Best Ask - Best Bid) / average of Best Ask and Best Bid.</x:v>
      </x:c>
      <x:c r="C9" s="92" t="str">
        <x:v>A point-in-time execution-cost proxy; it can change rapidly.</x:v>
      </x:c>
    </x:row>
    <x:row r="10" ht="50" customHeight="1">
      <x:c r="A10" s="90" t="str">
        <x:v>Ticker snapshot</x:v>
      </x:c>
      <x:c r="B10" s="91" t="str">
        <x:v>Close timestamp returned by the 24-hour ticker endpoint.</x:v>
      </x:c>
      <x:c r="C10" s="92" t="str">
        <x:v>Inactive markets may retain stale ticker records; only active rows with complete core fields are flagged as current liquidity.</x:v>
      </x:c>
    </x:row>
    <x:row r="11" ht="50" customHeight="1">
      <x:c r="A11" s="93" t="str">
        <x:v>No selection rule</x:v>
      </x:c>
      <x:c r="B11" s="94" t="str">
        <x:v>No threshold for history, volume, trades, spread, or status was applied.</x:v>
      </x:c>
      <x:c r="C11" s="95" t="str">
        <x:v>Eligibility criteria require explicit methodological approval.</x:v>
      </x:c>
    </x:row>
    <x:row r="14">
      <x:c r="A14" s="12" t="str">
        <x:v>Source ID</x:v>
      </x:c>
      <x:c r="B14" s="12" t="str">
        <x:v>Purpose</x:v>
      </x:c>
      <x:c r="C14" s="12" t="str">
        <x:v>Endpoint or documentation</x:v>
      </x:c>
      <x:c r="D14" s="12" t="str">
        <x:v>Extraction note</x:v>
      </x:c>
    </x:row>
    <x:row r="15" ht="55" customHeight="1">
      <x:c r="A15" s="87" t="str">
        <x:v>BINANCE-EXCHANGE-INFO</x:v>
      </x:c>
      <x:c r="B15" s="88" t="str">
        <x:v>Symbol metadata and trading rules</x:v>
      </x:c>
      <x:c r="C15" s="88" t="str">
        <x:v>https://api.binance.com/api/v3/exchangeInfo?permissions=SPOT</x:v>
      </x:c>
      <x:c r="D15" s="89" t="str">
        <x:v>Public market data queried through the Binance Codex plugin.</x:v>
      </x:c>
    </x:row>
    <x:row r="16" ht="55" customHeight="1">
      <x:c r="A16" s="90" t="str">
        <x:v>BINANCE-TICKER-24H</x:v>
      </x:c>
      <x:c r="B16" s="91" t="str">
        <x:v>Liquidity and price indicators</x:v>
      </x:c>
      <x:c r="C16" s="91" t="str">
        <x:v>https://api.binance.com/api/v3/ticker/24hr</x:v>
      </x:c>
      <x:c r="D16" s="92" t="str">
        <x:v>Rolling 24-hour snapshot for active markets; inactive markets may return stale records.</x:v>
      </x:c>
    </x:row>
    <x:row r="17" ht="55" customHeight="1">
      <x:c r="A17" s="90" t="str">
        <x:v>BINANCE-KLINES</x:v>
      </x:c>
      <x:c r="B17" s="91" t="str">
        <x:v>Earliest daily candle</x:v>
      </x:c>
      <x:c r="C17" s="91" t="str">
        <x:v>https://api.binance.com/api/v3/klines</x:v>
      </x:c>
      <x:c r="D17" s="92" t="str">
        <x:v>One 1d candle requested per symbol from Unix epoch time.</x:v>
      </x:c>
    </x:row>
    <x:row r="18" ht="55" customHeight="1">
      <x:c r="A18" s="93" t="str">
        <x:v>BINANCE-DOCS</x:v>
      </x:c>
      <x:c r="B18" s="94" t="str">
        <x:v>Endpoint definitions</x:v>
      </x:c>
      <x:c r="C18" s="94" t="str">
        <x:v>https://developers.binance.com/en/docs/catalog/core-trading-spot-trading/api/rest-api</x:v>
      </x:c>
      <x:c r="D18" s="95" t="str">
        <x:v>Official Binance Spot REST API documentation.</x:v>
      </x:c>
    </x:row>
    <x:row r="21">
      <x:c r="A21" s="12" t="str">
        <x:v>Metadata</x:v>
      </x:c>
      <x:c r="B21" s="12" t="str">
        <x:v>Value</x:v>
      </x:c>
    </x:row>
    <x:row r="22">
      <x:c r="A22" t="str">
        <x:v>Workbook generated at (UTC)</x:v>
      </x:c>
      <x:c r="B22" s="23" t="n">
        <x:v>46237.02564212963</x:v>
      </x:c>
    </x:row>
    <x:row r="23">
      <x:c r="A23" t="str">
        <x:v>Binance exchange server time (UTC)</x:v>
      </x:c>
      <x:c r="B23" s="23" t="n">
        <x:v>46237.011493032405</x:v>
      </x:c>
    </x:row>
    <x:row r="24">
      <x:c r="A24" t="str">
        <x:v>Latest ticker close time (UTC)</x:v>
      </x:c>
      <x:c r="B24" s="23" t="n">
        <x:v>46237.012491319445</x:v>
      </x:c>
    </x:row>
    <x:row r="25">
      <x:c r="A25" t="str">
        <x:v>Universe row count</x:v>
      </x:c>
      <x:c r="B25" s="28" t="n">
        <x:v>689</x:v>
      </x:c>
    </x:row>
  </x:sheetData>
  <x:mergeCells>
    <x:mergeCell ref="A1:G1"/>
  </x:mergeCells>
  <x:pageMargins left="0.7" right="0.7" top="0.75" bottom="0.75" header="0.3" footer="0.3"/>
</x:worksheet>
</file>