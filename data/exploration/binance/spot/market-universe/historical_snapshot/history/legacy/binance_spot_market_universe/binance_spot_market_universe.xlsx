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marcelapsilverio/projetos/tcc_crypto/data/exploration/"/>
    </mc:Choice>
  </mc:AlternateContent>
  <xr:revisionPtr revIDLastSave="0" documentId="13_ncr:1_{91460355-2022-524B-A005-D2001823364E}" xr6:coauthVersionLast="47" xr6:coauthVersionMax="47" xr10:uidLastSave="{00000000-0000-0000-0000-000000000000}"/>
  <bookViews>
    <workbookView xWindow="0" yWindow="660" windowWidth="29400" windowHeight="16940" activeTab="1" xr2:uid="{00000000-000D-0000-FFFF-FFFF00000000}"/>
  </bookViews>
  <sheets>
    <sheet name="Summary" sheetId="1" r:id="rId1"/>
    <sheet name="Market Universe" sheetId="2" r:id="rId2"/>
    <sheet name="Methodology &amp; Sourc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611" i="2" l="1"/>
  <c r="P611" i="2"/>
  <c r="H611" i="2"/>
  <c r="Z38" i="2"/>
  <c r="P38" i="2"/>
  <c r="H38" i="2"/>
  <c r="Z471" i="2"/>
  <c r="P471" i="2"/>
  <c r="H471" i="2"/>
  <c r="Z469" i="2"/>
  <c r="P469" i="2"/>
  <c r="H469" i="2"/>
  <c r="Z610" i="2"/>
  <c r="P610" i="2"/>
  <c r="H610" i="2"/>
  <c r="Z577" i="2"/>
  <c r="P577" i="2"/>
  <c r="H577" i="2"/>
  <c r="Z36" i="2"/>
  <c r="P36" i="2"/>
  <c r="H36" i="2"/>
  <c r="Z140" i="2"/>
  <c r="P140" i="2"/>
  <c r="H140" i="2"/>
  <c r="Z41" i="2"/>
  <c r="P41" i="2"/>
  <c r="H41" i="2"/>
  <c r="Z594" i="2"/>
  <c r="P594" i="2"/>
  <c r="H594" i="2"/>
  <c r="Z617" i="2"/>
  <c r="P617" i="2"/>
  <c r="H617" i="2"/>
  <c r="Z300" i="2"/>
  <c r="P300" i="2"/>
  <c r="H300" i="2"/>
  <c r="Z152" i="2"/>
  <c r="P152" i="2"/>
  <c r="H152" i="2"/>
  <c r="Z173" i="2"/>
  <c r="P173" i="2"/>
  <c r="H173" i="2"/>
  <c r="Z593" i="2"/>
  <c r="P593" i="2"/>
  <c r="H593" i="2"/>
  <c r="Z124" i="2"/>
  <c r="P124" i="2"/>
  <c r="H124" i="2"/>
  <c r="Z191" i="2"/>
  <c r="P191" i="2"/>
  <c r="H191" i="2"/>
  <c r="Z261" i="2"/>
  <c r="P261" i="2"/>
  <c r="H261" i="2"/>
  <c r="Z525" i="2"/>
  <c r="P525" i="2"/>
  <c r="H525" i="2"/>
  <c r="Z81" i="2"/>
  <c r="P81" i="2"/>
  <c r="H81" i="2"/>
  <c r="Z14" i="2"/>
  <c r="P14" i="2"/>
  <c r="H14" i="2"/>
  <c r="Z114" i="2"/>
  <c r="P114" i="2"/>
  <c r="H114" i="2"/>
  <c r="Z113" i="2"/>
  <c r="P113" i="2"/>
  <c r="H113" i="2"/>
  <c r="Z582" i="2"/>
  <c r="P582" i="2"/>
  <c r="H582" i="2"/>
  <c r="Z352" i="2"/>
  <c r="P352" i="2"/>
  <c r="H352" i="2"/>
  <c r="Z40" i="2"/>
  <c r="P40" i="2"/>
  <c r="H40" i="2"/>
  <c r="Z18" i="2"/>
  <c r="P18" i="2"/>
  <c r="H18" i="2"/>
  <c r="Z207" i="2"/>
  <c r="P207" i="2"/>
  <c r="H207" i="2"/>
  <c r="Z289" i="2"/>
  <c r="P289" i="2"/>
  <c r="H289" i="2"/>
  <c r="Z628" i="2"/>
  <c r="P628" i="2"/>
  <c r="H628" i="2"/>
  <c r="Z442" i="2"/>
  <c r="P442" i="2"/>
  <c r="H442" i="2"/>
  <c r="Z460" i="2"/>
  <c r="P460" i="2"/>
  <c r="H460" i="2"/>
  <c r="Z123" i="2"/>
  <c r="P123" i="2"/>
  <c r="H123" i="2"/>
  <c r="Z106" i="2"/>
  <c r="P106" i="2"/>
  <c r="H106" i="2"/>
  <c r="Z353" i="2"/>
  <c r="P353" i="2"/>
  <c r="H353" i="2"/>
  <c r="Z169" i="2"/>
  <c r="P169" i="2"/>
  <c r="H169" i="2"/>
  <c r="Z569" i="2"/>
  <c r="P569" i="2"/>
  <c r="H569" i="2"/>
  <c r="Z418" i="2"/>
  <c r="P418" i="2"/>
  <c r="H418" i="2"/>
  <c r="Z62" i="2"/>
  <c r="P62" i="2"/>
  <c r="H62" i="2"/>
  <c r="Z181" i="2"/>
  <c r="P181" i="2"/>
  <c r="H181" i="2"/>
  <c r="Z454" i="2"/>
  <c r="P454" i="2"/>
  <c r="H454" i="2"/>
  <c r="Z661" i="2"/>
  <c r="P661" i="2"/>
  <c r="H661" i="2"/>
  <c r="Z538" i="2"/>
  <c r="P538" i="2"/>
  <c r="H538" i="2"/>
  <c r="Z406" i="2"/>
  <c r="P406" i="2"/>
  <c r="H406" i="2"/>
  <c r="Z417" i="2"/>
  <c r="P417" i="2"/>
  <c r="H417" i="2"/>
  <c r="Z286" i="2"/>
  <c r="P286" i="2"/>
  <c r="H286" i="2"/>
  <c r="Z31" i="2"/>
  <c r="P31" i="2"/>
  <c r="H31" i="2"/>
  <c r="Z76" i="2"/>
  <c r="P76" i="2"/>
  <c r="H76" i="2"/>
  <c r="Z590" i="2"/>
  <c r="P590" i="2"/>
  <c r="H590" i="2"/>
  <c r="Z142" i="2"/>
  <c r="P142" i="2"/>
  <c r="H142" i="2"/>
  <c r="Z335" i="2"/>
  <c r="P335" i="2"/>
  <c r="H335" i="2"/>
  <c r="Z96" i="2"/>
  <c r="P96" i="2"/>
  <c r="H96" i="2"/>
  <c r="Z536" i="2"/>
  <c r="P536" i="2"/>
  <c r="H536" i="2"/>
  <c r="Z294" i="2"/>
  <c r="P294" i="2"/>
  <c r="H294" i="2"/>
  <c r="Z433" i="2"/>
  <c r="P433" i="2"/>
  <c r="H433" i="2"/>
  <c r="Z390" i="2"/>
  <c r="P390" i="2"/>
  <c r="H390" i="2"/>
  <c r="Z323" i="2"/>
  <c r="P323" i="2"/>
  <c r="H323" i="2"/>
  <c r="Z25" i="2"/>
  <c r="P25" i="2"/>
  <c r="H25" i="2"/>
  <c r="Z23" i="2"/>
  <c r="P23" i="2"/>
  <c r="H23" i="2"/>
  <c r="Z500" i="2"/>
  <c r="P500" i="2"/>
  <c r="H500" i="2"/>
  <c r="Z434" i="2"/>
  <c r="P434" i="2"/>
  <c r="H434" i="2"/>
  <c r="Z501" i="2"/>
  <c r="P501" i="2"/>
  <c r="H501" i="2"/>
  <c r="Z612" i="2"/>
  <c r="P612" i="2"/>
  <c r="H612" i="2"/>
  <c r="Z190" i="2"/>
  <c r="P190" i="2"/>
  <c r="H190" i="2"/>
  <c r="Z494" i="2"/>
  <c r="P494" i="2"/>
  <c r="H494" i="2"/>
  <c r="Z341" i="2"/>
  <c r="P341" i="2"/>
  <c r="H341" i="2"/>
  <c r="Z394" i="2"/>
  <c r="P394" i="2"/>
  <c r="H394" i="2"/>
  <c r="Z629" i="2"/>
  <c r="P629" i="2"/>
  <c r="H629" i="2"/>
  <c r="Z33" i="2"/>
  <c r="P33" i="2"/>
  <c r="H33" i="2"/>
  <c r="Z56" i="2"/>
  <c r="P56" i="2"/>
  <c r="H56" i="2"/>
  <c r="Z295" i="2"/>
  <c r="P295" i="2"/>
  <c r="H295" i="2"/>
  <c r="Z572" i="2"/>
  <c r="P572" i="2"/>
  <c r="H572" i="2"/>
  <c r="Z29" i="2"/>
  <c r="P29" i="2"/>
  <c r="H29" i="2"/>
  <c r="Z549" i="2"/>
  <c r="P549" i="2"/>
  <c r="H549" i="2"/>
  <c r="Z182" i="2"/>
  <c r="P182" i="2"/>
  <c r="H182" i="2"/>
  <c r="Z205" i="2"/>
  <c r="P205" i="2"/>
  <c r="H205" i="2"/>
  <c r="Z179" i="2"/>
  <c r="P179" i="2"/>
  <c r="H179" i="2"/>
  <c r="Z399" i="2"/>
  <c r="P399" i="2"/>
  <c r="H399" i="2"/>
  <c r="Z223" i="2"/>
  <c r="P223" i="2"/>
  <c r="H223" i="2"/>
  <c r="Z276" i="2"/>
  <c r="P276" i="2"/>
  <c r="H276" i="2"/>
  <c r="Z531" i="2"/>
  <c r="P531" i="2"/>
  <c r="H531" i="2"/>
  <c r="Z17" i="2"/>
  <c r="P17" i="2"/>
  <c r="H17" i="2"/>
  <c r="Z355" i="2"/>
  <c r="P355" i="2"/>
  <c r="H355" i="2"/>
  <c r="Z595" i="2"/>
  <c r="P595" i="2"/>
  <c r="H595" i="2"/>
  <c r="Z482" i="2"/>
  <c r="P482" i="2"/>
  <c r="H482" i="2"/>
  <c r="Z515" i="2"/>
  <c r="P515" i="2"/>
  <c r="H515" i="2"/>
  <c r="Z672" i="2"/>
  <c r="P672" i="2"/>
  <c r="H672" i="2"/>
  <c r="Z639" i="2"/>
  <c r="P639" i="2"/>
  <c r="H639" i="2"/>
  <c r="Z20" i="2"/>
  <c r="P20" i="2"/>
  <c r="H20" i="2"/>
  <c r="Z221" i="2"/>
  <c r="P221" i="2"/>
  <c r="H221" i="2"/>
  <c r="Z511" i="2"/>
  <c r="P511" i="2"/>
  <c r="H511" i="2"/>
  <c r="Z95" i="2"/>
  <c r="P95" i="2"/>
  <c r="H95" i="2"/>
  <c r="Z287" i="2"/>
  <c r="P287" i="2"/>
  <c r="H287" i="2"/>
  <c r="Z561" i="2"/>
  <c r="P561" i="2"/>
  <c r="H561" i="2"/>
  <c r="Z170" i="2"/>
  <c r="P170" i="2"/>
  <c r="H170" i="2"/>
  <c r="Z683" i="2"/>
  <c r="P683" i="2"/>
  <c r="H683" i="2"/>
  <c r="Z564" i="2"/>
  <c r="P564" i="2"/>
  <c r="H564" i="2"/>
  <c r="Z264" i="2"/>
  <c r="P264" i="2"/>
  <c r="H264" i="2"/>
  <c r="Z475" i="2"/>
  <c r="P475" i="2"/>
  <c r="H475" i="2"/>
  <c r="Z67" i="2"/>
  <c r="P67" i="2"/>
  <c r="H67" i="2"/>
  <c r="Z461" i="2"/>
  <c r="P461" i="2"/>
  <c r="H461" i="2"/>
  <c r="Z245" i="2"/>
  <c r="P245" i="2"/>
  <c r="H245" i="2"/>
  <c r="Z243" i="2"/>
  <c r="P243" i="2"/>
  <c r="H243" i="2"/>
  <c r="Z427" i="2"/>
  <c r="P427" i="2"/>
  <c r="H427" i="2"/>
  <c r="Z495" i="2"/>
  <c r="P495" i="2"/>
  <c r="H495" i="2"/>
  <c r="Z47" i="2"/>
  <c r="P47" i="2"/>
  <c r="H47" i="2"/>
  <c r="Z52" i="2"/>
  <c r="P52" i="2"/>
  <c r="H52" i="2"/>
  <c r="Z105" i="2"/>
  <c r="P105" i="2"/>
  <c r="H105" i="2"/>
  <c r="Z463" i="2"/>
  <c r="P463" i="2"/>
  <c r="H463" i="2"/>
  <c r="Z299" i="2"/>
  <c r="P299" i="2"/>
  <c r="H299" i="2"/>
  <c r="Z544" i="2"/>
  <c r="P544" i="2"/>
  <c r="H544" i="2"/>
  <c r="Z388" i="2"/>
  <c r="P388" i="2"/>
  <c r="H388" i="2"/>
  <c r="Z545" i="2"/>
  <c r="P545" i="2"/>
  <c r="H545" i="2"/>
  <c r="Z145" i="2"/>
  <c r="P145" i="2"/>
  <c r="H145" i="2"/>
  <c r="Z172" i="2"/>
  <c r="P172" i="2"/>
  <c r="H172" i="2"/>
  <c r="Z209" i="2"/>
  <c r="P209" i="2"/>
  <c r="H209" i="2"/>
  <c r="Z509" i="2"/>
  <c r="P509" i="2"/>
  <c r="H509" i="2"/>
  <c r="Z239" i="2"/>
  <c r="P239" i="2"/>
  <c r="H239" i="2"/>
  <c r="Z185" i="2"/>
  <c r="P185" i="2"/>
  <c r="H185" i="2"/>
  <c r="Z407" i="2"/>
  <c r="P407" i="2"/>
  <c r="H407" i="2"/>
  <c r="Z88" i="2"/>
  <c r="P88" i="2"/>
  <c r="H88" i="2"/>
  <c r="Z450" i="2"/>
  <c r="P450" i="2"/>
  <c r="H450" i="2"/>
  <c r="Z203" i="2"/>
  <c r="P203" i="2"/>
  <c r="H203" i="2"/>
  <c r="Z116" i="2"/>
  <c r="P116" i="2"/>
  <c r="H116" i="2"/>
  <c r="Z121" i="2"/>
  <c r="P121" i="2"/>
  <c r="H121" i="2"/>
  <c r="Z542" i="2"/>
  <c r="P542" i="2"/>
  <c r="H542" i="2"/>
  <c r="Z75" i="2"/>
  <c r="P75" i="2"/>
  <c r="H75" i="2"/>
  <c r="Z149" i="2"/>
  <c r="P149" i="2"/>
  <c r="H149" i="2"/>
  <c r="Z132" i="2"/>
  <c r="P132" i="2"/>
  <c r="H132" i="2"/>
  <c r="Z372" i="2"/>
  <c r="P372" i="2"/>
  <c r="H372" i="2"/>
  <c r="Z363" i="2"/>
  <c r="P363" i="2"/>
  <c r="H363" i="2"/>
  <c r="Z389" i="2"/>
  <c r="P389" i="2"/>
  <c r="H389" i="2"/>
  <c r="Z159" i="2"/>
  <c r="P159" i="2"/>
  <c r="H159" i="2"/>
  <c r="Z660" i="2"/>
  <c r="P660" i="2"/>
  <c r="H660" i="2"/>
  <c r="Z555" i="2"/>
  <c r="P555" i="2"/>
  <c r="H555" i="2"/>
  <c r="Z340" i="2"/>
  <c r="P340" i="2"/>
  <c r="H340" i="2"/>
  <c r="Z640" i="2"/>
  <c r="P640" i="2"/>
  <c r="H640" i="2"/>
  <c r="Z693" i="2"/>
  <c r="P693" i="2"/>
  <c r="H693" i="2"/>
  <c r="Z659" i="2"/>
  <c r="P659" i="2"/>
  <c r="H659" i="2"/>
  <c r="Z552" i="2"/>
  <c r="P552" i="2"/>
  <c r="H552" i="2"/>
  <c r="Z570" i="2"/>
  <c r="P570" i="2"/>
  <c r="H570" i="2"/>
  <c r="Z510" i="2"/>
  <c r="P510" i="2"/>
  <c r="H510" i="2"/>
  <c r="Z158" i="2"/>
  <c r="P158" i="2"/>
  <c r="H158" i="2"/>
  <c r="Z682" i="2"/>
  <c r="P682" i="2"/>
  <c r="H682" i="2"/>
  <c r="Z141" i="2"/>
  <c r="P141" i="2"/>
  <c r="H141" i="2"/>
  <c r="Z412" i="2"/>
  <c r="P412" i="2"/>
  <c r="H412" i="2"/>
  <c r="Z638" i="2"/>
  <c r="P638" i="2"/>
  <c r="H638" i="2"/>
  <c r="Z692" i="2"/>
  <c r="P692" i="2"/>
  <c r="H692" i="2"/>
  <c r="Z252" i="2"/>
  <c r="P252" i="2"/>
  <c r="H252" i="2"/>
  <c r="Z478" i="2"/>
  <c r="P478" i="2"/>
  <c r="H478" i="2"/>
  <c r="Z578" i="2"/>
  <c r="P578" i="2"/>
  <c r="H578" i="2"/>
  <c r="Z208" i="2"/>
  <c r="P208" i="2"/>
  <c r="H208" i="2"/>
  <c r="Z662" i="2"/>
  <c r="P662" i="2"/>
  <c r="H662" i="2"/>
  <c r="Z541" i="2"/>
  <c r="P541" i="2"/>
  <c r="H541" i="2"/>
  <c r="Z253" i="2"/>
  <c r="P253" i="2"/>
  <c r="H253" i="2"/>
  <c r="Z519" i="2"/>
  <c r="P519" i="2"/>
  <c r="H519" i="2"/>
  <c r="Z226" i="2"/>
  <c r="P226" i="2"/>
  <c r="H226" i="2"/>
  <c r="Z616" i="2"/>
  <c r="P616" i="2"/>
  <c r="H616" i="2"/>
  <c r="Z421" i="2"/>
  <c r="P421" i="2"/>
  <c r="H421" i="2"/>
  <c r="Z139" i="2"/>
  <c r="P139" i="2"/>
  <c r="H139" i="2"/>
  <c r="Z486" i="2"/>
  <c r="P486" i="2"/>
  <c r="H486" i="2"/>
  <c r="Z348" i="2"/>
  <c r="P348" i="2"/>
  <c r="H348" i="2"/>
  <c r="Z600" i="2"/>
  <c r="P600" i="2"/>
  <c r="H600" i="2"/>
  <c r="Z329" i="2"/>
  <c r="P329" i="2"/>
  <c r="H329" i="2"/>
  <c r="Z161" i="2"/>
  <c r="P161" i="2"/>
  <c r="H161" i="2"/>
  <c r="Z557" i="2"/>
  <c r="P557" i="2"/>
  <c r="H557" i="2"/>
  <c r="Z462" i="2"/>
  <c r="P462" i="2"/>
  <c r="H462" i="2"/>
  <c r="Z84" i="2"/>
  <c r="P84" i="2"/>
  <c r="H84" i="2"/>
  <c r="Z178" i="2"/>
  <c r="P178" i="2"/>
  <c r="H178" i="2"/>
  <c r="Z167" i="2"/>
  <c r="P167" i="2"/>
  <c r="H167" i="2"/>
  <c r="Z384" i="2"/>
  <c r="P384" i="2"/>
  <c r="H384" i="2"/>
  <c r="Z204" i="2"/>
  <c r="P204" i="2"/>
  <c r="H204" i="2"/>
  <c r="Z447" i="2"/>
  <c r="P447" i="2"/>
  <c r="H447" i="2"/>
  <c r="Z623" i="2"/>
  <c r="P623" i="2"/>
  <c r="H623" i="2"/>
  <c r="Z327" i="2"/>
  <c r="P327" i="2"/>
  <c r="H327" i="2"/>
  <c r="Z615" i="2"/>
  <c r="P615" i="2"/>
  <c r="H615" i="2"/>
  <c r="Z91" i="2"/>
  <c r="P91" i="2"/>
  <c r="H91" i="2"/>
  <c r="Z671" i="2"/>
  <c r="P671" i="2"/>
  <c r="H671" i="2"/>
  <c r="Z219" i="2"/>
  <c r="P219" i="2"/>
  <c r="H219" i="2"/>
  <c r="Z314" i="2"/>
  <c r="P314" i="2"/>
  <c r="H314" i="2"/>
  <c r="Z465" i="2"/>
  <c r="P465" i="2"/>
  <c r="H465" i="2"/>
  <c r="Z641" i="2"/>
  <c r="P641" i="2"/>
  <c r="H641" i="2"/>
  <c r="Z553" i="2"/>
  <c r="P553" i="2"/>
  <c r="H553" i="2"/>
  <c r="Z285" i="2"/>
  <c r="P285" i="2"/>
  <c r="H285" i="2"/>
  <c r="Z135" i="2"/>
  <c r="P135" i="2"/>
  <c r="H135" i="2"/>
  <c r="Z83" i="2"/>
  <c r="P83" i="2"/>
  <c r="H83" i="2"/>
  <c r="Z474" i="2"/>
  <c r="P474" i="2"/>
  <c r="H474" i="2"/>
  <c r="Z366" i="2"/>
  <c r="P366" i="2"/>
  <c r="H366" i="2"/>
  <c r="Z214" i="2"/>
  <c r="P214" i="2"/>
  <c r="H214" i="2"/>
  <c r="Z520" i="2"/>
  <c r="P520" i="2"/>
  <c r="H520" i="2"/>
  <c r="Z404" i="2"/>
  <c r="P404" i="2"/>
  <c r="H404" i="2"/>
  <c r="Z278" i="2"/>
  <c r="P278" i="2"/>
  <c r="H278" i="2"/>
  <c r="Z307" i="2"/>
  <c r="P307" i="2"/>
  <c r="H307" i="2"/>
  <c r="Z238" i="2"/>
  <c r="P238" i="2"/>
  <c r="H238" i="2"/>
  <c r="Z305" i="2"/>
  <c r="P305" i="2"/>
  <c r="H305" i="2"/>
  <c r="Z281" i="2"/>
  <c r="P281" i="2"/>
  <c r="H281" i="2"/>
  <c r="Z12" i="2"/>
  <c r="P12" i="2"/>
  <c r="H12" i="2"/>
  <c r="Z650" i="2"/>
  <c r="P650" i="2"/>
  <c r="H650" i="2"/>
  <c r="Z274" i="2"/>
  <c r="P274" i="2"/>
  <c r="H274" i="2"/>
  <c r="Z681" i="2"/>
  <c r="P681" i="2"/>
  <c r="H681" i="2"/>
  <c r="Z398" i="2"/>
  <c r="P398" i="2"/>
  <c r="H398" i="2"/>
  <c r="Z319" i="2"/>
  <c r="P319" i="2"/>
  <c r="H319" i="2"/>
  <c r="Z658" i="2"/>
  <c r="P658" i="2"/>
  <c r="H658" i="2"/>
  <c r="Z446" i="2"/>
  <c r="P446" i="2"/>
  <c r="H446" i="2"/>
  <c r="Z326" i="2"/>
  <c r="P326" i="2"/>
  <c r="H326" i="2"/>
  <c r="Z691" i="2"/>
  <c r="P691" i="2"/>
  <c r="H691" i="2"/>
  <c r="Z244" i="2"/>
  <c r="P244" i="2"/>
  <c r="H244" i="2"/>
  <c r="Z575" i="2"/>
  <c r="P575" i="2"/>
  <c r="H575" i="2"/>
  <c r="Z212" i="2"/>
  <c r="P212" i="2"/>
  <c r="H212" i="2"/>
  <c r="Z563" i="2"/>
  <c r="P563" i="2"/>
  <c r="H563" i="2"/>
  <c r="Z385" i="2"/>
  <c r="P385" i="2"/>
  <c r="H385" i="2"/>
  <c r="Z397" i="2"/>
  <c r="P397" i="2"/>
  <c r="H397" i="2"/>
  <c r="Z321" i="2"/>
  <c r="P321" i="2"/>
  <c r="H321" i="2"/>
  <c r="Z320" i="2"/>
  <c r="P320" i="2"/>
  <c r="H320" i="2"/>
  <c r="Z451" i="2"/>
  <c r="P451" i="2"/>
  <c r="H451" i="2"/>
  <c r="Z233" i="2"/>
  <c r="P233" i="2"/>
  <c r="H233" i="2"/>
  <c r="Z376" i="2"/>
  <c r="P376" i="2"/>
  <c r="H376" i="2"/>
  <c r="Z293" i="2"/>
  <c r="P293" i="2"/>
  <c r="H293" i="2"/>
  <c r="Z479" i="2"/>
  <c r="P479" i="2"/>
  <c r="H479" i="2"/>
  <c r="Z256" i="2"/>
  <c r="P256" i="2"/>
  <c r="H256" i="2"/>
  <c r="Z493" i="2"/>
  <c r="P493" i="2"/>
  <c r="H493" i="2"/>
  <c r="Z136" i="2"/>
  <c r="P136" i="2"/>
  <c r="H136" i="2"/>
  <c r="Z566" i="2"/>
  <c r="P566" i="2"/>
  <c r="H566" i="2"/>
  <c r="Z649" i="2"/>
  <c r="P649" i="2"/>
  <c r="H649" i="2"/>
  <c r="Z325" i="2"/>
  <c r="P325" i="2"/>
  <c r="H325" i="2"/>
  <c r="Z449" i="2"/>
  <c r="P449" i="2"/>
  <c r="H449" i="2"/>
  <c r="Z431" i="2"/>
  <c r="P431" i="2"/>
  <c r="H431" i="2"/>
  <c r="Z380" i="2"/>
  <c r="P380" i="2"/>
  <c r="H380" i="2"/>
  <c r="Z268" i="2"/>
  <c r="P268" i="2"/>
  <c r="H268" i="2"/>
  <c r="Z237" i="2"/>
  <c r="P237" i="2"/>
  <c r="H237" i="2"/>
  <c r="Z68" i="2"/>
  <c r="P68" i="2"/>
  <c r="H68" i="2"/>
  <c r="Z410" i="2"/>
  <c r="P410" i="2"/>
  <c r="H410" i="2"/>
  <c r="Z338" i="2"/>
  <c r="P338" i="2"/>
  <c r="H338" i="2"/>
  <c r="Z503" i="2"/>
  <c r="P503" i="2"/>
  <c r="H503" i="2"/>
  <c r="Z415" i="2"/>
  <c r="P415" i="2"/>
  <c r="H415" i="2"/>
  <c r="Z453" i="2"/>
  <c r="P453" i="2"/>
  <c r="H453" i="2"/>
  <c r="Z26" i="2"/>
  <c r="P26" i="2"/>
  <c r="H26" i="2"/>
  <c r="Z168" i="2"/>
  <c r="P168" i="2"/>
  <c r="H168" i="2"/>
  <c r="Z527" i="2"/>
  <c r="P527" i="2"/>
  <c r="H527" i="2"/>
  <c r="Z184" i="2"/>
  <c r="P184" i="2"/>
  <c r="H184" i="2"/>
  <c r="Z378" i="2"/>
  <c r="P378" i="2"/>
  <c r="H378" i="2"/>
  <c r="Z189" i="2"/>
  <c r="P189" i="2"/>
  <c r="H189" i="2"/>
  <c r="Z429" i="2"/>
  <c r="P429" i="2"/>
  <c r="H429" i="2"/>
  <c r="Z680" i="2"/>
  <c r="P680" i="2"/>
  <c r="H680" i="2"/>
  <c r="Z497" i="2"/>
  <c r="P497" i="2"/>
  <c r="H497" i="2"/>
  <c r="Z370" i="2"/>
  <c r="P370" i="2"/>
  <c r="H370" i="2"/>
  <c r="Z624" i="2"/>
  <c r="P624" i="2"/>
  <c r="H624" i="2"/>
  <c r="Z634" i="2"/>
  <c r="P634" i="2"/>
  <c r="H634" i="2"/>
  <c r="Z571" i="2"/>
  <c r="P571" i="2"/>
  <c r="H571" i="2"/>
  <c r="Z339" i="2"/>
  <c r="P339" i="2"/>
  <c r="H339" i="2"/>
  <c r="Z19" i="2"/>
  <c r="P19" i="2"/>
  <c r="H19" i="2"/>
  <c r="Z34" i="2"/>
  <c r="P34" i="2"/>
  <c r="H34" i="2"/>
  <c r="Z53" i="2"/>
  <c r="P53" i="2"/>
  <c r="H53" i="2"/>
  <c r="Z535" i="2"/>
  <c r="P535" i="2"/>
  <c r="H535" i="2"/>
  <c r="Z232" i="2"/>
  <c r="P232" i="2"/>
  <c r="H232" i="2"/>
  <c r="Z464" i="2"/>
  <c r="P464" i="2"/>
  <c r="H464" i="2"/>
  <c r="Z46" i="2"/>
  <c r="P46" i="2"/>
  <c r="H46" i="2"/>
  <c r="Z217" i="2"/>
  <c r="P217" i="2"/>
  <c r="H217" i="2"/>
  <c r="Z99" i="2"/>
  <c r="P99" i="2"/>
  <c r="H99" i="2"/>
  <c r="Z165" i="2"/>
  <c r="P165" i="2"/>
  <c r="H165" i="2"/>
  <c r="Z403" i="2"/>
  <c r="P403" i="2"/>
  <c r="H403" i="2"/>
  <c r="Z546" i="2"/>
  <c r="P546" i="2"/>
  <c r="H546" i="2"/>
  <c r="Z637" i="2"/>
  <c r="P637" i="2"/>
  <c r="H637" i="2"/>
  <c r="Z260" i="2"/>
  <c r="P260" i="2"/>
  <c r="H260" i="2"/>
  <c r="Z24" i="2"/>
  <c r="P24" i="2"/>
  <c r="H24" i="2"/>
  <c r="Z426" i="2"/>
  <c r="P426" i="2"/>
  <c r="H426" i="2"/>
  <c r="Z64" i="2"/>
  <c r="P64" i="2"/>
  <c r="H64" i="2"/>
  <c r="Z467" i="2"/>
  <c r="P467" i="2"/>
  <c r="H467" i="2"/>
  <c r="Z586" i="2"/>
  <c r="P586" i="2"/>
  <c r="H586" i="2"/>
  <c r="Z670" i="2"/>
  <c r="P670" i="2"/>
  <c r="H670" i="2"/>
  <c r="Z164" i="2"/>
  <c r="P164" i="2"/>
  <c r="H164" i="2"/>
  <c r="Z86" i="2"/>
  <c r="P86" i="2"/>
  <c r="H86" i="2"/>
  <c r="Z526" i="2"/>
  <c r="P526" i="2"/>
  <c r="H526" i="2"/>
  <c r="Z625" i="2"/>
  <c r="P625" i="2"/>
  <c r="H625" i="2"/>
  <c r="Z440" i="2"/>
  <c r="P440" i="2"/>
  <c r="H440" i="2"/>
  <c r="Z365" i="2"/>
  <c r="P365" i="2"/>
  <c r="H365" i="2"/>
  <c r="Z556" i="2"/>
  <c r="P556" i="2"/>
  <c r="H556" i="2"/>
  <c r="Z10" i="2"/>
  <c r="P10" i="2"/>
  <c r="H10" i="2"/>
  <c r="Z481" i="2"/>
  <c r="P481" i="2"/>
  <c r="H481" i="2"/>
  <c r="Z375" i="2"/>
  <c r="P375" i="2"/>
  <c r="H375" i="2"/>
  <c r="Z193" i="2"/>
  <c r="P193" i="2"/>
  <c r="H193" i="2"/>
  <c r="Z183" i="2"/>
  <c r="P183" i="2"/>
  <c r="H183" i="2"/>
  <c r="Z657" i="2"/>
  <c r="P657" i="2"/>
  <c r="H657" i="2"/>
  <c r="Z45" i="2"/>
  <c r="P45" i="2"/>
  <c r="H45" i="2"/>
  <c r="Z679" i="2"/>
  <c r="P679" i="2"/>
  <c r="H679" i="2"/>
  <c r="Z678" i="2"/>
  <c r="P678" i="2"/>
  <c r="H678" i="2"/>
  <c r="Z362" i="2"/>
  <c r="P362" i="2"/>
  <c r="H362" i="2"/>
  <c r="Z636" i="2"/>
  <c r="P636" i="2"/>
  <c r="H636" i="2"/>
  <c r="Z530" i="2"/>
  <c r="P530" i="2"/>
  <c r="H530" i="2"/>
  <c r="Z66" i="2"/>
  <c r="P66" i="2"/>
  <c r="H66" i="2"/>
  <c r="Z645" i="2"/>
  <c r="P645" i="2"/>
  <c r="H645" i="2"/>
  <c r="Z648" i="2"/>
  <c r="P648" i="2"/>
  <c r="H648" i="2"/>
  <c r="Z669" i="2"/>
  <c r="P669" i="2"/>
  <c r="H669" i="2"/>
  <c r="Z315" i="2"/>
  <c r="P315" i="2"/>
  <c r="H315" i="2"/>
  <c r="Z498" i="2"/>
  <c r="P498" i="2"/>
  <c r="H498" i="2"/>
  <c r="Z588" i="2"/>
  <c r="P588" i="2"/>
  <c r="H588" i="2"/>
  <c r="Z364" i="2"/>
  <c r="P364" i="2"/>
  <c r="H364" i="2"/>
  <c r="Z599" i="2"/>
  <c r="P599" i="2"/>
  <c r="H599" i="2"/>
  <c r="Z270" i="2"/>
  <c r="P270" i="2"/>
  <c r="H270" i="2"/>
  <c r="Z147" i="2"/>
  <c r="P147" i="2"/>
  <c r="H147" i="2"/>
  <c r="Z568" i="2"/>
  <c r="P568" i="2"/>
  <c r="H568" i="2"/>
  <c r="Z49" i="2"/>
  <c r="P49" i="2"/>
  <c r="H49" i="2"/>
  <c r="Z247" i="2"/>
  <c r="P247" i="2"/>
  <c r="H247" i="2"/>
  <c r="Z583" i="2"/>
  <c r="P583" i="2"/>
  <c r="H583" i="2"/>
  <c r="Z277" i="2"/>
  <c r="P277" i="2"/>
  <c r="H277" i="2"/>
  <c r="Z74" i="2"/>
  <c r="P74" i="2"/>
  <c r="H74" i="2"/>
  <c r="Z499" i="2"/>
  <c r="P499" i="2"/>
  <c r="H499" i="2"/>
  <c r="Z603" i="2"/>
  <c r="P603" i="2"/>
  <c r="H603" i="2"/>
  <c r="Z455" i="2"/>
  <c r="P455" i="2"/>
  <c r="H455" i="2"/>
  <c r="Z647" i="2"/>
  <c r="P647" i="2"/>
  <c r="H647" i="2"/>
  <c r="Z428" i="2"/>
  <c r="P428" i="2"/>
  <c r="H428" i="2"/>
  <c r="Z631" i="2"/>
  <c r="P631" i="2"/>
  <c r="H631" i="2"/>
  <c r="Z257" i="2"/>
  <c r="P257" i="2"/>
  <c r="H257" i="2"/>
  <c r="Z131" i="2"/>
  <c r="P131" i="2"/>
  <c r="H131" i="2"/>
  <c r="Z330" i="2"/>
  <c r="P330" i="2"/>
  <c r="H330" i="2"/>
  <c r="Z92" i="2"/>
  <c r="P92" i="2"/>
  <c r="H92" i="2"/>
  <c r="Z282" i="2"/>
  <c r="P282" i="2"/>
  <c r="H282" i="2"/>
  <c r="Z117" i="2"/>
  <c r="P117" i="2"/>
  <c r="H117" i="2"/>
  <c r="Z414" i="2"/>
  <c r="P414" i="2"/>
  <c r="H414" i="2"/>
  <c r="Z50" i="2"/>
  <c r="P50" i="2"/>
  <c r="H50" i="2"/>
  <c r="Z258" i="2"/>
  <c r="P258" i="2"/>
  <c r="H258" i="2"/>
  <c r="Z622" i="2"/>
  <c r="P622" i="2"/>
  <c r="H622" i="2"/>
  <c r="Z443" i="2"/>
  <c r="P443" i="2"/>
  <c r="H443" i="2"/>
  <c r="Z150" i="2"/>
  <c r="P150" i="2"/>
  <c r="H150" i="2"/>
  <c r="Z382" i="2"/>
  <c r="P382" i="2"/>
  <c r="H382" i="2"/>
  <c r="Z373" i="2"/>
  <c r="P373" i="2"/>
  <c r="H373" i="2"/>
  <c r="Z166" i="2"/>
  <c r="P166" i="2"/>
  <c r="H166" i="2"/>
  <c r="Z488" i="2"/>
  <c r="P488" i="2"/>
  <c r="H488" i="2"/>
  <c r="Z110" i="2"/>
  <c r="P110" i="2"/>
  <c r="H110" i="2"/>
  <c r="Z11" i="2"/>
  <c r="P11" i="2"/>
  <c r="H11" i="2"/>
  <c r="Z109" i="2"/>
  <c r="P109" i="2"/>
  <c r="H109" i="2"/>
  <c r="Z134" i="2"/>
  <c r="P134" i="2"/>
  <c r="H134" i="2"/>
  <c r="Z391" i="2"/>
  <c r="P391" i="2"/>
  <c r="H391" i="2"/>
  <c r="Z259" i="2"/>
  <c r="P259" i="2"/>
  <c r="H259" i="2"/>
  <c r="Z402" i="2"/>
  <c r="P402" i="2"/>
  <c r="H402" i="2"/>
  <c r="Z346" i="2"/>
  <c r="P346" i="2"/>
  <c r="H346" i="2"/>
  <c r="Z225" i="2"/>
  <c r="P225" i="2"/>
  <c r="H225" i="2"/>
  <c r="Z646" i="2"/>
  <c r="P646" i="2"/>
  <c r="H646" i="2"/>
  <c r="Z470" i="2"/>
  <c r="P470" i="2"/>
  <c r="H470" i="2"/>
  <c r="Z30" i="2"/>
  <c r="P30" i="2"/>
  <c r="H30" i="2"/>
  <c r="Z573" i="2"/>
  <c r="P573" i="2"/>
  <c r="H573" i="2"/>
  <c r="Z236" i="2"/>
  <c r="P236" i="2"/>
  <c r="H236" i="2"/>
  <c r="Z371" i="2"/>
  <c r="P371" i="2"/>
  <c r="H371" i="2"/>
  <c r="Z130" i="2"/>
  <c r="P130" i="2"/>
  <c r="H130" i="2"/>
  <c r="Z368" i="2"/>
  <c r="P368" i="2"/>
  <c r="H368" i="2"/>
  <c r="Z308" i="2"/>
  <c r="P308" i="2"/>
  <c r="H308" i="2"/>
  <c r="Z516" i="2"/>
  <c r="P516" i="2"/>
  <c r="H516" i="2"/>
  <c r="Z558" i="2"/>
  <c r="P558" i="2"/>
  <c r="H558" i="2"/>
  <c r="Z177" i="2"/>
  <c r="P177" i="2"/>
  <c r="H177" i="2"/>
  <c r="Z318" i="2"/>
  <c r="P318" i="2"/>
  <c r="H318" i="2"/>
  <c r="Z677" i="2"/>
  <c r="P677" i="2"/>
  <c r="H677" i="2"/>
  <c r="Z133" i="2"/>
  <c r="P133" i="2"/>
  <c r="H133" i="2"/>
  <c r="Z543" i="2"/>
  <c r="P543" i="2"/>
  <c r="H543" i="2"/>
  <c r="Z157" i="2"/>
  <c r="P157" i="2"/>
  <c r="H157" i="2"/>
  <c r="Z267" i="2"/>
  <c r="P267" i="2"/>
  <c r="H267" i="2"/>
  <c r="Z598" i="2"/>
  <c r="P598" i="2"/>
  <c r="H598" i="2"/>
  <c r="Z608" i="2"/>
  <c r="P608" i="2"/>
  <c r="H608" i="2"/>
  <c r="Z73" i="2"/>
  <c r="P73" i="2"/>
  <c r="H73" i="2"/>
  <c r="Z537" i="2"/>
  <c r="P537" i="2"/>
  <c r="H537" i="2"/>
  <c r="Z265" i="2"/>
  <c r="P265" i="2"/>
  <c r="H265" i="2"/>
  <c r="Z358" i="2"/>
  <c r="P358" i="2"/>
  <c r="H358" i="2"/>
  <c r="Z87" i="2"/>
  <c r="P87" i="2"/>
  <c r="H87" i="2"/>
  <c r="Z627" i="2"/>
  <c r="P627" i="2"/>
  <c r="H627" i="2"/>
  <c r="Z518" i="2"/>
  <c r="P518" i="2"/>
  <c r="H518" i="2"/>
  <c r="Z489" i="2"/>
  <c r="P489" i="2"/>
  <c r="H489" i="2"/>
  <c r="Z211" i="2"/>
  <c r="P211" i="2"/>
  <c r="H211" i="2"/>
  <c r="Z445" i="2"/>
  <c r="P445" i="2"/>
  <c r="H445" i="2"/>
  <c r="Z436" i="2"/>
  <c r="P436" i="2"/>
  <c r="H436" i="2"/>
  <c r="Z156" i="2"/>
  <c r="P156" i="2"/>
  <c r="H156" i="2"/>
  <c r="Z342" i="2"/>
  <c r="P342" i="2"/>
  <c r="H342" i="2"/>
  <c r="Z322" i="2"/>
  <c r="P322" i="2"/>
  <c r="H322" i="2"/>
  <c r="Z155" i="2"/>
  <c r="P155" i="2"/>
  <c r="H155" i="2"/>
  <c r="Z425" i="2"/>
  <c r="P425" i="2"/>
  <c r="H425" i="2"/>
  <c r="Z468" i="2"/>
  <c r="P468" i="2"/>
  <c r="H468" i="2"/>
  <c r="Z90" i="2"/>
  <c r="P90" i="2"/>
  <c r="H90" i="2"/>
  <c r="Z16" i="2"/>
  <c r="P16" i="2"/>
  <c r="H16" i="2"/>
  <c r="Z42" i="2"/>
  <c r="P42" i="2"/>
  <c r="H42" i="2"/>
  <c r="Z676" i="2"/>
  <c r="P676" i="2"/>
  <c r="H676" i="2"/>
  <c r="Z644" i="2"/>
  <c r="P644" i="2"/>
  <c r="H644" i="2"/>
  <c r="Z196" i="2"/>
  <c r="P196" i="2"/>
  <c r="H196" i="2"/>
  <c r="Z540" i="2"/>
  <c r="P540" i="2"/>
  <c r="H540" i="2"/>
  <c r="Z344" i="2"/>
  <c r="P344" i="2"/>
  <c r="H344" i="2"/>
  <c r="Z297" i="2"/>
  <c r="P297" i="2"/>
  <c r="H297" i="2"/>
  <c r="Z400" i="2"/>
  <c r="P400" i="2"/>
  <c r="H400" i="2"/>
  <c r="Z292" i="2"/>
  <c r="P292" i="2"/>
  <c r="H292" i="2"/>
  <c r="Z22" i="2"/>
  <c r="P22" i="2"/>
  <c r="H22" i="2"/>
  <c r="Z254" i="2"/>
  <c r="P254" i="2"/>
  <c r="H254" i="2"/>
  <c r="Z668" i="2"/>
  <c r="P668" i="2"/>
  <c r="H668" i="2"/>
  <c r="Z539" i="2"/>
  <c r="P539" i="2"/>
  <c r="H539" i="2"/>
  <c r="Z550" i="2"/>
  <c r="P550" i="2"/>
  <c r="H550" i="2"/>
  <c r="Z35" i="2"/>
  <c r="P35" i="2"/>
  <c r="H35" i="2"/>
  <c r="Z381" i="2"/>
  <c r="P381" i="2"/>
  <c r="H381" i="2"/>
  <c r="Z667" i="2"/>
  <c r="P667" i="2"/>
  <c r="H667" i="2"/>
  <c r="Z554" i="2"/>
  <c r="P554" i="2"/>
  <c r="H554" i="2"/>
  <c r="Z574" i="2"/>
  <c r="P574" i="2"/>
  <c r="H574" i="2"/>
  <c r="Z187" i="2"/>
  <c r="P187" i="2"/>
  <c r="H187" i="2"/>
  <c r="Z484" i="2"/>
  <c r="P484" i="2"/>
  <c r="H484" i="2"/>
  <c r="Z126" i="2"/>
  <c r="P126" i="2"/>
  <c r="H126" i="2"/>
  <c r="Z336" i="2"/>
  <c r="P336" i="2"/>
  <c r="H336" i="2"/>
  <c r="Z383" i="2"/>
  <c r="P383" i="2"/>
  <c r="H383" i="2"/>
  <c r="Z379" i="2"/>
  <c r="P379" i="2"/>
  <c r="H379" i="2"/>
  <c r="Z581" i="2"/>
  <c r="P581" i="2"/>
  <c r="H581" i="2"/>
  <c r="Z517" i="2"/>
  <c r="P517" i="2"/>
  <c r="H517" i="2"/>
  <c r="Z82" i="2"/>
  <c r="P82" i="2"/>
  <c r="H82" i="2"/>
  <c r="Z85" i="2"/>
  <c r="P85" i="2"/>
  <c r="H85" i="2"/>
  <c r="Z201" i="2"/>
  <c r="P201" i="2"/>
  <c r="H201" i="2"/>
  <c r="Z548" i="2"/>
  <c r="P548" i="2"/>
  <c r="H548" i="2"/>
  <c r="Z128" i="2"/>
  <c r="P128" i="2"/>
  <c r="H128" i="2"/>
  <c r="Z472" i="2"/>
  <c r="P472" i="2"/>
  <c r="H472" i="2"/>
  <c r="Z532" i="2"/>
  <c r="P532" i="2"/>
  <c r="H532" i="2"/>
  <c r="Z57" i="2"/>
  <c r="P57" i="2"/>
  <c r="H57" i="2"/>
  <c r="Z263" i="2"/>
  <c r="P263" i="2"/>
  <c r="H263" i="2"/>
  <c r="Z690" i="2"/>
  <c r="P690" i="2"/>
  <c r="H690" i="2"/>
  <c r="Z210" i="2"/>
  <c r="P210" i="2"/>
  <c r="H210" i="2"/>
  <c r="Z651" i="2"/>
  <c r="P651" i="2"/>
  <c r="H651" i="2"/>
  <c r="Z521" i="2"/>
  <c r="P521" i="2"/>
  <c r="H521" i="2"/>
  <c r="Z656" i="2"/>
  <c r="P656" i="2"/>
  <c r="H656" i="2"/>
  <c r="Z387" i="2"/>
  <c r="P387" i="2"/>
  <c r="H387" i="2"/>
  <c r="Z288" i="2"/>
  <c r="P288" i="2"/>
  <c r="H288" i="2"/>
  <c r="Z374" i="2"/>
  <c r="P374" i="2"/>
  <c r="H374" i="2"/>
  <c r="Z357" i="2"/>
  <c r="P357" i="2"/>
  <c r="H357" i="2"/>
  <c r="Z655" i="2"/>
  <c r="P655" i="2"/>
  <c r="H655" i="2"/>
  <c r="Z396" i="2"/>
  <c r="P396" i="2"/>
  <c r="H396" i="2"/>
  <c r="Z345" i="2"/>
  <c r="P345" i="2"/>
  <c r="H345" i="2"/>
  <c r="Z597" i="2"/>
  <c r="P597" i="2"/>
  <c r="H597" i="2"/>
  <c r="Z284" i="2"/>
  <c r="P284" i="2"/>
  <c r="H284" i="2"/>
  <c r="Z424" i="2"/>
  <c r="P424" i="2"/>
  <c r="H424" i="2"/>
  <c r="Z633" i="2"/>
  <c r="P633" i="2"/>
  <c r="H633" i="2"/>
  <c r="Z144" i="2"/>
  <c r="P144" i="2"/>
  <c r="H144" i="2"/>
  <c r="Z395" i="2"/>
  <c r="P395" i="2"/>
  <c r="H395" i="2"/>
  <c r="Z367" i="2"/>
  <c r="P367" i="2"/>
  <c r="H367" i="2"/>
  <c r="Z296" i="2"/>
  <c r="P296" i="2"/>
  <c r="H296" i="2"/>
  <c r="Z334" i="2"/>
  <c r="P334" i="2"/>
  <c r="H334" i="2"/>
  <c r="Z596" i="2"/>
  <c r="P596" i="2"/>
  <c r="H596" i="2"/>
  <c r="Z72" i="2"/>
  <c r="P72" i="2"/>
  <c r="H72" i="2"/>
  <c r="Z97" i="2"/>
  <c r="P97" i="2"/>
  <c r="H97" i="2"/>
  <c r="Z54" i="2"/>
  <c r="P54" i="2"/>
  <c r="H54" i="2"/>
  <c r="Z303" i="2"/>
  <c r="P303" i="2"/>
  <c r="H303" i="2"/>
  <c r="Z614" i="2"/>
  <c r="P614" i="2"/>
  <c r="H614" i="2"/>
  <c r="Z283" i="2"/>
  <c r="P283" i="2"/>
  <c r="H283" i="2"/>
  <c r="Z249" i="2"/>
  <c r="P249" i="2"/>
  <c r="H249" i="2"/>
  <c r="Z524" i="2"/>
  <c r="P524" i="2"/>
  <c r="H524" i="2"/>
  <c r="Z613" i="2"/>
  <c r="P613" i="2"/>
  <c r="H613" i="2"/>
  <c r="Z333" i="2"/>
  <c r="P333" i="2"/>
  <c r="H333" i="2"/>
  <c r="Z275" i="2"/>
  <c r="P275" i="2"/>
  <c r="H275" i="2"/>
  <c r="Z409" i="2"/>
  <c r="P409" i="2"/>
  <c r="H409" i="2"/>
  <c r="Z689" i="2"/>
  <c r="P689" i="2"/>
  <c r="H689" i="2"/>
  <c r="Z188" i="2"/>
  <c r="P188" i="2"/>
  <c r="H188" i="2"/>
  <c r="Z231" i="2"/>
  <c r="P231" i="2"/>
  <c r="H231" i="2"/>
  <c r="Z224" i="2"/>
  <c r="P224" i="2"/>
  <c r="H224" i="2"/>
  <c r="Z176" i="2"/>
  <c r="P176" i="2"/>
  <c r="H176" i="2"/>
  <c r="Z195" i="2"/>
  <c r="P195" i="2"/>
  <c r="H195" i="2"/>
  <c r="Z301" i="2"/>
  <c r="P301" i="2"/>
  <c r="H301" i="2"/>
  <c r="Z584" i="2"/>
  <c r="P584" i="2"/>
  <c r="H584" i="2"/>
  <c r="Z37" i="2"/>
  <c r="P37" i="2"/>
  <c r="H37" i="2"/>
  <c r="Z419" i="2"/>
  <c r="P419" i="2"/>
  <c r="H419" i="2"/>
  <c r="Z280" i="2"/>
  <c r="P280" i="2"/>
  <c r="H280" i="2"/>
  <c r="Z643" i="2"/>
  <c r="P643" i="2"/>
  <c r="H643" i="2"/>
  <c r="Z98" i="2"/>
  <c r="P98" i="2"/>
  <c r="H98" i="2"/>
  <c r="Z477" i="2"/>
  <c r="P477" i="2"/>
  <c r="H477" i="2"/>
  <c r="Z591" i="2"/>
  <c r="P591" i="2"/>
  <c r="H591" i="2"/>
  <c r="Z7" i="2"/>
  <c r="P7" i="2"/>
  <c r="H7" i="2"/>
  <c r="Z458" i="2"/>
  <c r="P458" i="2"/>
  <c r="H458" i="2"/>
  <c r="Z101" i="2"/>
  <c r="P101" i="2"/>
  <c r="H101" i="2"/>
  <c r="Z102" i="2"/>
  <c r="P102" i="2"/>
  <c r="H102" i="2"/>
  <c r="Z21" i="2"/>
  <c r="P21" i="2"/>
  <c r="H21" i="2"/>
  <c r="Z618" i="2"/>
  <c r="P618" i="2"/>
  <c r="H618" i="2"/>
  <c r="Z266" i="2"/>
  <c r="P266" i="2"/>
  <c r="H266" i="2"/>
  <c r="Z58" i="2"/>
  <c r="P58" i="2"/>
  <c r="H58" i="2"/>
  <c r="Z559" i="2"/>
  <c r="P559" i="2"/>
  <c r="H559" i="2"/>
  <c r="Z369" i="2"/>
  <c r="P369" i="2"/>
  <c r="H369" i="2"/>
  <c r="Z242" i="2"/>
  <c r="P242" i="2"/>
  <c r="H242" i="2"/>
  <c r="Z522" i="2"/>
  <c r="P522" i="2"/>
  <c r="H522" i="2"/>
  <c r="Z15" i="2"/>
  <c r="P15" i="2"/>
  <c r="H15" i="2"/>
  <c r="Z112" i="2"/>
  <c r="P112" i="2"/>
  <c r="H112" i="2"/>
  <c r="Z111" i="2"/>
  <c r="P111" i="2"/>
  <c r="H111" i="2"/>
  <c r="Z317" i="2"/>
  <c r="P317" i="2"/>
  <c r="H317" i="2"/>
  <c r="Z592" i="2"/>
  <c r="P592" i="2"/>
  <c r="H592" i="2"/>
  <c r="Z48" i="2"/>
  <c r="P48" i="2"/>
  <c r="H48" i="2"/>
  <c r="Z459" i="2"/>
  <c r="P459" i="2"/>
  <c r="H459" i="2"/>
  <c r="Z290" i="2"/>
  <c r="P290" i="2"/>
  <c r="H290" i="2"/>
  <c r="Z485" i="2"/>
  <c r="P485" i="2"/>
  <c r="H485" i="2"/>
  <c r="Z174" i="2"/>
  <c r="P174" i="2"/>
  <c r="H174" i="2"/>
  <c r="Z405" i="2"/>
  <c r="P405" i="2"/>
  <c r="H405" i="2"/>
  <c r="Z585" i="2"/>
  <c r="P585" i="2"/>
  <c r="H585" i="2"/>
  <c r="Z448" i="2"/>
  <c r="P448" i="2"/>
  <c r="H448" i="2"/>
  <c r="Z291" i="2"/>
  <c r="P291" i="2"/>
  <c r="H291" i="2"/>
  <c r="Z60" i="2"/>
  <c r="P60" i="2"/>
  <c r="H60" i="2"/>
  <c r="Z505" i="2"/>
  <c r="P505" i="2"/>
  <c r="H505" i="2"/>
  <c r="Z100" i="2"/>
  <c r="P100" i="2"/>
  <c r="H100" i="2"/>
  <c r="Z654" i="2"/>
  <c r="P654" i="2"/>
  <c r="H654" i="2"/>
  <c r="Z163" i="2"/>
  <c r="P163" i="2"/>
  <c r="H163" i="2"/>
  <c r="Z567" i="2"/>
  <c r="P567" i="2"/>
  <c r="H567" i="2"/>
  <c r="Z476" i="2"/>
  <c r="P476" i="2"/>
  <c r="H476" i="2"/>
  <c r="Z59" i="2"/>
  <c r="P59" i="2"/>
  <c r="H59" i="2"/>
  <c r="Z228" i="2"/>
  <c r="P228" i="2"/>
  <c r="H228" i="2"/>
  <c r="Z71" i="2"/>
  <c r="P71" i="2"/>
  <c r="H71" i="2"/>
  <c r="Z202" i="2"/>
  <c r="P202" i="2"/>
  <c r="H202" i="2"/>
  <c r="Z175" i="2"/>
  <c r="P175" i="2"/>
  <c r="H175" i="2"/>
  <c r="Z143" i="2"/>
  <c r="P143" i="2"/>
  <c r="H143" i="2"/>
  <c r="Z298" i="2"/>
  <c r="P298" i="2"/>
  <c r="H298" i="2"/>
  <c r="Z272" i="2"/>
  <c r="P272" i="2"/>
  <c r="H272" i="2"/>
  <c r="Z70" i="2"/>
  <c r="P70" i="2"/>
  <c r="H70" i="2"/>
  <c r="Z688" i="2"/>
  <c r="P688" i="2"/>
  <c r="H688" i="2"/>
  <c r="Z234" i="2"/>
  <c r="P234" i="2"/>
  <c r="H234" i="2"/>
  <c r="Z148" i="2"/>
  <c r="P148" i="2"/>
  <c r="H148" i="2"/>
  <c r="Z122" i="2"/>
  <c r="P122" i="2"/>
  <c r="H122" i="2"/>
  <c r="Z44" i="2"/>
  <c r="P44" i="2"/>
  <c r="H44" i="2"/>
  <c r="Z313" i="2"/>
  <c r="P313" i="2"/>
  <c r="H313" i="2"/>
  <c r="Z146" i="2"/>
  <c r="P146" i="2"/>
  <c r="H146" i="2"/>
  <c r="Z420" i="2"/>
  <c r="P420" i="2"/>
  <c r="H420" i="2"/>
  <c r="Z337" i="2"/>
  <c r="P337" i="2"/>
  <c r="H337" i="2"/>
  <c r="Z302" i="2"/>
  <c r="P302" i="2"/>
  <c r="H302" i="2"/>
  <c r="Z69" i="2"/>
  <c r="P69" i="2"/>
  <c r="H69" i="2"/>
  <c r="Z560" i="2"/>
  <c r="P560" i="2"/>
  <c r="H560" i="2"/>
  <c r="Z93" i="2"/>
  <c r="P93" i="2"/>
  <c r="H93" i="2"/>
  <c r="Z125" i="2"/>
  <c r="P125" i="2"/>
  <c r="H125" i="2"/>
  <c r="Z198" i="2"/>
  <c r="P198" i="2"/>
  <c r="H198" i="2"/>
  <c r="Z675" i="2"/>
  <c r="P675" i="2"/>
  <c r="H675" i="2"/>
  <c r="Z162" i="2"/>
  <c r="P162" i="2"/>
  <c r="H162" i="2"/>
  <c r="Z423" i="2"/>
  <c r="P423" i="2"/>
  <c r="H423" i="2"/>
  <c r="Z635" i="2"/>
  <c r="P635" i="2"/>
  <c r="H635" i="2"/>
  <c r="Z491" i="2"/>
  <c r="P491" i="2"/>
  <c r="H491" i="2"/>
  <c r="Z118" i="2"/>
  <c r="P118" i="2"/>
  <c r="H118" i="2"/>
  <c r="Z63" i="2"/>
  <c r="P63" i="2"/>
  <c r="H63" i="2"/>
  <c r="Z508" i="2"/>
  <c r="P508" i="2"/>
  <c r="H508" i="2"/>
  <c r="Z137" i="2"/>
  <c r="P137" i="2"/>
  <c r="H137" i="2"/>
  <c r="Z413" i="2"/>
  <c r="P413" i="2"/>
  <c r="H413" i="2"/>
  <c r="Z653" i="2"/>
  <c r="P653" i="2"/>
  <c r="H653" i="2"/>
  <c r="Z65" i="2"/>
  <c r="P65" i="2"/>
  <c r="H65" i="2"/>
  <c r="Z273" i="2"/>
  <c r="P273" i="2"/>
  <c r="H273" i="2"/>
  <c r="Z222" i="2"/>
  <c r="P222" i="2"/>
  <c r="H222" i="2"/>
  <c r="Z316" i="2"/>
  <c r="P316" i="2"/>
  <c r="H316" i="2"/>
  <c r="Z77" i="2"/>
  <c r="P77" i="2"/>
  <c r="H77" i="2"/>
  <c r="Z127" i="2"/>
  <c r="P127" i="2"/>
  <c r="H127" i="2"/>
  <c r="Z630" i="2"/>
  <c r="P630" i="2"/>
  <c r="H630" i="2"/>
  <c r="Z309" i="2"/>
  <c r="P309" i="2"/>
  <c r="H309" i="2"/>
  <c r="Z507" i="2"/>
  <c r="P507" i="2"/>
  <c r="H507" i="2"/>
  <c r="Z240" i="2"/>
  <c r="P240" i="2"/>
  <c r="H240" i="2"/>
  <c r="Z626" i="2"/>
  <c r="P626" i="2"/>
  <c r="H626" i="2"/>
  <c r="Z490" i="2"/>
  <c r="P490" i="2"/>
  <c r="H490" i="2"/>
  <c r="Z43" i="2"/>
  <c r="P43" i="2"/>
  <c r="H43" i="2"/>
  <c r="Z218" i="2"/>
  <c r="P218" i="2"/>
  <c r="H218" i="2"/>
  <c r="Z652" i="2"/>
  <c r="P652" i="2"/>
  <c r="H652" i="2"/>
  <c r="Z483" i="2"/>
  <c r="P483" i="2"/>
  <c r="H483" i="2"/>
  <c r="Z227" i="2"/>
  <c r="P227" i="2"/>
  <c r="H227" i="2"/>
  <c r="Z271" i="2"/>
  <c r="P271" i="2"/>
  <c r="H271" i="2"/>
  <c r="Z171" i="2"/>
  <c r="P171" i="2"/>
  <c r="H171" i="2"/>
  <c r="Z79" i="2"/>
  <c r="P79" i="2"/>
  <c r="H79" i="2"/>
  <c r="Z251" i="2"/>
  <c r="P251" i="2"/>
  <c r="H251" i="2"/>
  <c r="Z104" i="2"/>
  <c r="P104" i="2"/>
  <c r="H104" i="2"/>
  <c r="Z32" i="2"/>
  <c r="P32" i="2"/>
  <c r="H32" i="2"/>
  <c r="Z351" i="2"/>
  <c r="P351" i="2"/>
  <c r="H351" i="2"/>
  <c r="Z108" i="2"/>
  <c r="P108" i="2"/>
  <c r="H108" i="2"/>
  <c r="Z246" i="2"/>
  <c r="P246" i="2"/>
  <c r="H246" i="2"/>
  <c r="Z6" i="2"/>
  <c r="P6" i="2"/>
  <c r="H6" i="2"/>
  <c r="Z220" i="2"/>
  <c r="P220" i="2"/>
  <c r="H220" i="2"/>
  <c r="Z360" i="2"/>
  <c r="P360" i="2"/>
  <c r="H360" i="2"/>
  <c r="Z529" i="2"/>
  <c r="P529" i="2"/>
  <c r="H529" i="2"/>
  <c r="Z609" i="2"/>
  <c r="P609" i="2"/>
  <c r="H609" i="2"/>
  <c r="Z438" i="2"/>
  <c r="P438" i="2"/>
  <c r="H438" i="2"/>
  <c r="Z269" i="2"/>
  <c r="P269" i="2"/>
  <c r="H269" i="2"/>
  <c r="Z457" i="2"/>
  <c r="P457" i="2"/>
  <c r="H457" i="2"/>
  <c r="Z312" i="2"/>
  <c r="P312" i="2"/>
  <c r="H312" i="2"/>
  <c r="Z107" i="2"/>
  <c r="P107" i="2"/>
  <c r="H107" i="2"/>
  <c r="Z487" i="2"/>
  <c r="P487" i="2"/>
  <c r="H487" i="2"/>
  <c r="Z8" i="2"/>
  <c r="P8" i="2"/>
  <c r="H8" i="2"/>
  <c r="Z120" i="2"/>
  <c r="P120" i="2"/>
  <c r="H120" i="2"/>
  <c r="Z119" i="2"/>
  <c r="P119" i="2"/>
  <c r="H119" i="2"/>
  <c r="Z523" i="2"/>
  <c r="P523" i="2"/>
  <c r="H523" i="2"/>
  <c r="Z154" i="2"/>
  <c r="P154" i="2"/>
  <c r="H154" i="2"/>
  <c r="Z432" i="2"/>
  <c r="P432" i="2"/>
  <c r="H432" i="2"/>
  <c r="Z138" i="2"/>
  <c r="P138" i="2"/>
  <c r="H138" i="2"/>
  <c r="Z504" i="2"/>
  <c r="P504" i="2"/>
  <c r="H504" i="2"/>
  <c r="Z534" i="2"/>
  <c r="P534" i="2"/>
  <c r="H534" i="2"/>
  <c r="Z361" i="2"/>
  <c r="P361" i="2"/>
  <c r="H361" i="2"/>
  <c r="Z332" i="2"/>
  <c r="P332" i="2"/>
  <c r="H332" i="2"/>
  <c r="Z565" i="2"/>
  <c r="P565" i="2"/>
  <c r="H565" i="2"/>
  <c r="Z393" i="2"/>
  <c r="P393" i="2"/>
  <c r="H393" i="2"/>
  <c r="Z306" i="2"/>
  <c r="P306" i="2"/>
  <c r="H306" i="2"/>
  <c r="Z513" i="2"/>
  <c r="P513" i="2"/>
  <c r="H513" i="2"/>
  <c r="Z180" i="2"/>
  <c r="P180" i="2"/>
  <c r="H180" i="2"/>
  <c r="Z687" i="2"/>
  <c r="P687" i="2"/>
  <c r="H687" i="2"/>
  <c r="Z103" i="2"/>
  <c r="P103" i="2"/>
  <c r="H103" i="2"/>
  <c r="Z430" i="2"/>
  <c r="P430" i="2"/>
  <c r="H430" i="2"/>
  <c r="Z80" i="2"/>
  <c r="P80" i="2"/>
  <c r="H80" i="2"/>
  <c r="Z94" i="2"/>
  <c r="P94" i="2"/>
  <c r="H94" i="2"/>
  <c r="Z28" i="2"/>
  <c r="P28" i="2"/>
  <c r="H28" i="2"/>
  <c r="Z27" i="2"/>
  <c r="P27" i="2"/>
  <c r="H27" i="2"/>
  <c r="Z9" i="2"/>
  <c r="P9" i="2"/>
  <c r="H9" i="2"/>
  <c r="Z466" i="2"/>
  <c r="P466" i="2"/>
  <c r="H466" i="2"/>
  <c r="Z39" i="2"/>
  <c r="P39" i="2"/>
  <c r="H39" i="2"/>
  <c r="Z248" i="2"/>
  <c r="P248" i="2"/>
  <c r="H248" i="2"/>
  <c r="Z579" i="2"/>
  <c r="P579" i="2"/>
  <c r="H579" i="2"/>
  <c r="Z602" i="2"/>
  <c r="P602" i="2"/>
  <c r="H602" i="2"/>
  <c r="Z78" i="2"/>
  <c r="P78" i="2"/>
  <c r="H78" i="2"/>
  <c r="Z473" i="2"/>
  <c r="P473" i="2"/>
  <c r="H473" i="2"/>
  <c r="Z528" i="2"/>
  <c r="P528" i="2"/>
  <c r="H528" i="2"/>
  <c r="Z153" i="2"/>
  <c r="P153" i="2"/>
  <c r="H153" i="2"/>
  <c r="Z250" i="2"/>
  <c r="P250" i="2"/>
  <c r="H250" i="2"/>
  <c r="Z230" i="2"/>
  <c r="P230" i="2"/>
  <c r="H230" i="2"/>
  <c r="Z533" i="2"/>
  <c r="P533" i="2"/>
  <c r="H533" i="2"/>
  <c r="Z666" i="2"/>
  <c r="P666" i="2"/>
  <c r="H666" i="2"/>
  <c r="Z674" i="2"/>
  <c r="P674" i="2"/>
  <c r="H674" i="2"/>
  <c r="Z200" i="2"/>
  <c r="P200" i="2"/>
  <c r="H200" i="2"/>
  <c r="Z452" i="2"/>
  <c r="P452" i="2"/>
  <c r="H452" i="2"/>
  <c r="Z547" i="2"/>
  <c r="P547" i="2"/>
  <c r="H547" i="2"/>
  <c r="Z576" i="2"/>
  <c r="P576" i="2"/>
  <c r="H576" i="2"/>
  <c r="Z665" i="2"/>
  <c r="P665" i="2"/>
  <c r="H665" i="2"/>
  <c r="Z186" i="2"/>
  <c r="P186" i="2"/>
  <c r="H186" i="2"/>
  <c r="Z206" i="2"/>
  <c r="P206" i="2"/>
  <c r="H206" i="2"/>
  <c r="Z241" i="2"/>
  <c r="P241" i="2"/>
  <c r="H241" i="2"/>
  <c r="Z551" i="2"/>
  <c r="P551" i="2"/>
  <c r="H551" i="2"/>
  <c r="Z151" i="2"/>
  <c r="P151" i="2"/>
  <c r="H151" i="2"/>
  <c r="Z197" i="2"/>
  <c r="P197" i="2"/>
  <c r="H197" i="2"/>
  <c r="Z311" i="2"/>
  <c r="P311" i="2"/>
  <c r="H311" i="2"/>
  <c r="Z606" i="2"/>
  <c r="P606" i="2"/>
  <c r="H606" i="2"/>
  <c r="Z51" i="2"/>
  <c r="P51" i="2"/>
  <c r="H51" i="2"/>
  <c r="Z216" i="2"/>
  <c r="P216" i="2"/>
  <c r="H216" i="2"/>
  <c r="Z262" i="2"/>
  <c r="P262" i="2"/>
  <c r="H262" i="2"/>
  <c r="Z411" i="2"/>
  <c r="P411" i="2"/>
  <c r="H411" i="2"/>
  <c r="Z356" i="2"/>
  <c r="P356" i="2"/>
  <c r="H356" i="2"/>
  <c r="Z589" i="2"/>
  <c r="P589" i="2"/>
  <c r="H589" i="2"/>
  <c r="Z215" i="2"/>
  <c r="P215" i="2"/>
  <c r="H215" i="2"/>
  <c r="Z255" i="2"/>
  <c r="P255" i="2"/>
  <c r="H255" i="2"/>
  <c r="Z89" i="2"/>
  <c r="P89" i="2"/>
  <c r="H89" i="2"/>
  <c r="Z664" i="2"/>
  <c r="P664" i="2"/>
  <c r="H664" i="2"/>
  <c r="Z422" i="2"/>
  <c r="P422" i="2"/>
  <c r="H422" i="2"/>
  <c r="Z416" i="2"/>
  <c r="P416" i="2"/>
  <c r="H416" i="2"/>
  <c r="Z129" i="2"/>
  <c r="P129" i="2"/>
  <c r="H129" i="2"/>
  <c r="Z401" i="2"/>
  <c r="P401" i="2"/>
  <c r="H401" i="2"/>
  <c r="Z377" i="2"/>
  <c r="P377" i="2"/>
  <c r="H377" i="2"/>
  <c r="Z347" i="2"/>
  <c r="P347" i="2"/>
  <c r="H347" i="2"/>
  <c r="Z359" i="2"/>
  <c r="P359" i="2"/>
  <c r="H359" i="2"/>
  <c r="Z331" i="2"/>
  <c r="P331" i="2"/>
  <c r="H331" i="2"/>
  <c r="Z160" i="2"/>
  <c r="P160" i="2"/>
  <c r="H160" i="2"/>
  <c r="Z61" i="2"/>
  <c r="P61" i="2"/>
  <c r="H61" i="2"/>
  <c r="Z512" i="2"/>
  <c r="P512" i="2"/>
  <c r="H512" i="2"/>
  <c r="Z350" i="2"/>
  <c r="P350" i="2"/>
  <c r="H350" i="2"/>
  <c r="Z686" i="2"/>
  <c r="P686" i="2"/>
  <c r="H686" i="2"/>
  <c r="Z324" i="2"/>
  <c r="P324" i="2"/>
  <c r="H324" i="2"/>
  <c r="Z642" i="2"/>
  <c r="P642" i="2"/>
  <c r="H642" i="2"/>
  <c r="Z392" i="2"/>
  <c r="P392" i="2"/>
  <c r="H392" i="2"/>
  <c r="Z685" i="2"/>
  <c r="P685" i="2"/>
  <c r="H685" i="2"/>
  <c r="Z444" i="2"/>
  <c r="P444" i="2"/>
  <c r="H444" i="2"/>
  <c r="Z354" i="2"/>
  <c r="P354" i="2"/>
  <c r="H354" i="2"/>
  <c r="Z192" i="2"/>
  <c r="P192" i="2"/>
  <c r="H192" i="2"/>
  <c r="Z279" i="2"/>
  <c r="P279" i="2"/>
  <c r="H279" i="2"/>
  <c r="Z601" i="2"/>
  <c r="P601" i="2"/>
  <c r="H601" i="2"/>
  <c r="Z235" i="2"/>
  <c r="P235" i="2"/>
  <c r="H235" i="2"/>
  <c r="Z55" i="2"/>
  <c r="P55" i="2"/>
  <c r="H55" i="2"/>
  <c r="Z328" i="2"/>
  <c r="P328" i="2"/>
  <c r="H328" i="2"/>
  <c r="Z199" i="2"/>
  <c r="P199" i="2"/>
  <c r="H199" i="2"/>
  <c r="Z506" i="2"/>
  <c r="P506" i="2"/>
  <c r="H506" i="2"/>
  <c r="Z441" i="2"/>
  <c r="P441" i="2"/>
  <c r="H441" i="2"/>
  <c r="Z115" i="2"/>
  <c r="P115" i="2"/>
  <c r="H115" i="2"/>
  <c r="Z632" i="2"/>
  <c r="P632" i="2"/>
  <c r="H632" i="2"/>
  <c r="Z304" i="2"/>
  <c r="P304" i="2"/>
  <c r="H304" i="2"/>
  <c r="Z386" i="2"/>
  <c r="P386" i="2"/>
  <c r="H386" i="2"/>
  <c r="Z456" i="2"/>
  <c r="P456" i="2"/>
  <c r="H456" i="2"/>
  <c r="Z435" i="2"/>
  <c r="P435" i="2"/>
  <c r="H435" i="2"/>
  <c r="Z673" i="2"/>
  <c r="P673" i="2"/>
  <c r="H673" i="2"/>
  <c r="Z408" i="2"/>
  <c r="P408" i="2"/>
  <c r="H408" i="2"/>
  <c r="Z310" i="2"/>
  <c r="P310" i="2"/>
  <c r="H310" i="2"/>
  <c r="Z13" i="2"/>
  <c r="P13" i="2"/>
  <c r="H13" i="2"/>
  <c r="Z496" i="2"/>
  <c r="P496" i="2"/>
  <c r="H496" i="2"/>
  <c r="Z492" i="2"/>
  <c r="P492" i="2"/>
  <c r="H492" i="2"/>
  <c r="Z229" i="2"/>
  <c r="P229" i="2"/>
  <c r="H229" i="2"/>
  <c r="Z343" i="2"/>
  <c r="P343" i="2"/>
  <c r="H343" i="2"/>
  <c r="Z439" i="2"/>
  <c r="P439" i="2"/>
  <c r="H439" i="2"/>
  <c r="Z349" i="2"/>
  <c r="P349" i="2"/>
  <c r="H349" i="2"/>
  <c r="Z194" i="2"/>
  <c r="P194" i="2"/>
  <c r="H194" i="2"/>
  <c r="Z684" i="2"/>
  <c r="P684" i="2"/>
  <c r="H684" i="2"/>
  <c r="Z663" i="2"/>
  <c r="P663" i="2"/>
  <c r="H663" i="2"/>
  <c r="Z562" i="2"/>
  <c r="P562" i="2"/>
  <c r="H562" i="2"/>
  <c r="Z587" i="2"/>
  <c r="P587" i="2"/>
  <c r="H587" i="2"/>
  <c r="Z480" i="2"/>
  <c r="P480" i="2"/>
  <c r="H480" i="2"/>
  <c r="Z213" i="2"/>
  <c r="P213" i="2"/>
  <c r="H213" i="2"/>
  <c r="Z437" i="2"/>
  <c r="P437" i="2"/>
  <c r="H437" i="2"/>
  <c r="Z514" i="2"/>
  <c r="P514" i="2"/>
  <c r="H514" i="2"/>
  <c r="Z502" i="2"/>
  <c r="P502" i="2"/>
  <c r="H502" i="2"/>
  <c r="Z580" i="2"/>
  <c r="P580" i="2"/>
  <c r="H580" i="2"/>
  <c r="Z694" i="2"/>
  <c r="P694" i="2"/>
  <c r="H694" i="2"/>
  <c r="Z605" i="2"/>
  <c r="P605" i="2"/>
  <c r="H605" i="2"/>
  <c r="Z604" i="2"/>
  <c r="P604" i="2"/>
  <c r="H604" i="2"/>
  <c r="Z621" i="2"/>
  <c r="P621" i="2"/>
  <c r="H621" i="2"/>
  <c r="Z620" i="2"/>
  <c r="P620" i="2"/>
  <c r="H620" i="2"/>
  <c r="Z607" i="2"/>
  <c r="P607" i="2"/>
  <c r="H607" i="2"/>
  <c r="Z619" i="2"/>
  <c r="P619" i="2"/>
  <c r="H619" i="2"/>
  <c r="B14" i="1"/>
  <c r="B12" i="1"/>
  <c r="B11" i="1"/>
  <c r="B10" i="1"/>
  <c r="G9" i="1"/>
  <c r="F9" i="1"/>
  <c r="E9" i="1"/>
  <c r="B9" i="1"/>
  <c r="G8" i="1"/>
  <c r="G10" i="1" s="1"/>
  <c r="F8" i="1"/>
  <c r="E8" i="1"/>
  <c r="B8" i="1"/>
  <c r="B13" i="1" l="1"/>
  <c r="E10" i="1"/>
  <c r="F10" i="1"/>
</calcChain>
</file>

<file path=xl/sharedStrings.xml><?xml version="1.0" encoding="utf-8"?>
<sst xmlns="http://schemas.openxmlformats.org/spreadsheetml/2006/main" count="3554" uniqueCount="1478">
  <si>
    <t>Binance Spot Universe Exploration</t>
  </si>
  <si>
    <t>Coverage: all Binance spot symbols quoted in USD or USDT. Values represent an exploratory snapshot, not a final asset-selection rule.</t>
  </si>
  <si>
    <t>Ticker snapshot (UTC)</t>
  </si>
  <si>
    <t>Metric</t>
  </si>
  <si>
    <t>Value</t>
  </si>
  <si>
    <t>Quote Asset</t>
  </si>
  <si>
    <t>Pairs</t>
  </si>
  <si>
    <t>Trading</t>
  </si>
  <si>
    <t>Current Liquidity</t>
  </si>
  <si>
    <t>Total pairs</t>
  </si>
  <si>
    <t>USD</t>
  </si>
  <si>
    <t>Trading pairs</t>
  </si>
  <si>
    <t>USDT</t>
  </si>
  <si>
    <t>Break pairs</t>
  </si>
  <si>
    <t>Total</t>
  </si>
  <si>
    <t>USD pairs</t>
  </si>
  <si>
    <t>USDT pairs</t>
  </si>
  <si>
    <t>Pairs with current liquidity data</t>
  </si>
  <si>
    <t>Earliest daily candle (UTC)</t>
  </si>
  <si>
    <t>How to use this workbook</t>
  </si>
  <si>
    <t>1. Filter the Market Universe sheet by Status and Quote Asset.</t>
  </si>
  <si>
    <t>2. Compare 24h Quote Volume, 24h Trades, and Midpoint Spread as current liquidity indicators.</t>
  </si>
  <si>
    <t>3. Use Earliest Daily Open to identify the available history for each pair.</t>
  </si>
  <si>
    <t>4. Define and approve eligibility thresholds before creating a research configuration.</t>
  </si>
  <si>
    <t>Binance Spot Market Universe: USD and USDT Quote Assets</t>
  </si>
  <si>
    <t>Exploratory snapshot. The workbook includes active and historical spot symbols; no final research eligibility rule has been applied.</t>
  </si>
  <si>
    <t>Rows</t>
  </si>
  <si>
    <t>Symbol</t>
  </si>
  <si>
    <t>Base Asset</t>
  </si>
  <si>
    <t>Status</t>
  </si>
  <si>
    <t>Spot Trading Allowed</t>
  </si>
  <si>
    <t>Earliest Daily Open (UTC)</t>
  </si>
  <si>
    <t>Earliest Daily Close (UTC)</t>
  </si>
  <si>
    <t>History (Years)</t>
  </si>
  <si>
    <t>Last Price (Quote Asset)</t>
  </si>
  <si>
    <t>24h Change</t>
  </si>
  <si>
    <t>24h Base Volume</t>
  </si>
  <si>
    <t>24h Quote Volume</t>
  </si>
  <si>
    <t>24h Trades</t>
  </si>
  <si>
    <t>Best Bid</t>
  </si>
  <si>
    <t>Best Ask</t>
  </si>
  <si>
    <t>Midpoint Spread</t>
  </si>
  <si>
    <t>Weighted Average Price</t>
  </si>
  <si>
    <t>24h High</t>
  </si>
  <si>
    <t>24h Low</t>
  </si>
  <si>
    <t>Ticker Window Start (UTC)</t>
  </si>
  <si>
    <t>Ticker Snapshot (UTC)</t>
  </si>
  <si>
    <t>Minimum Notional</t>
  </si>
  <si>
    <t>Minimum Quantity</t>
  </si>
  <si>
    <t>Quantity Step Size</t>
  </si>
  <si>
    <t>Price Tick Size</t>
  </si>
  <si>
    <t>Current Liquidity Available</t>
  </si>
  <si>
    <t>Source URL</t>
  </si>
  <si>
    <t>BNBUSD</t>
  </si>
  <si>
    <t>BNB</t>
  </si>
  <si>
    <t>TRADING</t>
  </si>
  <si>
    <t>https://developers.binance.com/en/docs/catalog/core-trading-spot-trading/api/rest-api</t>
  </si>
  <si>
    <t>BTCUSD</t>
  </si>
  <si>
    <t>BTC</t>
  </si>
  <si>
    <t>ETHUSD</t>
  </si>
  <si>
    <t>ETH</t>
  </si>
  <si>
    <t>SOLUSD</t>
  </si>
  <si>
    <t>SOL</t>
  </si>
  <si>
    <t>USDCUSD</t>
  </si>
  <si>
    <t>USDC</t>
  </si>
  <si>
    <t>USDTUSD</t>
  </si>
  <si>
    <t>UUSD</t>
  </si>
  <si>
    <t>U</t>
  </si>
  <si>
    <t>0GUSDT</t>
  </si>
  <si>
    <t>0G</t>
  </si>
  <si>
    <t>1000CATUSDT</t>
  </si>
  <si>
    <t>1000CAT</t>
  </si>
  <si>
    <t>1000CHEEMSUSDT</t>
  </si>
  <si>
    <t>1000CHEEMS</t>
  </si>
  <si>
    <t>1000SATSUSDT</t>
  </si>
  <si>
    <t>1000SATS</t>
  </si>
  <si>
    <t>1INCHUSDT</t>
  </si>
  <si>
    <t>1INCH</t>
  </si>
  <si>
    <t>1MBABYDOGEUSDT</t>
  </si>
  <si>
    <t>1MBABYDOGE</t>
  </si>
  <si>
    <t>2ZUSDT</t>
  </si>
  <si>
    <t>2Z</t>
  </si>
  <si>
    <t>A2ZUSDT</t>
  </si>
  <si>
    <t>A2Z</t>
  </si>
  <si>
    <t>BREAK</t>
  </si>
  <si>
    <t>AAOIBUSDT</t>
  </si>
  <si>
    <t>AAOIB</t>
  </si>
  <si>
    <t>AAPLBUSDT</t>
  </si>
  <si>
    <t>AAPLB</t>
  </si>
  <si>
    <t>AAVEUSDT</t>
  </si>
  <si>
    <t>AAVE</t>
  </si>
  <si>
    <t>ACAUSDT</t>
  </si>
  <si>
    <t>ACA</t>
  </si>
  <si>
    <t>ACEUSDT</t>
  </si>
  <si>
    <t>ACE</t>
  </si>
  <si>
    <t>ACHUSDT</t>
  </si>
  <si>
    <t>ACH</t>
  </si>
  <si>
    <t>ACMUSDT</t>
  </si>
  <si>
    <t>ACM</t>
  </si>
  <si>
    <t>ACTUSDT</t>
  </si>
  <si>
    <t>ACT</t>
  </si>
  <si>
    <t>ACXUSDT</t>
  </si>
  <si>
    <t>ACX</t>
  </si>
  <si>
    <t>ADAUSDT</t>
  </si>
  <si>
    <t>ADA</t>
  </si>
  <si>
    <t>ADXUSDT</t>
  </si>
  <si>
    <t>ADX</t>
  </si>
  <si>
    <t>AERGOUSDT</t>
  </si>
  <si>
    <t>AERGO</t>
  </si>
  <si>
    <t>AEROUSDT</t>
  </si>
  <si>
    <t>AERO</t>
  </si>
  <si>
    <t>AEURUSDT</t>
  </si>
  <si>
    <t>AEUR</t>
  </si>
  <si>
    <t>AEVOUSDT</t>
  </si>
  <si>
    <t>AEVO</t>
  </si>
  <si>
    <t>AGIXUSDT</t>
  </si>
  <si>
    <t>AGIX</t>
  </si>
  <si>
    <t>AGLDUSDT</t>
  </si>
  <si>
    <t>AGLD</t>
  </si>
  <si>
    <t>AIGENSYNUSDT</t>
  </si>
  <si>
    <t>AIGENSYN</t>
  </si>
  <si>
    <t>AIONUSDT</t>
  </si>
  <si>
    <t>AION</t>
  </si>
  <si>
    <t>AIUSDT</t>
  </si>
  <si>
    <t>AI</t>
  </si>
  <si>
    <t>AIXBTUSDT</t>
  </si>
  <si>
    <t>AIXBT</t>
  </si>
  <si>
    <t>AKROUSDT</t>
  </si>
  <si>
    <t>AKRO</t>
  </si>
  <si>
    <t>ALCXUSDT</t>
  </si>
  <si>
    <t>ALCX</t>
  </si>
  <si>
    <t>ALGOUSDT</t>
  </si>
  <si>
    <t>ALGO</t>
  </si>
  <si>
    <t>ALICEUSDT</t>
  </si>
  <si>
    <t>ALICE</t>
  </si>
  <si>
    <t>ALLOUSDT</t>
  </si>
  <si>
    <t>ALLO</t>
  </si>
  <si>
    <t>ALPACAUSDT</t>
  </si>
  <si>
    <t>ALPACA</t>
  </si>
  <si>
    <t>ALPHAUSDT</t>
  </si>
  <si>
    <t>ALPHA</t>
  </si>
  <si>
    <t>ALPINEUSDT</t>
  </si>
  <si>
    <t>ALPINE</t>
  </si>
  <si>
    <t>ALTUSDT</t>
  </si>
  <si>
    <t>ALT</t>
  </si>
  <si>
    <t>AMATBUSDT</t>
  </si>
  <si>
    <t>AMATB</t>
  </si>
  <si>
    <t>AMBUSDT</t>
  </si>
  <si>
    <t>AMB</t>
  </si>
  <si>
    <t>AMDBUSDT</t>
  </si>
  <si>
    <t>AMDB</t>
  </si>
  <si>
    <t>AMPUSDT</t>
  </si>
  <si>
    <t>AMP</t>
  </si>
  <si>
    <t>AMZNBUSDT</t>
  </si>
  <si>
    <t>AMZNB</t>
  </si>
  <si>
    <t>ANCUSDT</t>
  </si>
  <si>
    <t>ANC</t>
  </si>
  <si>
    <t>ANIMEUSDT</t>
  </si>
  <si>
    <t>ANIME</t>
  </si>
  <si>
    <t>ANKRUSDT</t>
  </si>
  <si>
    <t>ANKR</t>
  </si>
  <si>
    <t>ANTUSDT</t>
  </si>
  <si>
    <t>ANT</t>
  </si>
  <si>
    <t>ANYUSDT</t>
  </si>
  <si>
    <t>ANY</t>
  </si>
  <si>
    <t>APEUSDT</t>
  </si>
  <si>
    <t>APE</t>
  </si>
  <si>
    <t>API3USDT</t>
  </si>
  <si>
    <t>API3</t>
  </si>
  <si>
    <t>APTUSDT</t>
  </si>
  <si>
    <t>APT</t>
  </si>
  <si>
    <t>ARBUSDT</t>
  </si>
  <si>
    <t>ARB</t>
  </si>
  <si>
    <t>ARDRUSDT</t>
  </si>
  <si>
    <t>ARDR</t>
  </si>
  <si>
    <t>ARKMUSDT</t>
  </si>
  <si>
    <t>ARKM</t>
  </si>
  <si>
    <t>ARKUSDT</t>
  </si>
  <si>
    <t>ARK</t>
  </si>
  <si>
    <t>ARMBUSDT</t>
  </si>
  <si>
    <t>ARMB</t>
  </si>
  <si>
    <t>ARPAUSDT</t>
  </si>
  <si>
    <t>ARPA</t>
  </si>
  <si>
    <t>ARUSDT</t>
  </si>
  <si>
    <t>AR</t>
  </si>
  <si>
    <t>ASRUSDT</t>
  </si>
  <si>
    <t>ASR</t>
  </si>
  <si>
    <t>ASTERUSDT</t>
  </si>
  <si>
    <t>ASTER</t>
  </si>
  <si>
    <t>ASTRUSDT</t>
  </si>
  <si>
    <t>ASTR</t>
  </si>
  <si>
    <t>ASTUSDT</t>
  </si>
  <si>
    <t>AST</t>
  </si>
  <si>
    <t>ATAUSDT</t>
  </si>
  <si>
    <t>ATA</t>
  </si>
  <si>
    <t>ATMUSDT</t>
  </si>
  <si>
    <t>ATM</t>
  </si>
  <si>
    <t>ATOMUSDT</t>
  </si>
  <si>
    <t>ATOM</t>
  </si>
  <si>
    <t>ATUSDT</t>
  </si>
  <si>
    <t>AT</t>
  </si>
  <si>
    <t>AUCTIONUSDT</t>
  </si>
  <si>
    <t>AUCTION</t>
  </si>
  <si>
    <t>AUDIOUSDT</t>
  </si>
  <si>
    <t>AUDIO</t>
  </si>
  <si>
    <t>AUDUSDT</t>
  </si>
  <si>
    <t>AUD</t>
  </si>
  <si>
    <t>AUSDT</t>
  </si>
  <si>
    <t>A</t>
  </si>
  <si>
    <t>AUTOUSDT</t>
  </si>
  <si>
    <t>AUTO</t>
  </si>
  <si>
    <t>AVAUSDT</t>
  </si>
  <si>
    <t>AVA</t>
  </si>
  <si>
    <t>AVAXUSDT</t>
  </si>
  <si>
    <t>AVAX</t>
  </si>
  <si>
    <t>AVGOBUSDT</t>
  </si>
  <si>
    <t>AVGOB</t>
  </si>
  <si>
    <t>AVNTUSDT</t>
  </si>
  <si>
    <t>AVNT</t>
  </si>
  <si>
    <t>AWEUSDT</t>
  </si>
  <si>
    <t>AWE</t>
  </si>
  <si>
    <t>AXLUSDT</t>
  </si>
  <si>
    <t>AXL</t>
  </si>
  <si>
    <t>AXSUSDT</t>
  </si>
  <si>
    <t>AXS</t>
  </si>
  <si>
    <t>AXTIBUSDT</t>
  </si>
  <si>
    <t>AXTIB</t>
  </si>
  <si>
    <t>BABABUSDT</t>
  </si>
  <si>
    <t>BABAB</t>
  </si>
  <si>
    <t>BABYUSDT</t>
  </si>
  <si>
    <t>BABY</t>
  </si>
  <si>
    <t>BADGERUSDT</t>
  </si>
  <si>
    <t>BADGER</t>
  </si>
  <si>
    <t>BAKEUSDT</t>
  </si>
  <si>
    <t>BAKE</t>
  </si>
  <si>
    <t>BALUSDT</t>
  </si>
  <si>
    <t>BAL</t>
  </si>
  <si>
    <t>BANANAS31USDT</t>
  </si>
  <si>
    <t>BANANAS31</t>
  </si>
  <si>
    <t>BANANAUSDT</t>
  </si>
  <si>
    <t>BANANA</t>
  </si>
  <si>
    <t>BANDUSDT</t>
  </si>
  <si>
    <t>BAND</t>
  </si>
  <si>
    <t>BANKUSDT</t>
  </si>
  <si>
    <t>BANK</t>
  </si>
  <si>
    <t>BARDUSDT</t>
  </si>
  <si>
    <t>BARD</t>
  </si>
  <si>
    <t>BARUSDT</t>
  </si>
  <si>
    <t>BAR</t>
  </si>
  <si>
    <t>BATUSDT</t>
  </si>
  <si>
    <t>BAT</t>
  </si>
  <si>
    <t>BBUSDT</t>
  </si>
  <si>
    <t>BB</t>
  </si>
  <si>
    <t>BCCUSDT</t>
  </si>
  <si>
    <t>BCC</t>
  </si>
  <si>
    <t>BCHABCUSDT</t>
  </si>
  <si>
    <t>BCHABC</t>
  </si>
  <si>
    <t>BCHSVUSDT</t>
  </si>
  <si>
    <t>BCHSV</t>
  </si>
  <si>
    <t>BCHUSDT</t>
  </si>
  <si>
    <t>BCH</t>
  </si>
  <si>
    <t>BEAMUSDT</t>
  </si>
  <si>
    <t>BEAM</t>
  </si>
  <si>
    <t>BEAMXUSDT</t>
  </si>
  <si>
    <t>BEAMX</t>
  </si>
  <si>
    <t>BEARUSDT</t>
  </si>
  <si>
    <t>BEAR</t>
  </si>
  <si>
    <t>BEBUSDT</t>
  </si>
  <si>
    <t>BEB</t>
  </si>
  <si>
    <t>BELUSDT</t>
  </si>
  <si>
    <t>BEL</t>
  </si>
  <si>
    <t>BERAUSDT</t>
  </si>
  <si>
    <t>BERA</t>
  </si>
  <si>
    <t>BETAUSDT</t>
  </si>
  <si>
    <t>BETA</t>
  </si>
  <si>
    <t>BETHUSDT</t>
  </si>
  <si>
    <t>BETH</t>
  </si>
  <si>
    <t>BFUSDUSDT</t>
  </si>
  <si>
    <t>BFUSD</t>
  </si>
  <si>
    <t>BICOUSDT</t>
  </si>
  <si>
    <t>BICO</t>
  </si>
  <si>
    <t>BIFIUSDT</t>
  </si>
  <si>
    <t>BIFI</t>
  </si>
  <si>
    <t>BIGTIMEUSDT</t>
  </si>
  <si>
    <t>BIGTIME</t>
  </si>
  <si>
    <t>BIOUSDT</t>
  </si>
  <si>
    <t>BIO</t>
  </si>
  <si>
    <t>BKRWUSDT</t>
  </si>
  <si>
    <t>BKRW</t>
  </si>
  <si>
    <t>BLURUSDT</t>
  </si>
  <si>
    <t>BLUR</t>
  </si>
  <si>
    <t>BLZUSDT</t>
  </si>
  <si>
    <t>BLZ</t>
  </si>
  <si>
    <t>BMTUSDT</t>
  </si>
  <si>
    <t>BMT</t>
  </si>
  <si>
    <t>BNBBEARUSDT</t>
  </si>
  <si>
    <t>BNBBEAR</t>
  </si>
  <si>
    <t>BNBBULLUSDT</t>
  </si>
  <si>
    <t>BNBBULL</t>
  </si>
  <si>
    <t>BNBUSDT</t>
  </si>
  <si>
    <t>BNSOLUSDT</t>
  </si>
  <si>
    <t>BNSOL</t>
  </si>
  <si>
    <t>BNTUSDT</t>
  </si>
  <si>
    <t>BNT</t>
  </si>
  <si>
    <t>BNXUSDT</t>
  </si>
  <si>
    <t>BNX</t>
  </si>
  <si>
    <t>BOMEUSDT</t>
  </si>
  <si>
    <t>BOME</t>
  </si>
  <si>
    <t>BONDUSDT</t>
  </si>
  <si>
    <t>BOND</t>
  </si>
  <si>
    <t>BONKUSDT</t>
  </si>
  <si>
    <t>BONK</t>
  </si>
  <si>
    <t>BREVUSDT</t>
  </si>
  <si>
    <t>BREV</t>
  </si>
  <si>
    <t>BROCCOLI714USDT</t>
  </si>
  <si>
    <t>BROCCOLI714</t>
  </si>
  <si>
    <t>BSWUSDT</t>
  </si>
  <si>
    <t>BSW</t>
  </si>
  <si>
    <t>BTCSTUSDT</t>
  </si>
  <si>
    <t>BTCST</t>
  </si>
  <si>
    <t>BTCUSDT</t>
  </si>
  <si>
    <t>BTGUSDT</t>
  </si>
  <si>
    <t>BTG</t>
  </si>
  <si>
    <t>BTSUSDT</t>
  </si>
  <si>
    <t>BTS</t>
  </si>
  <si>
    <t>BTTCUSDT</t>
  </si>
  <si>
    <t>BTTC</t>
  </si>
  <si>
    <t>BTTUSDT</t>
  </si>
  <si>
    <t>BTT</t>
  </si>
  <si>
    <t>BULLUSDT</t>
  </si>
  <si>
    <t>BULL</t>
  </si>
  <si>
    <t>BURGERUSDT</t>
  </si>
  <si>
    <t>BURGER</t>
  </si>
  <si>
    <t>BUSDUSDT</t>
  </si>
  <si>
    <t>BUSD</t>
  </si>
  <si>
    <t>BZRXUSDT</t>
  </si>
  <si>
    <t>BZRX</t>
  </si>
  <si>
    <t>C98USDT</t>
  </si>
  <si>
    <t>C98</t>
  </si>
  <si>
    <t>CAKEUSDT</t>
  </si>
  <si>
    <t>CAKE</t>
  </si>
  <si>
    <t>CATIUSDT</t>
  </si>
  <si>
    <t>CATI</t>
  </si>
  <si>
    <t>CBRSBUSDT</t>
  </si>
  <si>
    <t>CBRSB</t>
  </si>
  <si>
    <t>CELOUSDT</t>
  </si>
  <si>
    <t>CELO</t>
  </si>
  <si>
    <t>CELRUSDT</t>
  </si>
  <si>
    <t>CELR</t>
  </si>
  <si>
    <t>CETUSUSDT</t>
  </si>
  <si>
    <t>CETUS</t>
  </si>
  <si>
    <t>CFGUSDT</t>
  </si>
  <si>
    <t>CFG</t>
  </si>
  <si>
    <t>CFXUSDT</t>
  </si>
  <si>
    <t>CFX</t>
  </si>
  <si>
    <t>CGPTUSDT</t>
  </si>
  <si>
    <t>CGPT</t>
  </si>
  <si>
    <t>CHESSUSDT</t>
  </si>
  <si>
    <t>CHESS</t>
  </si>
  <si>
    <t>CHIPUSDT</t>
  </si>
  <si>
    <t>CHIP</t>
  </si>
  <si>
    <t>CHRUSDT</t>
  </si>
  <si>
    <t>CHR</t>
  </si>
  <si>
    <t>CHZUSDT</t>
  </si>
  <si>
    <t>CHZ</t>
  </si>
  <si>
    <t>CITYUSDT</t>
  </si>
  <si>
    <t>CITY</t>
  </si>
  <si>
    <t>CKBUSDT</t>
  </si>
  <si>
    <t>CKB</t>
  </si>
  <si>
    <t>CLVUSDT</t>
  </si>
  <si>
    <t>CLV</t>
  </si>
  <si>
    <t>COCOSUSDT</t>
  </si>
  <si>
    <t>COCOS</t>
  </si>
  <si>
    <t>COINBUSDT</t>
  </si>
  <si>
    <t>COINB</t>
  </si>
  <si>
    <t>COMBOUSDT</t>
  </si>
  <si>
    <t>COMBO</t>
  </si>
  <si>
    <t>COMPUSDT</t>
  </si>
  <si>
    <t>COMP</t>
  </si>
  <si>
    <t>COOKIEUSDT</t>
  </si>
  <si>
    <t>COOKIE</t>
  </si>
  <si>
    <t>COSUSDT</t>
  </si>
  <si>
    <t>COS</t>
  </si>
  <si>
    <t>COTIUSDT</t>
  </si>
  <si>
    <t>COTI</t>
  </si>
  <si>
    <t>COWUSDT</t>
  </si>
  <si>
    <t>COW</t>
  </si>
  <si>
    <t>CRCLBUSDT</t>
  </si>
  <si>
    <t>CRCLB</t>
  </si>
  <si>
    <t>CREAMUSDT</t>
  </si>
  <si>
    <t>CREAM</t>
  </si>
  <si>
    <t>CRVUSDT</t>
  </si>
  <si>
    <t>CRV</t>
  </si>
  <si>
    <t>CRWVBUSDT</t>
  </si>
  <si>
    <t>CRWVB</t>
  </si>
  <si>
    <t>CTKUSDT</t>
  </si>
  <si>
    <t>CTK</t>
  </si>
  <si>
    <t>CTSIUSDT</t>
  </si>
  <si>
    <t>CTSI</t>
  </si>
  <si>
    <t>CTXCUSDT</t>
  </si>
  <si>
    <t>CTXC</t>
  </si>
  <si>
    <t>CUSDT</t>
  </si>
  <si>
    <t>C</t>
  </si>
  <si>
    <t>CVCUSDT</t>
  </si>
  <si>
    <t>CVC</t>
  </si>
  <si>
    <t>CVPUSDT</t>
  </si>
  <si>
    <t>CVP</t>
  </si>
  <si>
    <t>CVXUSDT</t>
  </si>
  <si>
    <t>CVX</t>
  </si>
  <si>
    <t>CYBERUSDT</t>
  </si>
  <si>
    <t>CYBER</t>
  </si>
  <si>
    <t>DAIUSDT</t>
  </si>
  <si>
    <t>DAI</t>
  </si>
  <si>
    <t>DARUSDT</t>
  </si>
  <si>
    <t>DAR</t>
  </si>
  <si>
    <t>DASHUSDT</t>
  </si>
  <si>
    <t>DASH</t>
  </si>
  <si>
    <t>DATAUSDT</t>
  </si>
  <si>
    <t>DATA</t>
  </si>
  <si>
    <t>DCRUSDT</t>
  </si>
  <si>
    <t>DCR</t>
  </si>
  <si>
    <t>DEGOUSDT</t>
  </si>
  <si>
    <t>DEGO</t>
  </si>
  <si>
    <t>DELLBUSDT</t>
  </si>
  <si>
    <t>DELLB</t>
  </si>
  <si>
    <t>DENTUSDT</t>
  </si>
  <si>
    <t>DENT</t>
  </si>
  <si>
    <t>DEXEUSDT</t>
  </si>
  <si>
    <t>DEXE</t>
  </si>
  <si>
    <t>DFUSDT</t>
  </si>
  <si>
    <t>DF</t>
  </si>
  <si>
    <t>DGBUSDT</t>
  </si>
  <si>
    <t>DGB</t>
  </si>
  <si>
    <t>DIAUSDT</t>
  </si>
  <si>
    <t>DIA</t>
  </si>
  <si>
    <t>DNTUSDT</t>
  </si>
  <si>
    <t>DNT</t>
  </si>
  <si>
    <t>DOCKUSDT</t>
  </si>
  <si>
    <t>DOCK</t>
  </si>
  <si>
    <t>DODOUSDT</t>
  </si>
  <si>
    <t>DODO</t>
  </si>
  <si>
    <t>DOGEUSDT</t>
  </si>
  <si>
    <t>DOGE</t>
  </si>
  <si>
    <t>DOGSUSDT</t>
  </si>
  <si>
    <t>DOGS</t>
  </si>
  <si>
    <t>DOLOUSDT</t>
  </si>
  <si>
    <t>DOLO</t>
  </si>
  <si>
    <t>DOTUSDT</t>
  </si>
  <si>
    <t>DOT</t>
  </si>
  <si>
    <t>DRAMBUSDT</t>
  </si>
  <si>
    <t>DRAMB</t>
  </si>
  <si>
    <t>DREPUSDT</t>
  </si>
  <si>
    <t>DREP</t>
  </si>
  <si>
    <t>DUSDT</t>
  </si>
  <si>
    <t>D</t>
  </si>
  <si>
    <t>DUSKUSDT</t>
  </si>
  <si>
    <t>DUSK</t>
  </si>
  <si>
    <t>DYDXUSDT</t>
  </si>
  <si>
    <t>DYDX</t>
  </si>
  <si>
    <t>DYMUSDT</t>
  </si>
  <si>
    <t>DYM</t>
  </si>
  <si>
    <t>EDENUSDT</t>
  </si>
  <si>
    <t>EDEN</t>
  </si>
  <si>
    <t>EDUUSDT</t>
  </si>
  <si>
    <t>EDU</t>
  </si>
  <si>
    <t>EGLDUSDT</t>
  </si>
  <si>
    <t>EGLD</t>
  </si>
  <si>
    <t>EIGENUSDT</t>
  </si>
  <si>
    <t>EIGEN</t>
  </si>
  <si>
    <t>ELFUSDT</t>
  </si>
  <si>
    <t>ELF</t>
  </si>
  <si>
    <t>ENAUSDT</t>
  </si>
  <si>
    <t>ENA</t>
  </si>
  <si>
    <t>ENJUSDT</t>
  </si>
  <si>
    <t>ENJ</t>
  </si>
  <si>
    <t>ENSOUSDT</t>
  </si>
  <si>
    <t>ENSO</t>
  </si>
  <si>
    <t>ENSUSDT</t>
  </si>
  <si>
    <t>ENS</t>
  </si>
  <si>
    <t>EOSBEARUSDT</t>
  </si>
  <si>
    <t>EOSBEAR</t>
  </si>
  <si>
    <t>EOSBULLUSDT</t>
  </si>
  <si>
    <t>EOSBULL</t>
  </si>
  <si>
    <t>EOSUSDT</t>
  </si>
  <si>
    <t>EOS</t>
  </si>
  <si>
    <t>EPICUSDT</t>
  </si>
  <si>
    <t>EPIC</t>
  </si>
  <si>
    <t>EPSUSDT</t>
  </si>
  <si>
    <t>EPS</t>
  </si>
  <si>
    <t>EPXUSDT</t>
  </si>
  <si>
    <t>EPX</t>
  </si>
  <si>
    <t>ERAUSDT</t>
  </si>
  <si>
    <t>ERA</t>
  </si>
  <si>
    <t>ERDUSDT</t>
  </si>
  <si>
    <t>ERD</t>
  </si>
  <si>
    <t>ERNUSDT</t>
  </si>
  <si>
    <t>ERN</t>
  </si>
  <si>
    <t>ESPUSDT</t>
  </si>
  <si>
    <t>ESP</t>
  </si>
  <si>
    <t>ETCUSDT</t>
  </si>
  <si>
    <t>ETC</t>
  </si>
  <si>
    <t>ETHBEARUSDT</t>
  </si>
  <si>
    <t>ETHBEAR</t>
  </si>
  <si>
    <t>ETHBULLUSDT</t>
  </si>
  <si>
    <t>ETHBULL</t>
  </si>
  <si>
    <t>ETHFIUSDT</t>
  </si>
  <si>
    <t>ETHFI</t>
  </si>
  <si>
    <t>ETHUSDT</t>
  </si>
  <si>
    <t>EULUSDT</t>
  </si>
  <si>
    <t>EUL</t>
  </si>
  <si>
    <t>EURIUSDT</t>
  </si>
  <si>
    <t>EURI</t>
  </si>
  <si>
    <t>EURUSDT</t>
  </si>
  <si>
    <t>EUR</t>
  </si>
  <si>
    <t>EWYBUSDT</t>
  </si>
  <si>
    <t>EWYB</t>
  </si>
  <si>
    <t>FARMUSDT</t>
  </si>
  <si>
    <t>FARM</t>
  </si>
  <si>
    <t>FDUSDUSDT</t>
  </si>
  <si>
    <t>FDUSD</t>
  </si>
  <si>
    <t>FETUSDT</t>
  </si>
  <si>
    <t>FET</t>
  </si>
  <si>
    <t>FFUSDT</t>
  </si>
  <si>
    <t>FF</t>
  </si>
  <si>
    <t>FIDAUSDT</t>
  </si>
  <si>
    <t>FIDA</t>
  </si>
  <si>
    <t>FILUSDT</t>
  </si>
  <si>
    <t>FIL</t>
  </si>
  <si>
    <t>FIOUSDT</t>
  </si>
  <si>
    <t>FIO</t>
  </si>
  <si>
    <t>FIROUSDT</t>
  </si>
  <si>
    <t>FIRO</t>
  </si>
  <si>
    <t>FISUSDT</t>
  </si>
  <si>
    <t>FIS</t>
  </si>
  <si>
    <t>FLMUSDT</t>
  </si>
  <si>
    <t>FLM</t>
  </si>
  <si>
    <t>FLNCBUSDT</t>
  </si>
  <si>
    <t>FLNCB</t>
  </si>
  <si>
    <t>FLOKIUSDT</t>
  </si>
  <si>
    <t>FLOKI</t>
  </si>
  <si>
    <t>FLOWUSDT</t>
  </si>
  <si>
    <t>FLOW</t>
  </si>
  <si>
    <t>FLUXUSDT</t>
  </si>
  <si>
    <t>FLUX</t>
  </si>
  <si>
    <t>FOGOUSDT</t>
  </si>
  <si>
    <t>FOGO</t>
  </si>
  <si>
    <t>FORMUSDT</t>
  </si>
  <si>
    <t>FORM</t>
  </si>
  <si>
    <t>FORTHUSDT</t>
  </si>
  <si>
    <t>FORTH</t>
  </si>
  <si>
    <t>FORUSDT</t>
  </si>
  <si>
    <t>FOR</t>
  </si>
  <si>
    <t>FRAXUSDT</t>
  </si>
  <si>
    <t>FRAX</t>
  </si>
  <si>
    <t>FRONTUSDT</t>
  </si>
  <si>
    <t>FRONT</t>
  </si>
  <si>
    <t>FTMUSDT</t>
  </si>
  <si>
    <t>FTM</t>
  </si>
  <si>
    <t>FTTUSDT</t>
  </si>
  <si>
    <t>FTT</t>
  </si>
  <si>
    <t>FUNUSDT</t>
  </si>
  <si>
    <t>FUN</t>
  </si>
  <si>
    <t>FUSDT</t>
  </si>
  <si>
    <t>F</t>
  </si>
  <si>
    <t>FXSUSDT</t>
  </si>
  <si>
    <t>FXS</t>
  </si>
  <si>
    <t>GALAUSDT</t>
  </si>
  <si>
    <t>GALA</t>
  </si>
  <si>
    <t>GALUSDT</t>
  </si>
  <si>
    <t>GAL</t>
  </si>
  <si>
    <t>GASUSDT</t>
  </si>
  <si>
    <t>GAS</t>
  </si>
  <si>
    <t>GBPUSDT</t>
  </si>
  <si>
    <t>GBP</t>
  </si>
  <si>
    <t>GENIUSUSDT</t>
  </si>
  <si>
    <t>GENIUS</t>
  </si>
  <si>
    <t>GFTUSDT</t>
  </si>
  <si>
    <t>GFT</t>
  </si>
  <si>
    <t>GHSTUSDT</t>
  </si>
  <si>
    <t>GHST</t>
  </si>
  <si>
    <t>GIGGLEUSDT</t>
  </si>
  <si>
    <t>GIGGLE</t>
  </si>
  <si>
    <t>GLMRUSDT</t>
  </si>
  <si>
    <t>GLMR</t>
  </si>
  <si>
    <t>GLMUSDT</t>
  </si>
  <si>
    <t>GLM</t>
  </si>
  <si>
    <t>GLWBUSDT</t>
  </si>
  <si>
    <t>GLWB</t>
  </si>
  <si>
    <t>GMTUSDT</t>
  </si>
  <si>
    <t>GMT</t>
  </si>
  <si>
    <t>GMXUSDT</t>
  </si>
  <si>
    <t>GMX</t>
  </si>
  <si>
    <t>GNOUSDT</t>
  </si>
  <si>
    <t>GNO</t>
  </si>
  <si>
    <t>GNSUSDT</t>
  </si>
  <si>
    <t>GNS</t>
  </si>
  <si>
    <t>GOOGLBUSDT</t>
  </si>
  <si>
    <t>GOOGLB</t>
  </si>
  <si>
    <t>GPSUSDT</t>
  </si>
  <si>
    <t>GPS</t>
  </si>
  <si>
    <t>GRAMUSDT</t>
  </si>
  <si>
    <t>GRAM</t>
  </si>
  <si>
    <t>GRTUSDT</t>
  </si>
  <si>
    <t>GRT</t>
  </si>
  <si>
    <t>GSBUSDT</t>
  </si>
  <si>
    <t>GSB</t>
  </si>
  <si>
    <t>GTCUSDT</t>
  </si>
  <si>
    <t>GTC</t>
  </si>
  <si>
    <t>GTOUSDT</t>
  </si>
  <si>
    <t>GTO</t>
  </si>
  <si>
    <t>GUNUSDT</t>
  </si>
  <si>
    <t>GUN</t>
  </si>
  <si>
    <t>GUSDT</t>
  </si>
  <si>
    <t>G</t>
  </si>
  <si>
    <t>GXSUSDT</t>
  </si>
  <si>
    <t>GXS</t>
  </si>
  <si>
    <t>HAEDALUSDT</t>
  </si>
  <si>
    <t>HAEDAL</t>
  </si>
  <si>
    <t>HARDUSDT</t>
  </si>
  <si>
    <t>HARD</t>
  </si>
  <si>
    <t>HBARUSDT</t>
  </si>
  <si>
    <t>HBAR</t>
  </si>
  <si>
    <t>HCUSDT</t>
  </si>
  <si>
    <t>HC</t>
  </si>
  <si>
    <t>HEIUSDT</t>
  </si>
  <si>
    <t>HEI</t>
  </si>
  <si>
    <t>HEMIUSDT</t>
  </si>
  <si>
    <t>HEMI</t>
  </si>
  <si>
    <t>HFTUSDT</t>
  </si>
  <si>
    <t>HFT</t>
  </si>
  <si>
    <t>HIFIUSDT</t>
  </si>
  <si>
    <t>HIFI</t>
  </si>
  <si>
    <t>HIGHUSDT</t>
  </si>
  <si>
    <t>HIGH</t>
  </si>
  <si>
    <t>HIVEUSDT</t>
  </si>
  <si>
    <t>HIVE</t>
  </si>
  <si>
    <t>HMSTRUSDT</t>
  </si>
  <si>
    <t>HMSTR</t>
  </si>
  <si>
    <t>HNTUSDT</t>
  </si>
  <si>
    <t>HNT</t>
  </si>
  <si>
    <t>HOLOUSDT</t>
  </si>
  <si>
    <t>HOLO</t>
  </si>
  <si>
    <t>HOMEUSDT</t>
  </si>
  <si>
    <t>HOME</t>
  </si>
  <si>
    <t>HOODBUSDT</t>
  </si>
  <si>
    <t>HOODB</t>
  </si>
  <si>
    <t>HOOKUSDT</t>
  </si>
  <si>
    <t>HOOK</t>
  </si>
  <si>
    <t>HOTUSDT</t>
  </si>
  <si>
    <t>HOT</t>
  </si>
  <si>
    <t>HUMAUSDT</t>
  </si>
  <si>
    <t>HUMA</t>
  </si>
  <si>
    <t>HYPERUSDT</t>
  </si>
  <si>
    <t>HYPER</t>
  </si>
  <si>
    <t>IBMBUSDT</t>
  </si>
  <si>
    <t>IBMB</t>
  </si>
  <si>
    <t>ICPUSDT</t>
  </si>
  <si>
    <t>ICP</t>
  </si>
  <si>
    <t>ICXUSDT</t>
  </si>
  <si>
    <t>ICX</t>
  </si>
  <si>
    <t>IDEXUSDT</t>
  </si>
  <si>
    <t>IDEX</t>
  </si>
  <si>
    <t>IDUSDT</t>
  </si>
  <si>
    <t>ID</t>
  </si>
  <si>
    <t>ILVUSDT</t>
  </si>
  <si>
    <t>ILV</t>
  </si>
  <si>
    <t>IMXUSDT</t>
  </si>
  <si>
    <t>IMX</t>
  </si>
  <si>
    <t>INITUSDT</t>
  </si>
  <si>
    <t>INIT</t>
  </si>
  <si>
    <t>INJUSDT</t>
  </si>
  <si>
    <t>INJ</t>
  </si>
  <si>
    <t>INTCBUSDT</t>
  </si>
  <si>
    <t>INTCB</t>
  </si>
  <si>
    <t>INTWBUSDT</t>
  </si>
  <si>
    <t>INTWB</t>
  </si>
  <si>
    <t>IOSTUSDT</t>
  </si>
  <si>
    <t>IOST</t>
  </si>
  <si>
    <t>IOTAUSDT</t>
  </si>
  <si>
    <t>IOTA</t>
  </si>
  <si>
    <t>IOTXUSDT</t>
  </si>
  <si>
    <t>IOTX</t>
  </si>
  <si>
    <t>IOUSDT</t>
  </si>
  <si>
    <t>IO</t>
  </si>
  <si>
    <t>IQUSDT</t>
  </si>
  <si>
    <t>IQ</t>
  </si>
  <si>
    <t>IRISUSDT</t>
  </si>
  <si>
    <t>IRIS</t>
  </si>
  <si>
    <t>JASMYUSDT</t>
  </si>
  <si>
    <t>JASMY</t>
  </si>
  <si>
    <t>JOEUSDT</t>
  </si>
  <si>
    <t>JOE</t>
  </si>
  <si>
    <t>JSTUSDT</t>
  </si>
  <si>
    <t>JST</t>
  </si>
  <si>
    <t>JTOUSDT</t>
  </si>
  <si>
    <t>JTO</t>
  </si>
  <si>
    <t>JUPUSDT</t>
  </si>
  <si>
    <t>JUP</t>
  </si>
  <si>
    <t>JUVUSDT</t>
  </si>
  <si>
    <t>JUV</t>
  </si>
  <si>
    <t>KAIAUSDT</t>
  </si>
  <si>
    <t>KAIA</t>
  </si>
  <si>
    <t>KAITOUSDT</t>
  </si>
  <si>
    <t>KAITO</t>
  </si>
  <si>
    <t>KATUSDT</t>
  </si>
  <si>
    <t>KAT</t>
  </si>
  <si>
    <t>KAVAUSDT</t>
  </si>
  <si>
    <t>KAVA</t>
  </si>
  <si>
    <t>KDAUSDT</t>
  </si>
  <si>
    <t>KDA</t>
  </si>
  <si>
    <t>KEEPUSDT</t>
  </si>
  <si>
    <t>KEEP</t>
  </si>
  <si>
    <t>KERNELUSDT</t>
  </si>
  <si>
    <t>KERNEL</t>
  </si>
  <si>
    <t>KEYUSDT</t>
  </si>
  <si>
    <t>KEY</t>
  </si>
  <si>
    <t>KGSTUSDT</t>
  </si>
  <si>
    <t>KGST</t>
  </si>
  <si>
    <t>KITEUSDT</t>
  </si>
  <si>
    <t>KITE</t>
  </si>
  <si>
    <t>KLAYUSDT</t>
  </si>
  <si>
    <t>KLAY</t>
  </si>
  <si>
    <t>KMDUSDT</t>
  </si>
  <si>
    <t>KMD</t>
  </si>
  <si>
    <t>KMNOUSDT</t>
  </si>
  <si>
    <t>KMNO</t>
  </si>
  <si>
    <t>KNCUSDT</t>
  </si>
  <si>
    <t>KNC</t>
  </si>
  <si>
    <t>KORUBUSDT</t>
  </si>
  <si>
    <t>KORUB</t>
  </si>
  <si>
    <t>KP3RUSDT</t>
  </si>
  <si>
    <t>KP3R</t>
  </si>
  <si>
    <t>KSMUSDT</t>
  </si>
  <si>
    <t>KSM</t>
  </si>
  <si>
    <t>LAUSDT</t>
  </si>
  <si>
    <t>LA</t>
  </si>
  <si>
    <t>LAYERUSDT</t>
  </si>
  <si>
    <t>LAYER</t>
  </si>
  <si>
    <t>LAZIOUSDT</t>
  </si>
  <si>
    <t>LAZIO</t>
  </si>
  <si>
    <t>LDOUSDT</t>
  </si>
  <si>
    <t>LDO</t>
  </si>
  <si>
    <t>LENDUSDT</t>
  </si>
  <si>
    <t>LEND</t>
  </si>
  <si>
    <t>LEVERUSDT</t>
  </si>
  <si>
    <t>LEVER</t>
  </si>
  <si>
    <t>LINAUSDT</t>
  </si>
  <si>
    <t>LINA</t>
  </si>
  <si>
    <t>LINEAUSDT</t>
  </si>
  <si>
    <t>LINEA</t>
  </si>
  <si>
    <t>LINKUSDT</t>
  </si>
  <si>
    <t>LINK</t>
  </si>
  <si>
    <t>LISTAUSDT</t>
  </si>
  <si>
    <t>LISTA</t>
  </si>
  <si>
    <t>LITEBUSDT</t>
  </si>
  <si>
    <t>LITEB</t>
  </si>
  <si>
    <t>LITUSDT</t>
  </si>
  <si>
    <t>LIT</t>
  </si>
  <si>
    <t>LOKAUSDT</t>
  </si>
  <si>
    <t>LOKA</t>
  </si>
  <si>
    <t>LOOMUSDT</t>
  </si>
  <si>
    <t>LOOM</t>
  </si>
  <si>
    <t>LPTUSDT</t>
  </si>
  <si>
    <t>LPT</t>
  </si>
  <si>
    <t>LQTYUSDT</t>
  </si>
  <si>
    <t>LQTY</t>
  </si>
  <si>
    <t>LRCUSDT</t>
  </si>
  <si>
    <t>LRC</t>
  </si>
  <si>
    <t>LSKUSDT</t>
  </si>
  <si>
    <t>LSK</t>
  </si>
  <si>
    <t>LTCUSDT</t>
  </si>
  <si>
    <t>LTC</t>
  </si>
  <si>
    <t>LTOUSDT</t>
  </si>
  <si>
    <t>LTO</t>
  </si>
  <si>
    <t>LUMIAUSDT</t>
  </si>
  <si>
    <t>LUMIA</t>
  </si>
  <si>
    <t>LUNAUSDT</t>
  </si>
  <si>
    <t>LUNA</t>
  </si>
  <si>
    <t>LUNCUSDT</t>
  </si>
  <si>
    <t>LUNC</t>
  </si>
  <si>
    <t>MAGICUSDT</t>
  </si>
  <si>
    <t>MAGIC</t>
  </si>
  <si>
    <t>MANAUSDT</t>
  </si>
  <si>
    <t>MANA</t>
  </si>
  <si>
    <t>MANTAUSDT</t>
  </si>
  <si>
    <t>MANTA</t>
  </si>
  <si>
    <t>MANTRAUSDT</t>
  </si>
  <si>
    <t>MANTRA</t>
  </si>
  <si>
    <t>MASKUSDT</t>
  </si>
  <si>
    <t>MASK</t>
  </si>
  <si>
    <t>MATICUSDT</t>
  </si>
  <si>
    <t>MATIC</t>
  </si>
  <si>
    <t>MAVUSDT</t>
  </si>
  <si>
    <t>MAV</t>
  </si>
  <si>
    <t>MBLUSDT</t>
  </si>
  <si>
    <t>MBL</t>
  </si>
  <si>
    <t>MBOXUSDT</t>
  </si>
  <si>
    <t>MBOX</t>
  </si>
  <si>
    <t>MCOUSDT</t>
  </si>
  <si>
    <t>MCO</t>
  </si>
  <si>
    <t>MCUSDT</t>
  </si>
  <si>
    <t>MC</t>
  </si>
  <si>
    <t>MDTUSDT</t>
  </si>
  <si>
    <t>MDT</t>
  </si>
  <si>
    <t>MDXUSDT</t>
  </si>
  <si>
    <t>MDX</t>
  </si>
  <si>
    <t>MEGAUSDT</t>
  </si>
  <si>
    <t>MEGA</t>
  </si>
  <si>
    <t>MEMEUSDT</t>
  </si>
  <si>
    <t>MEME</t>
  </si>
  <si>
    <t>METABUSDT</t>
  </si>
  <si>
    <t>METAB</t>
  </si>
  <si>
    <t>METISUSDT</t>
  </si>
  <si>
    <t>METIS</t>
  </si>
  <si>
    <t>METUSDT</t>
  </si>
  <si>
    <t>MET</t>
  </si>
  <si>
    <t>MEUSDT</t>
  </si>
  <si>
    <t>ME</t>
  </si>
  <si>
    <t>MFTUSDT</t>
  </si>
  <si>
    <t>MFT</t>
  </si>
  <si>
    <t>MINAUSDT</t>
  </si>
  <si>
    <t>MINA</t>
  </si>
  <si>
    <t>MIRAUSDT</t>
  </si>
  <si>
    <t>MIRA</t>
  </si>
  <si>
    <t>MIRUSDT</t>
  </si>
  <si>
    <t>MIR</t>
  </si>
  <si>
    <t>MITHUSDT</t>
  </si>
  <si>
    <t>MITH</t>
  </si>
  <si>
    <t>MITOUSDT</t>
  </si>
  <si>
    <t>MITO</t>
  </si>
  <si>
    <t>MKRUSDT</t>
  </si>
  <si>
    <t>MKR</t>
  </si>
  <si>
    <t>MLNUSDT</t>
  </si>
  <si>
    <t>MLN</t>
  </si>
  <si>
    <t>MMTUSDT</t>
  </si>
  <si>
    <t>MMT</t>
  </si>
  <si>
    <t>MOBUSDT</t>
  </si>
  <si>
    <t>MOB</t>
  </si>
  <si>
    <t>MORPHOUSDT</t>
  </si>
  <si>
    <t>MORPHO</t>
  </si>
  <si>
    <t>MOVEUSDT</t>
  </si>
  <si>
    <t>MOVE</t>
  </si>
  <si>
    <t>MOVRUSDT</t>
  </si>
  <si>
    <t>MOVR</t>
  </si>
  <si>
    <t>MRVLBUSDT</t>
  </si>
  <si>
    <t>MRVLB</t>
  </si>
  <si>
    <t>MSFTBUSDT</t>
  </si>
  <si>
    <t>MSFTB</t>
  </si>
  <si>
    <t>MSTRBUSDT</t>
  </si>
  <si>
    <t>MSTRB</t>
  </si>
  <si>
    <t>MTLUSDT</t>
  </si>
  <si>
    <t>MTL</t>
  </si>
  <si>
    <t>MUBARAKUSDT</t>
  </si>
  <si>
    <t>MUBARAK</t>
  </si>
  <si>
    <t>MUBUSDT</t>
  </si>
  <si>
    <t>MUB</t>
  </si>
  <si>
    <t>MULTIUSDT</t>
  </si>
  <si>
    <t>MULTI</t>
  </si>
  <si>
    <t>MUUBUSDT</t>
  </si>
  <si>
    <t>MUUB</t>
  </si>
  <si>
    <t>MVLLBUSDT</t>
  </si>
  <si>
    <t>MVLLB</t>
  </si>
  <si>
    <t>NANOUSDT</t>
  </si>
  <si>
    <t>NANO</t>
  </si>
  <si>
    <t>NBISBUSDT</t>
  </si>
  <si>
    <t>NBISB</t>
  </si>
  <si>
    <t>NBSUSDT</t>
  </si>
  <si>
    <t>NBS</t>
  </si>
  <si>
    <t>NEARUSDT</t>
  </si>
  <si>
    <t>NEAR</t>
  </si>
  <si>
    <t>NEBLUSDT</t>
  </si>
  <si>
    <t>NEBL</t>
  </si>
  <si>
    <t>NEIROUSDT</t>
  </si>
  <si>
    <t>NEIRO</t>
  </si>
  <si>
    <t>NEOUSDT</t>
  </si>
  <si>
    <t>NEO</t>
  </si>
  <si>
    <t>NEWTUSDT</t>
  </si>
  <si>
    <t>NEWT</t>
  </si>
  <si>
    <t>NEXOUSDT</t>
  </si>
  <si>
    <t>NEXO</t>
  </si>
  <si>
    <t>NFPUSDT</t>
  </si>
  <si>
    <t>NFP</t>
  </si>
  <si>
    <t>NIGHTUSDT</t>
  </si>
  <si>
    <t>NIGHT</t>
  </si>
  <si>
    <t>NILUSDT</t>
  </si>
  <si>
    <t>NIL</t>
  </si>
  <si>
    <t>NKNUSDT</t>
  </si>
  <si>
    <t>NKN</t>
  </si>
  <si>
    <t>NMRUSDT</t>
  </si>
  <si>
    <t>NMR</t>
  </si>
  <si>
    <t>NOKBUSDT</t>
  </si>
  <si>
    <t>NOKB</t>
  </si>
  <si>
    <t>NOMUSDT</t>
  </si>
  <si>
    <t>NOM</t>
  </si>
  <si>
    <t>NOTUSDT</t>
  </si>
  <si>
    <t>NOT</t>
  </si>
  <si>
    <t>NPXSUSDT</t>
  </si>
  <si>
    <t>NPXS</t>
  </si>
  <si>
    <t>NTRNUSDT</t>
  </si>
  <si>
    <t>NTRN</t>
  </si>
  <si>
    <t>NULSUSDT</t>
  </si>
  <si>
    <t>NULS</t>
  </si>
  <si>
    <t>NUUSDT</t>
  </si>
  <si>
    <t>NU</t>
  </si>
  <si>
    <t>NVDABUSDT</t>
  </si>
  <si>
    <t>NVDAB</t>
  </si>
  <si>
    <t>NXPCUSDT</t>
  </si>
  <si>
    <t>NXPC</t>
  </si>
  <si>
    <t>OAXUSDT</t>
  </si>
  <si>
    <t>OAX</t>
  </si>
  <si>
    <t>OCEANUSDT</t>
  </si>
  <si>
    <t>OCEAN</t>
  </si>
  <si>
    <t>OGNUSDT</t>
  </si>
  <si>
    <t>OGN</t>
  </si>
  <si>
    <t>OGUSDT</t>
  </si>
  <si>
    <t>OG</t>
  </si>
  <si>
    <t>OMGUSDT</t>
  </si>
  <si>
    <t>OMG</t>
  </si>
  <si>
    <t>OMNIUSDT</t>
  </si>
  <si>
    <t>OMNI</t>
  </si>
  <si>
    <t>OMUSDT</t>
  </si>
  <si>
    <t>OM</t>
  </si>
  <si>
    <t>ONDOUSDT</t>
  </si>
  <si>
    <t>ONDO</t>
  </si>
  <si>
    <t>ONEUSDT</t>
  </si>
  <si>
    <t>ONE</t>
  </si>
  <si>
    <t>ONGUSDT</t>
  </si>
  <si>
    <t>ONG</t>
  </si>
  <si>
    <t>ONTUSDT</t>
  </si>
  <si>
    <t>ONT</t>
  </si>
  <si>
    <t>OOKIUSDT</t>
  </si>
  <si>
    <t>OOKI</t>
  </si>
  <si>
    <t>OPENUSDT</t>
  </si>
  <si>
    <t>OPEN</t>
  </si>
  <si>
    <t>OPGUSDT</t>
  </si>
  <si>
    <t>OPG</t>
  </si>
  <si>
    <t>OPNUSDT</t>
  </si>
  <si>
    <t>OPN</t>
  </si>
  <si>
    <t>OPUSDT</t>
  </si>
  <si>
    <t>OP</t>
  </si>
  <si>
    <t>ORCAUSDT</t>
  </si>
  <si>
    <t>ORCA</t>
  </si>
  <si>
    <t>ORCLBUSDT</t>
  </si>
  <si>
    <t>ORCLB</t>
  </si>
  <si>
    <t>ORDIUSDT</t>
  </si>
  <si>
    <t>ORDI</t>
  </si>
  <si>
    <t>ORNUSDT</t>
  </si>
  <si>
    <t>ORN</t>
  </si>
  <si>
    <t>OSMOUSDT</t>
  </si>
  <si>
    <t>OSMO</t>
  </si>
  <si>
    <t>OXTUSDT</t>
  </si>
  <si>
    <t>OXT</t>
  </si>
  <si>
    <t>PARTIUSDT</t>
  </si>
  <si>
    <t>PARTI</t>
  </si>
  <si>
    <t>PAXGUSDT</t>
  </si>
  <si>
    <t>PAXG</t>
  </si>
  <si>
    <t>PAXUSDT</t>
  </si>
  <si>
    <t>PAX</t>
  </si>
  <si>
    <t>PDAUSDT</t>
  </si>
  <si>
    <t>PDA</t>
  </si>
  <si>
    <t>PENDLEUSDT</t>
  </si>
  <si>
    <t>PENDLE</t>
  </si>
  <si>
    <t>PENGUUSDT</t>
  </si>
  <si>
    <t>PENGU</t>
  </si>
  <si>
    <t>PEOPLEUSDT</t>
  </si>
  <si>
    <t>PEOPLE</t>
  </si>
  <si>
    <t>PEPEUSDT</t>
  </si>
  <si>
    <t>PEPE</t>
  </si>
  <si>
    <t>PERLUSDT</t>
  </si>
  <si>
    <t>PERL</t>
  </si>
  <si>
    <t>PERPUSDT</t>
  </si>
  <si>
    <t>PERP</t>
  </si>
  <si>
    <t>PHAUSDT</t>
  </si>
  <si>
    <t>PHA</t>
  </si>
  <si>
    <t>PHBUSDT</t>
  </si>
  <si>
    <t>PHB</t>
  </si>
  <si>
    <t>PIVXUSDT</t>
  </si>
  <si>
    <t>PIVX</t>
  </si>
  <si>
    <t>PIXELUSDT</t>
  </si>
  <si>
    <t>PIXEL</t>
  </si>
  <si>
    <t>PLAUSDT</t>
  </si>
  <si>
    <t>PLA</t>
  </si>
  <si>
    <t>PLTRBUSDT</t>
  </si>
  <si>
    <t>PLTRB</t>
  </si>
  <si>
    <t>PLUMEUSDT</t>
  </si>
  <si>
    <t>PLUME</t>
  </si>
  <si>
    <t>PNTUSDT</t>
  </si>
  <si>
    <t>PNT</t>
  </si>
  <si>
    <t>PNUTUSDT</t>
  </si>
  <si>
    <t>PNUT</t>
  </si>
  <si>
    <t>POLSUSDT</t>
  </si>
  <si>
    <t>POLS</t>
  </si>
  <si>
    <t>POLUSDT</t>
  </si>
  <si>
    <t>POL</t>
  </si>
  <si>
    <t>POLYUSDT</t>
  </si>
  <si>
    <t>POLY</t>
  </si>
  <si>
    <t>POLYXUSDT</t>
  </si>
  <si>
    <t>POLYX</t>
  </si>
  <si>
    <t>PONDUSDT</t>
  </si>
  <si>
    <t>POND</t>
  </si>
  <si>
    <t>PORTALUSDT</t>
  </si>
  <si>
    <t>PORTAL</t>
  </si>
  <si>
    <t>PORTOUSDT</t>
  </si>
  <si>
    <t>PORTO</t>
  </si>
  <si>
    <t>POWRUSDT</t>
  </si>
  <si>
    <t>POWR</t>
  </si>
  <si>
    <t>PROMUSDT</t>
  </si>
  <si>
    <t>PROM</t>
  </si>
  <si>
    <t>PROSUSDT</t>
  </si>
  <si>
    <t>PROS</t>
  </si>
  <si>
    <t>PROVEUSDT</t>
  </si>
  <si>
    <t>PROVE</t>
  </si>
  <si>
    <t>PSGUSDT</t>
  </si>
  <si>
    <t>PSG</t>
  </si>
  <si>
    <t>PUMPUSDT</t>
  </si>
  <si>
    <t>PUMP</t>
  </si>
  <si>
    <t>PUNDIXUSDT</t>
  </si>
  <si>
    <t>PUNDIX</t>
  </si>
  <si>
    <t>PYPLBUSDT</t>
  </si>
  <si>
    <t>PYPLB</t>
  </si>
  <si>
    <t>PYRUSDT</t>
  </si>
  <si>
    <t>PYR</t>
  </si>
  <si>
    <t>PYTHUSDT</t>
  </si>
  <si>
    <t>PYTH</t>
  </si>
  <si>
    <t>QCOMBUSDT</t>
  </si>
  <si>
    <t>QCOMB</t>
  </si>
  <si>
    <t>QIUSDT</t>
  </si>
  <si>
    <t>QI</t>
  </si>
  <si>
    <t>QKCUSDT</t>
  </si>
  <si>
    <t>QKC</t>
  </si>
  <si>
    <t>QNTBUSDT</t>
  </si>
  <si>
    <t>QNTB</t>
  </si>
  <si>
    <t>QNTUSDT</t>
  </si>
  <si>
    <t>QNT</t>
  </si>
  <si>
    <t>QQQBUSDT</t>
  </si>
  <si>
    <t>QQQB</t>
  </si>
  <si>
    <t>QTUMUSDT</t>
  </si>
  <si>
    <t>QTUM</t>
  </si>
  <si>
    <t>QUICKUSDT</t>
  </si>
  <si>
    <t>QUICK</t>
  </si>
  <si>
    <t>RADUSDT</t>
  </si>
  <si>
    <t>RAD</t>
  </si>
  <si>
    <t>RAMPUSDT</t>
  </si>
  <si>
    <t>RAMP</t>
  </si>
  <si>
    <t>RAREUSDT</t>
  </si>
  <si>
    <t>RARE</t>
  </si>
  <si>
    <t>RAYUSDT</t>
  </si>
  <si>
    <t>RAY</t>
  </si>
  <si>
    <t>RDNTUSDT</t>
  </si>
  <si>
    <t>RDNT</t>
  </si>
  <si>
    <t>REDUSDT</t>
  </si>
  <si>
    <t>RED</t>
  </si>
  <si>
    <t>REEFUSDT</t>
  </si>
  <si>
    <t>REEF</t>
  </si>
  <si>
    <t>REIUSDT</t>
  </si>
  <si>
    <t>REI</t>
  </si>
  <si>
    <t>RENDERUSDT</t>
  </si>
  <si>
    <t>RENDER</t>
  </si>
  <si>
    <t>RENUSDT</t>
  </si>
  <si>
    <t>REN</t>
  </si>
  <si>
    <t>REPUSDT</t>
  </si>
  <si>
    <t>REP</t>
  </si>
  <si>
    <t>REQUSDT</t>
  </si>
  <si>
    <t>REQ</t>
  </si>
  <si>
    <t>RESOLVUSDT</t>
  </si>
  <si>
    <t>RESOLV</t>
  </si>
  <si>
    <t>REUSDT</t>
  </si>
  <si>
    <t>RE</t>
  </si>
  <si>
    <t>REZUSDT</t>
  </si>
  <si>
    <t>REZ</t>
  </si>
  <si>
    <t>RGTUSDT</t>
  </si>
  <si>
    <t>RGT</t>
  </si>
  <si>
    <t>RIFUSDT</t>
  </si>
  <si>
    <t>RIF</t>
  </si>
  <si>
    <t>RKLBBUSDT</t>
  </si>
  <si>
    <t>RKLBB</t>
  </si>
  <si>
    <t>RLCUSDT</t>
  </si>
  <si>
    <t>RLC</t>
  </si>
  <si>
    <t>RLUSDUSDT</t>
  </si>
  <si>
    <t>RLUSD</t>
  </si>
  <si>
    <t>RNDRUSDT</t>
  </si>
  <si>
    <t>RNDR</t>
  </si>
  <si>
    <t>ROBOUSDT</t>
  </si>
  <si>
    <t>ROBO</t>
  </si>
  <si>
    <t>RONINUSDT</t>
  </si>
  <si>
    <t>RONIN</t>
  </si>
  <si>
    <t>ROSEUSDT</t>
  </si>
  <si>
    <t>ROSE</t>
  </si>
  <si>
    <t>RPLUSDT</t>
  </si>
  <si>
    <t>RPL</t>
  </si>
  <si>
    <t>RSRUSDT</t>
  </si>
  <si>
    <t>RSR</t>
  </si>
  <si>
    <t>RUNEUSDT</t>
  </si>
  <si>
    <t>RUNE</t>
  </si>
  <si>
    <t>RVNUSDT</t>
  </si>
  <si>
    <t>RVN</t>
  </si>
  <si>
    <t>SAGAUSDT</t>
  </si>
  <si>
    <t>SAGA</t>
  </si>
  <si>
    <t>SAHARAUSDT</t>
  </si>
  <si>
    <t>SAHARA</t>
  </si>
  <si>
    <t>SANDUSDT</t>
  </si>
  <si>
    <t>SAND</t>
  </si>
  <si>
    <t>SANTOSUSDT</t>
  </si>
  <si>
    <t>SANTOS</t>
  </si>
  <si>
    <t>SAPIENUSDT</t>
  </si>
  <si>
    <t>SAPIEN</t>
  </si>
  <si>
    <t>SCRTUSDT</t>
  </si>
  <si>
    <t>SCRT</t>
  </si>
  <si>
    <t>SCRUSDT</t>
  </si>
  <si>
    <t>SCR</t>
  </si>
  <si>
    <t>SCUSDT</t>
  </si>
  <si>
    <t>SC</t>
  </si>
  <si>
    <t>SEIUSDT</t>
  </si>
  <si>
    <t>SEI</t>
  </si>
  <si>
    <t>SENTUSDT</t>
  </si>
  <si>
    <t>SENT</t>
  </si>
  <si>
    <t>SFPUSDT</t>
  </si>
  <si>
    <t>SFP</t>
  </si>
  <si>
    <t>SHELLUSDT</t>
  </si>
  <si>
    <t>SHELL</t>
  </si>
  <si>
    <t>SHIBUSDT</t>
  </si>
  <si>
    <t>SHIB</t>
  </si>
  <si>
    <t>SIGNUSDT</t>
  </si>
  <si>
    <t>SIGN</t>
  </si>
  <si>
    <t>SKHYBUSDT</t>
  </si>
  <si>
    <t>SKHYB</t>
  </si>
  <si>
    <t>SKLUSDT</t>
  </si>
  <si>
    <t>SKL</t>
  </si>
  <si>
    <t>SKYUSDT</t>
  </si>
  <si>
    <t>SKY</t>
  </si>
  <si>
    <t>SLFUSDT</t>
  </si>
  <si>
    <t>SLF</t>
  </si>
  <si>
    <t>SLPUSDT</t>
  </si>
  <si>
    <t>SLP</t>
  </si>
  <si>
    <t>SMHBUSDT</t>
  </si>
  <si>
    <t>SMHB</t>
  </si>
  <si>
    <t>SNDKBUSDT</t>
  </si>
  <si>
    <t>SNDKB</t>
  </si>
  <si>
    <t>SNTUSDT</t>
  </si>
  <si>
    <t>SNT</t>
  </si>
  <si>
    <t>SNXUSDT</t>
  </si>
  <si>
    <t>SNX</t>
  </si>
  <si>
    <t>SNXXBUSDT</t>
  </si>
  <si>
    <t>SNXXB</t>
  </si>
  <si>
    <t>SOLUSDT</t>
  </si>
  <si>
    <t>SOLVUSDT</t>
  </si>
  <si>
    <t>SOLV</t>
  </si>
  <si>
    <t>SOMIUSDT</t>
  </si>
  <si>
    <t>SOMI</t>
  </si>
  <si>
    <t>SOPHUSDT</t>
  </si>
  <si>
    <t>SOPH</t>
  </si>
  <si>
    <t>SOXLBUSDT</t>
  </si>
  <si>
    <t>SOXLB</t>
  </si>
  <si>
    <t>SOXSBUSDT</t>
  </si>
  <si>
    <t>SOXSB</t>
  </si>
  <si>
    <t>SPCXBUSDT</t>
  </si>
  <si>
    <t>SPCXB</t>
  </si>
  <si>
    <t>SPELLUSDT</t>
  </si>
  <si>
    <t>SPELL</t>
  </si>
  <si>
    <t>SPKUSDT</t>
  </si>
  <si>
    <t>SPK</t>
  </si>
  <si>
    <t>SPYBUSDT</t>
  </si>
  <si>
    <t>SPYB</t>
  </si>
  <si>
    <t>SRMUSDT</t>
  </si>
  <si>
    <t>SRM</t>
  </si>
  <si>
    <t>SSVUSDT</t>
  </si>
  <si>
    <t>SSV</t>
  </si>
  <si>
    <t>STEEMUSDT</t>
  </si>
  <si>
    <t>STEEM</t>
  </si>
  <si>
    <t>STGUSDT</t>
  </si>
  <si>
    <t>STG</t>
  </si>
  <si>
    <t>STMXUSDT</t>
  </si>
  <si>
    <t>STMX</t>
  </si>
  <si>
    <t>STORJUSDT</t>
  </si>
  <si>
    <t>STORJ</t>
  </si>
  <si>
    <t>STORMUSDT</t>
  </si>
  <si>
    <t>STORM</t>
  </si>
  <si>
    <t>STOUSDT</t>
  </si>
  <si>
    <t>STO</t>
  </si>
  <si>
    <t>STPTUSDT</t>
  </si>
  <si>
    <t>STPT</t>
  </si>
  <si>
    <t>STRATUSDT</t>
  </si>
  <si>
    <t>STRAT</t>
  </si>
  <si>
    <t>STRAXUSDT</t>
  </si>
  <si>
    <t>STRAX</t>
  </si>
  <si>
    <t>STRKUSDT</t>
  </si>
  <si>
    <t>STRK</t>
  </si>
  <si>
    <t>STXUSDT</t>
  </si>
  <si>
    <t>STX</t>
  </si>
  <si>
    <t>SUIUSDT</t>
  </si>
  <si>
    <t>SUI</t>
  </si>
  <si>
    <t>SUNUSDT</t>
  </si>
  <si>
    <t>SUN</t>
  </si>
  <si>
    <t>SUPERUSDT</t>
  </si>
  <si>
    <t>SUPER</t>
  </si>
  <si>
    <t>SUSDT</t>
  </si>
  <si>
    <t>S</t>
  </si>
  <si>
    <t>SUSDUSDT</t>
  </si>
  <si>
    <t>SUSD</t>
  </si>
  <si>
    <t>SUSHIUSDT</t>
  </si>
  <si>
    <t>SUSHI</t>
  </si>
  <si>
    <t>SXPUSDT</t>
  </si>
  <si>
    <t>SXP</t>
  </si>
  <si>
    <t>SXTUSDT</t>
  </si>
  <si>
    <t>SXT</t>
  </si>
  <si>
    <t>SYNUSDT</t>
  </si>
  <si>
    <t>SYN</t>
  </si>
  <si>
    <t>SYRUPUSDT</t>
  </si>
  <si>
    <t>SYRUP</t>
  </si>
  <si>
    <t>SYSUSDT</t>
  </si>
  <si>
    <t>SYS</t>
  </si>
  <si>
    <t>TAOUSDT</t>
  </si>
  <si>
    <t>TAO</t>
  </si>
  <si>
    <t>TCTUSDT</t>
  </si>
  <si>
    <t>TCT</t>
  </si>
  <si>
    <t>TFUELUSDT</t>
  </si>
  <si>
    <t>TFUEL</t>
  </si>
  <si>
    <t>THETAUSDT</t>
  </si>
  <si>
    <t>THETA</t>
  </si>
  <si>
    <t>THEUSDT</t>
  </si>
  <si>
    <t>THE</t>
  </si>
  <si>
    <t>TIAUSDT</t>
  </si>
  <si>
    <t>TIA</t>
  </si>
  <si>
    <t>TKOUSDT</t>
  </si>
  <si>
    <t>TKO</t>
  </si>
  <si>
    <t>TLMUSDT</t>
  </si>
  <si>
    <t>TLM</t>
  </si>
  <si>
    <t>TNSRUSDT</t>
  </si>
  <si>
    <t>TNSR</t>
  </si>
  <si>
    <t>TOMOUSDT</t>
  </si>
  <si>
    <t>TOMO</t>
  </si>
  <si>
    <t>TONUSDT</t>
  </si>
  <si>
    <t>TON</t>
  </si>
  <si>
    <t>TORNUSDT</t>
  </si>
  <si>
    <t>TORN</t>
  </si>
  <si>
    <t>TOWNSUSDT</t>
  </si>
  <si>
    <t>TOWNS</t>
  </si>
  <si>
    <t>TQQQBUSDT</t>
  </si>
  <si>
    <t>TQQQB</t>
  </si>
  <si>
    <t>TRBUSDT</t>
  </si>
  <si>
    <t>TRB</t>
  </si>
  <si>
    <t>TREEUSDT</t>
  </si>
  <si>
    <t>TREE</t>
  </si>
  <si>
    <t>TRIBEUSDT</t>
  </si>
  <si>
    <t>TRIBE</t>
  </si>
  <si>
    <t>TROYUSDT</t>
  </si>
  <si>
    <t>TROY</t>
  </si>
  <si>
    <t>TRUMPUSDT</t>
  </si>
  <si>
    <t>TRUMP</t>
  </si>
  <si>
    <t>TRUUSDT</t>
  </si>
  <si>
    <t>TRU</t>
  </si>
  <si>
    <t>TRXUSDT</t>
  </si>
  <si>
    <t>TRX</t>
  </si>
  <si>
    <t>TSLABUSDT</t>
  </si>
  <si>
    <t>TSLAB</t>
  </si>
  <si>
    <t>TSMBUSDT</t>
  </si>
  <si>
    <t>TSMB</t>
  </si>
  <si>
    <t>TSTUSDT</t>
  </si>
  <si>
    <t>TST</t>
  </si>
  <si>
    <t>TURBOUSDT</t>
  </si>
  <si>
    <t>TURBO</t>
  </si>
  <si>
    <t>TURTLEUSDT</t>
  </si>
  <si>
    <t>TURTLE</t>
  </si>
  <si>
    <t>TUSDT</t>
  </si>
  <si>
    <t>T</t>
  </si>
  <si>
    <t>TUSDUSDT</t>
  </si>
  <si>
    <t>TUSD</t>
  </si>
  <si>
    <t>TUTUSDT</t>
  </si>
  <si>
    <t>TUT</t>
  </si>
  <si>
    <t>TVKUSDT</t>
  </si>
  <si>
    <t>TVK</t>
  </si>
  <si>
    <t>TWTUSDT</t>
  </si>
  <si>
    <t>TWT</t>
  </si>
  <si>
    <t>UFTUSDT</t>
  </si>
  <si>
    <t>UFT</t>
  </si>
  <si>
    <t>UMAUSDT</t>
  </si>
  <si>
    <t>UMA</t>
  </si>
  <si>
    <t>UNFIUSDT</t>
  </si>
  <si>
    <t>UNFI</t>
  </si>
  <si>
    <t>UNIUSDT</t>
  </si>
  <si>
    <t>UNI</t>
  </si>
  <si>
    <t>USD1USDT</t>
  </si>
  <si>
    <t>USD1</t>
  </si>
  <si>
    <t>USDCUSDT</t>
  </si>
  <si>
    <t>USDEUSDT</t>
  </si>
  <si>
    <t>USDE</t>
  </si>
  <si>
    <t>USDPUSDT</t>
  </si>
  <si>
    <t>USDP</t>
  </si>
  <si>
    <t>USDSBUSDT</t>
  </si>
  <si>
    <t>USDSB</t>
  </si>
  <si>
    <t>USDSOLDUSDT</t>
  </si>
  <si>
    <t>USDSOLD</t>
  </si>
  <si>
    <t>USDSUSDT</t>
  </si>
  <si>
    <t>USDS</t>
  </si>
  <si>
    <t>USTCUSDT</t>
  </si>
  <si>
    <t>USTC</t>
  </si>
  <si>
    <t>USTUSDT</t>
  </si>
  <si>
    <t>UST</t>
  </si>
  <si>
    <t>USUALUSDT</t>
  </si>
  <si>
    <t>USUAL</t>
  </si>
  <si>
    <t>UTKUSDT</t>
  </si>
  <si>
    <t>UTK</t>
  </si>
  <si>
    <t>UUSDT</t>
  </si>
  <si>
    <t>VANAUSDT</t>
  </si>
  <si>
    <t>VANA</t>
  </si>
  <si>
    <t>VANRYUSDT</t>
  </si>
  <si>
    <t>VANRY</t>
  </si>
  <si>
    <t>VELODROMEUSDT</t>
  </si>
  <si>
    <t>VELODROME</t>
  </si>
  <si>
    <t>VENUSDT</t>
  </si>
  <si>
    <t>VEN</t>
  </si>
  <si>
    <t>VETUSDT</t>
  </si>
  <si>
    <t>VET</t>
  </si>
  <si>
    <t>VGXUSDT</t>
  </si>
  <si>
    <t>VGX</t>
  </si>
  <si>
    <t>VIBUSDT</t>
  </si>
  <si>
    <t>VIB</t>
  </si>
  <si>
    <t>VICUSDT</t>
  </si>
  <si>
    <t>VIC</t>
  </si>
  <si>
    <t>VIDTUSDT</t>
  </si>
  <si>
    <t>VIDT</t>
  </si>
  <si>
    <t>VIRTUALUSDT</t>
  </si>
  <si>
    <t>VIRTUAL</t>
  </si>
  <si>
    <t>VITEUSDT</t>
  </si>
  <si>
    <t>VITE</t>
  </si>
  <si>
    <t>VOXELUSDT</t>
  </si>
  <si>
    <t>VOXEL</t>
  </si>
  <si>
    <t>VTHOUSDT</t>
  </si>
  <si>
    <t>VTHO</t>
  </si>
  <si>
    <t>WALUSDT</t>
  </si>
  <si>
    <t>WAL</t>
  </si>
  <si>
    <t>WANUSDT</t>
  </si>
  <si>
    <t>WAN</t>
  </si>
  <si>
    <t>WAVESUSDT</t>
  </si>
  <si>
    <t>WAVES</t>
  </si>
  <si>
    <t>WAXPUSDT</t>
  </si>
  <si>
    <t>WAXP</t>
  </si>
  <si>
    <t>WBETHUSDT</t>
  </si>
  <si>
    <t>WBETH</t>
  </si>
  <si>
    <t>WBTCUSDT</t>
  </si>
  <si>
    <t>WBTC</t>
  </si>
  <si>
    <t>WCTUSDT</t>
  </si>
  <si>
    <t>WCT</t>
  </si>
  <si>
    <t>WDCBUSDT</t>
  </si>
  <si>
    <t>WDCB</t>
  </si>
  <si>
    <t>WIFUSDT</t>
  </si>
  <si>
    <t>WIF</t>
  </si>
  <si>
    <t>WINGUSDT</t>
  </si>
  <si>
    <t>WING</t>
  </si>
  <si>
    <t>WINUSDT</t>
  </si>
  <si>
    <t>WIN</t>
  </si>
  <si>
    <t>WLDUSDT</t>
  </si>
  <si>
    <t>WLD</t>
  </si>
  <si>
    <t>WLFIUSDT</t>
  </si>
  <si>
    <t>WLFI</t>
  </si>
  <si>
    <t>WNXMUSDT</t>
  </si>
  <si>
    <t>WNXM</t>
  </si>
  <si>
    <t>WOOUSDT</t>
  </si>
  <si>
    <t>WOO</t>
  </si>
  <si>
    <t>WRXUSDT</t>
  </si>
  <si>
    <t>WRX</t>
  </si>
  <si>
    <t>WTCUSDT</t>
  </si>
  <si>
    <t>WTC</t>
  </si>
  <si>
    <t>WUSDT</t>
  </si>
  <si>
    <t>W</t>
  </si>
  <si>
    <t>XAIUSDT</t>
  </si>
  <si>
    <t>XAI</t>
  </si>
  <si>
    <t>XAUTUSDT</t>
  </si>
  <si>
    <t>XAUT</t>
  </si>
  <si>
    <t>XECUSDT</t>
  </si>
  <si>
    <t>XEC</t>
  </si>
  <si>
    <t>XEMUSDT</t>
  </si>
  <si>
    <t>XEM</t>
  </si>
  <si>
    <t>XLMUSDT</t>
  </si>
  <si>
    <t>XLM</t>
  </si>
  <si>
    <t>XMRUSDT</t>
  </si>
  <si>
    <t>XMR</t>
  </si>
  <si>
    <t>XNOUSDT</t>
  </si>
  <si>
    <t>XNO</t>
  </si>
  <si>
    <t>XPLUSDT</t>
  </si>
  <si>
    <t>XPL</t>
  </si>
  <si>
    <t>XRPBEARUSDT</t>
  </si>
  <si>
    <t>XRPBEAR</t>
  </si>
  <si>
    <t>XRPBULLUSDT</t>
  </si>
  <si>
    <t>XRPBULL</t>
  </si>
  <si>
    <t>XRPUSDT</t>
  </si>
  <si>
    <t>XRP</t>
  </si>
  <si>
    <t>XTZUSDT</t>
  </si>
  <si>
    <t>XTZ</t>
  </si>
  <si>
    <t>XUSDUSDT</t>
  </si>
  <si>
    <t>XUSD</t>
  </si>
  <si>
    <t>XVGUSDT</t>
  </si>
  <si>
    <t>XVG</t>
  </si>
  <si>
    <t>XVSUSDT</t>
  </si>
  <si>
    <t>XVS</t>
  </si>
  <si>
    <t>XZCUSDT</t>
  </si>
  <si>
    <t>XZC</t>
  </si>
  <si>
    <t>YBUSDT</t>
  </si>
  <si>
    <t>YB</t>
  </si>
  <si>
    <t>YFIIUSDT</t>
  </si>
  <si>
    <t>YFII</t>
  </si>
  <si>
    <t>YFIUSDT</t>
  </si>
  <si>
    <t>YFI</t>
  </si>
  <si>
    <t>YGGUSDT</t>
  </si>
  <si>
    <t>YGG</t>
  </si>
  <si>
    <t>ZAMAUSDT</t>
  </si>
  <si>
    <t>ZAMA</t>
  </si>
  <si>
    <t>ZBTUSDT</t>
  </si>
  <si>
    <t>ZBT</t>
  </si>
  <si>
    <t>ZECUSDT</t>
  </si>
  <si>
    <t>ZEC</t>
  </si>
  <si>
    <t>ZENUSDT</t>
  </si>
  <si>
    <t>ZEN</t>
  </si>
  <si>
    <t>ZILUSDT</t>
  </si>
  <si>
    <t>ZIL</t>
  </si>
  <si>
    <t>ZKCUSDT</t>
  </si>
  <si>
    <t>ZKC</t>
  </si>
  <si>
    <t>ZKPUSDT</t>
  </si>
  <si>
    <t>ZKP</t>
  </si>
  <si>
    <t>ZKUSDT</t>
  </si>
  <si>
    <t>ZK</t>
  </si>
  <si>
    <t>ZROUSDT</t>
  </si>
  <si>
    <t>ZRO</t>
  </si>
  <si>
    <t>ZRXUSDT</t>
  </si>
  <si>
    <t>ZRX</t>
  </si>
  <si>
    <t>币安人生USDT</t>
  </si>
  <si>
    <t>币安人生</t>
  </si>
  <si>
    <t>Methodology, Definitions, and Sources</t>
  </si>
  <si>
    <t>Item</t>
  </si>
  <si>
    <t>Definition</t>
  </si>
  <si>
    <t>Research implication</t>
  </si>
  <si>
    <t>Scope</t>
  </si>
  <si>
    <t>Symbols returned by Binance Spot exchange information with quote asset USD or USDT.</t>
  </si>
  <si>
    <t>This is an exploratory universe, not an approved sample.</t>
  </si>
  <si>
    <t>Market status</t>
  </si>
  <si>
    <t>The status reported by Binance at extraction time, including TRADING and BREAK.</t>
  </si>
  <si>
    <t>Historical or inactive markets remain visible for auditability.</t>
  </si>
  <si>
    <t>Earliest daily candle</t>
  </si>
  <si>
    <t>First 1d kline returned with startTime=0, limit=1, and UTC timezone.</t>
  </si>
  <si>
    <t>The date is specific to the trading pair and daily interval.</t>
  </si>
  <si>
    <t>24h quote volume</t>
  </si>
  <si>
    <t>Rolling 24-hour traded value measured in the quote asset.</t>
  </si>
  <si>
    <t>USD and USDT values are shown separately and are not asserted to be economically identical.</t>
  </si>
  <si>
    <t>24h trades</t>
  </si>
  <si>
    <t>Number of trades in the rolling ticker window.</t>
  </si>
  <si>
    <t>A current activity indicator, not a historical liquidity guarantee.</t>
  </si>
  <si>
    <t>Midpoint spread</t>
  </si>
  <si>
    <t>(Best Ask - Best Bid) / average of Best Ask and Best Bid.</t>
  </si>
  <si>
    <t>A point-in-time execution-cost proxy; it can change rapidly.</t>
  </si>
  <si>
    <t>Ticker snapshot</t>
  </si>
  <si>
    <t>Close timestamp returned by the 24-hour ticker endpoint.</t>
  </si>
  <si>
    <t>Inactive markets may retain stale ticker records; only active rows with complete core fields are flagged as current liquidity.</t>
  </si>
  <si>
    <t>No selection rule</t>
  </si>
  <si>
    <t>No threshold for history, volume, trades, spread, or status was applied.</t>
  </si>
  <si>
    <t>Eligibility criteria require explicit methodological approval.</t>
  </si>
  <si>
    <t>Source ID</t>
  </si>
  <si>
    <t>Purpose</t>
  </si>
  <si>
    <t>Endpoint or documentation</t>
  </si>
  <si>
    <t>Extraction note</t>
  </si>
  <si>
    <t>BINANCE-EXCHANGE-INFO</t>
  </si>
  <si>
    <t>Symbol metadata and trading rules</t>
  </si>
  <si>
    <t>https://api.binance.com/api/v3/exchangeInfo?permissions=SPOT</t>
  </si>
  <si>
    <t>Public market data queried through the Binance Codex plugin.</t>
  </si>
  <si>
    <t>BINANCE-TICKER-24H</t>
  </si>
  <si>
    <t>Liquidity and price indicators</t>
  </si>
  <si>
    <t>https://api.binance.com/api/v3/ticker/24hr</t>
  </si>
  <si>
    <t>Rolling 24-hour snapshot for active markets; inactive markets may return stale records.</t>
  </si>
  <si>
    <t>BINANCE-KLINES</t>
  </si>
  <si>
    <t>https://api.binance.com/api/v3/klines</t>
  </si>
  <si>
    <t>One 1d candle requested per symbol from Unix epoch time.</t>
  </si>
  <si>
    <t>BINANCE-DOCS</t>
  </si>
  <si>
    <t>Endpoint definitions</t>
  </si>
  <si>
    <t>Official Binance Spot REST API documentation.</t>
  </si>
  <si>
    <t>Metadata</t>
  </si>
  <si>
    <t>Workbook generated at (UTC)</t>
  </si>
  <si>
    <t>Binance exchange server time (UTC)</t>
  </si>
  <si>
    <t>Latest ticker close time (UTC)</t>
  </si>
  <si>
    <t>Universe row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</si>
</sst>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0.00000000"/>
    <numFmt numFmtId="166" formatCode="0.0000%"/>
  </numFmts>
  <fonts count="11">
    <font>
      <sz val="11"/>
      <name val="Carlito"/>
    </font>
    <font>
      <b/>
      <sz val="16"/>
      <color rgb="FFFFFFFF"/>
      <name val="Carlito"/>
    </font>
    <font>
      <i/>
      <sz val="11"/>
      <color rgb="FF595959"/>
      <name val="Carlito"/>
    </font>
    <font>
      <b/>
      <sz val="11"/>
      <color rgb="FF595959"/>
      <name val="Carlito"/>
    </font>
    <font>
      <b/>
      <sz val="11"/>
      <color rgb="FFFFFFFF"/>
      <name val="Carlito"/>
    </font>
    <font>
      <b/>
      <sz val="18"/>
      <color rgb="FFFFFFFF"/>
      <name val="Aptos"/>
    </font>
    <font>
      <sz val="11"/>
      <name val="Aptos"/>
    </font>
    <font>
      <i/>
      <sz val="11"/>
      <color rgb="FF595959"/>
      <name val="Aptos"/>
    </font>
    <font>
      <b/>
      <sz val="11"/>
      <color rgb="FF595959"/>
      <name val="Aptos"/>
    </font>
    <font>
      <b/>
      <sz val="11"/>
      <color rgb="FFFFFFFF"/>
      <name val="Aptos"/>
    </font>
    <font>
      <b/>
      <sz val="11"/>
      <name val="Aptos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DF4FA"/>
      </patternFill>
    </fill>
    <fill>
      <patternFill patternType="solid">
        <fgColor rgb="FF2F75B5"/>
      </patternFill>
    </fill>
    <fill>
      <patternFill patternType="solid">
        <fgColor rgb="FFD9EAF7"/>
      </patternFill>
    </fill>
  </fills>
  <borders count="13">
    <border>
      <left/>
      <right/>
      <top/>
      <bottom/>
      <diagonal/>
    </border>
    <border>
      <left style="thin">
        <color rgb="FF17365D"/>
      </left>
      <right/>
      <top style="thin">
        <color rgb="FF17365D"/>
      </top>
      <bottom style="thin">
        <color rgb="FF17365D"/>
      </bottom>
      <diagonal/>
    </border>
    <border>
      <left/>
      <right/>
      <top style="thin">
        <color rgb="FF17365D"/>
      </top>
      <bottom style="thin">
        <color rgb="FF17365D"/>
      </bottom>
      <diagonal/>
    </border>
    <border>
      <left/>
      <right style="thin">
        <color rgb="FF17365D"/>
      </right>
      <top style="thin">
        <color rgb="FF17365D"/>
      </top>
      <bottom style="thin">
        <color rgb="FF17365D"/>
      </bottom>
      <diagonal/>
    </border>
    <border>
      <left/>
      <right style="thin">
        <color rgb="FFE7E6E6"/>
      </right>
      <top/>
      <bottom style="thin">
        <color rgb="FFE7E6E6"/>
      </bottom>
      <diagonal/>
    </border>
    <border>
      <left style="thin">
        <color rgb="FFE7E6E6"/>
      </left>
      <right/>
      <top/>
      <bottom style="thin">
        <color rgb="FFE7E6E6"/>
      </bottom>
      <diagonal/>
    </border>
    <border>
      <left/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/>
      <top style="thin">
        <color rgb="FFE7E6E6"/>
      </top>
      <bottom style="thin">
        <color rgb="FFE7E6E6"/>
      </bottom>
      <diagonal/>
    </border>
    <border>
      <left/>
      <right style="thin">
        <color rgb="FFE7E6E6"/>
      </right>
      <top style="thin">
        <color rgb="FFE7E6E6"/>
      </top>
      <bottom/>
      <diagonal/>
    </border>
    <border>
      <left style="thin">
        <color rgb="FFE7E6E6"/>
      </left>
      <right/>
      <top style="thin">
        <color rgb="FFE7E6E6"/>
      </top>
      <bottom/>
      <diagonal/>
    </border>
    <border>
      <left style="thin">
        <color rgb="FFE7E6E6"/>
      </left>
      <right style="thin">
        <color rgb="FFE7E6E6"/>
      </right>
      <top/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3" fillId="0" borderId="0" xfId="0" applyFont="1"/>
    <xf numFmtId="164" fontId="3" fillId="0" borderId="0" xfId="0" applyNumberFormat="1" applyFont="1"/>
    <xf numFmtId="3" fontId="3" fillId="0" borderId="0" xfId="0" applyNumberFormat="1" applyFont="1"/>
    <xf numFmtId="0" fontId="4" fillId="4" borderId="0" xfId="0" applyFont="1" applyFill="1"/>
    <xf numFmtId="0" fontId="4" fillId="4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vertical="center" wrapText="1"/>
    </xf>
    <xf numFmtId="164" fontId="0" fillId="0" borderId="0" xfId="0" applyNumberFormat="1"/>
    <xf numFmtId="3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4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0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3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0" fontId="6" fillId="0" borderId="0" xfId="0" applyFont="1"/>
    <xf numFmtId="0" fontId="8" fillId="0" borderId="0" xfId="0" applyFont="1"/>
    <xf numFmtId="164" fontId="8" fillId="0" borderId="0" xfId="0" applyNumberFormat="1" applyFont="1"/>
    <xf numFmtId="0" fontId="9" fillId="4" borderId="0" xfId="0" applyFont="1" applyFill="1"/>
    <xf numFmtId="0" fontId="6" fillId="0" borderId="4" xfId="0" applyFont="1" applyBorder="1"/>
    <xf numFmtId="3" fontId="6" fillId="0" borderId="5" xfId="0" applyNumberFormat="1" applyFont="1" applyBorder="1"/>
    <xf numFmtId="3" fontId="6" fillId="0" borderId="10" xfId="0" applyNumberFormat="1" applyFont="1" applyBorder="1"/>
    <xf numFmtId="0" fontId="6" fillId="0" borderId="6" xfId="0" applyFont="1" applyBorder="1"/>
    <xf numFmtId="3" fontId="6" fillId="0" borderId="7" xfId="0" applyNumberFormat="1" applyFont="1" applyBorder="1"/>
    <xf numFmtId="3" fontId="6" fillId="0" borderId="11" xfId="0" applyNumberFormat="1" applyFont="1" applyBorder="1"/>
    <xf numFmtId="0" fontId="10" fillId="5" borderId="8" xfId="0" applyFont="1" applyFill="1" applyBorder="1"/>
    <xf numFmtId="3" fontId="10" fillId="5" borderId="12" xfId="0" applyNumberFormat="1" applyFont="1" applyFill="1" applyBorder="1"/>
    <xf numFmtId="3" fontId="10" fillId="5" borderId="9" xfId="0" applyNumberFormat="1" applyFont="1" applyFill="1" applyBorder="1"/>
    <xf numFmtId="0" fontId="6" fillId="0" borderId="8" xfId="0" applyFont="1" applyBorder="1"/>
    <xf numFmtId="164" fontId="6" fillId="0" borderId="9" xfId="0" applyNumberFormat="1" applyFont="1" applyBorder="1"/>
    <xf numFmtId="0" fontId="0" fillId="0" borderId="4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5" fillId="2" borderId="0" xfId="0" applyFont="1" applyFill="1" applyAlignment="1">
      <alignment vertical="center"/>
    </xf>
    <xf numFmtId="0" fontId="7" fillId="3" borderId="0" xfId="0" applyFont="1" applyFill="1" applyAlignment="1">
      <alignment wrapText="1"/>
    </xf>
    <xf numFmtId="0" fontId="9" fillId="2" borderId="0" xfId="0" applyFont="1" applyFill="1"/>
    <xf numFmtId="0" fontId="6" fillId="0" borderId="0" xfId="0" applyFont="1" applyAlignment="1">
      <alignment vertical="center" wrapText="1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</cellXfs>
  <cellStyles count="1">
    <cellStyle name="Normal" xfId="0" builtinId="0"/>
  </cellStyles>
  <dxfs count="3">
    <dxf>
      <font>
        <color rgb="FF9C0006"/>
      </font>
      <fill>
        <patternFill patternType="solid">
          <bgColor rgb="FFFCE4D6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color rgb="FF375623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rketUniverseTable" displayName="MarketUniverseTable" ref="A5:AA694" totalsRowShown="0">
  <autoFilter ref="A5:AA694" xr:uid="{00000000-0009-0000-0100-000001000000}"/>
  <sortState xmlns:xlrd2="http://schemas.microsoft.com/office/spreadsheetml/2017/richdata2" ref="A6:AA694">
    <sortCondition ref="G5:G694"/>
  </sortState>
  <tableColumns count="27">
    <tableColumn id="1" xr3:uid="{00000000-0010-0000-0000-000001000000}" name="Symbol"/>
    <tableColumn id="2" xr3:uid="{00000000-0010-0000-0000-000002000000}" name="Base Asset"/>
    <tableColumn id="3" xr3:uid="{00000000-0010-0000-0000-000003000000}" name="Quote Asset"/>
    <tableColumn id="4" xr3:uid="{00000000-0010-0000-0000-000004000000}" name="Status"/>
    <tableColumn id="5" xr3:uid="{00000000-0010-0000-0000-000005000000}" name="Spot Trading Allowed"/>
    <tableColumn id="6" xr3:uid="{00000000-0010-0000-0000-000006000000}" name="Earliest Daily Open (UTC)"/>
    <tableColumn id="7" xr3:uid="{00000000-0010-0000-0000-000007000000}" name="Earliest Daily Close (UTC)"/>
    <tableColumn id="8" xr3:uid="{00000000-0010-0000-0000-000008000000}" name="History (Years)"/>
    <tableColumn id="9" xr3:uid="{00000000-0010-0000-0000-000009000000}" name="Last Price (Quote Asset)"/>
    <tableColumn id="10" xr3:uid="{00000000-0010-0000-0000-00000A000000}" name="24h Change"/>
    <tableColumn id="11" xr3:uid="{00000000-0010-0000-0000-00000B000000}" name="24h Base Volume"/>
    <tableColumn id="12" xr3:uid="{00000000-0010-0000-0000-00000C000000}" name="24h Quote Volume"/>
    <tableColumn id="13" xr3:uid="{00000000-0010-0000-0000-00000D000000}" name="24h Trades"/>
    <tableColumn id="14" xr3:uid="{00000000-0010-0000-0000-00000E000000}" name="Best Bid"/>
    <tableColumn id="15" xr3:uid="{00000000-0010-0000-0000-00000F000000}" name="Best Ask"/>
    <tableColumn id="16" xr3:uid="{00000000-0010-0000-0000-000010000000}" name="Midpoint Spread"/>
    <tableColumn id="17" xr3:uid="{00000000-0010-0000-0000-000011000000}" name="Weighted Average Price"/>
    <tableColumn id="18" xr3:uid="{00000000-0010-0000-0000-000012000000}" name="24h High"/>
    <tableColumn id="19" xr3:uid="{00000000-0010-0000-0000-000013000000}" name="24h Low"/>
    <tableColumn id="20" xr3:uid="{00000000-0010-0000-0000-000014000000}" name="Ticker Window Start (UTC)"/>
    <tableColumn id="21" xr3:uid="{00000000-0010-0000-0000-000015000000}" name="Ticker Snapshot (UTC)"/>
    <tableColumn id="22" xr3:uid="{00000000-0010-0000-0000-000016000000}" name="Minimum Notional"/>
    <tableColumn id="23" xr3:uid="{00000000-0010-0000-0000-000017000000}" name="Minimum Quantity"/>
    <tableColumn id="24" xr3:uid="{00000000-0010-0000-0000-000018000000}" name="Quantity Step Size"/>
    <tableColumn id="25" xr3:uid="{00000000-0010-0000-0000-000019000000}" name="Price Tick Size"/>
    <tableColumn id="26" xr3:uid="{00000000-0010-0000-0000-00001A000000}" name="Current Liquidity Available"/>
    <tableColumn id="27" xr3:uid="{00000000-0010-0000-0000-00001B000000}" name="Source 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showGridLines="0" workbookViewId="0">
      <selection sqref="A1:H1"/>
    </sheetView>
  </sheetViews>
  <sheetFormatPr baseColWidth="10" defaultColWidth="8.83203125" defaultRowHeight="15"/>
  <cols>
    <col min="1" max="1" width="30" customWidth="1"/>
    <col min="2" max="2" width="22" customWidth="1"/>
    <col min="3" max="3" width="4" customWidth="1"/>
    <col min="4" max="4" width="16" customWidth="1"/>
    <col min="5" max="7" width="14" customWidth="1"/>
    <col min="8" max="8" width="4" customWidth="1"/>
  </cols>
  <sheetData>
    <row r="1" spans="1:8" ht="34" customHeight="1">
      <c r="A1" s="43" t="s">
        <v>0</v>
      </c>
      <c r="B1" s="43"/>
      <c r="C1" s="43"/>
      <c r="D1" s="43"/>
      <c r="E1" s="43"/>
      <c r="F1" s="43"/>
      <c r="G1" s="43"/>
      <c r="H1" s="43"/>
    </row>
    <row r="2" spans="1:8">
      <c r="A2" s="19"/>
      <c r="B2" s="19"/>
      <c r="C2" s="19"/>
      <c r="D2" s="19"/>
      <c r="E2" s="19"/>
      <c r="F2" s="19"/>
      <c r="G2" s="19"/>
      <c r="H2" s="19"/>
    </row>
    <row r="3" spans="1:8" ht="30" customHeight="1">
      <c r="A3" s="44" t="s">
        <v>1</v>
      </c>
      <c r="B3" s="44"/>
      <c r="C3" s="44"/>
      <c r="D3" s="44"/>
      <c r="E3" s="44"/>
      <c r="F3" s="44"/>
      <c r="G3" s="44"/>
      <c r="H3" s="44"/>
    </row>
    <row r="4" spans="1:8">
      <c r="A4" s="19"/>
      <c r="B4" s="19"/>
      <c r="C4" s="19"/>
      <c r="D4" s="19"/>
      <c r="E4" s="19"/>
      <c r="F4" s="19"/>
      <c r="G4" s="19"/>
      <c r="H4" s="19"/>
    </row>
    <row r="5" spans="1:8">
      <c r="A5" s="20" t="s">
        <v>2</v>
      </c>
      <c r="B5" s="21">
        <v>46237.012491319445</v>
      </c>
      <c r="C5" s="19"/>
      <c r="D5" s="19"/>
      <c r="E5" s="19"/>
      <c r="F5" s="19"/>
      <c r="G5" s="19"/>
      <c r="H5" s="19"/>
    </row>
    <row r="6" spans="1:8">
      <c r="A6" s="19"/>
      <c r="B6" s="19"/>
      <c r="C6" s="19"/>
      <c r="D6" s="19"/>
      <c r="E6" s="19"/>
      <c r="F6" s="19"/>
      <c r="G6" s="19"/>
      <c r="H6" s="19"/>
    </row>
    <row r="7" spans="1:8">
      <c r="A7" s="22" t="s">
        <v>3</v>
      </c>
      <c r="B7" s="22" t="s">
        <v>4</v>
      </c>
      <c r="C7" s="19"/>
      <c r="D7" s="22" t="s">
        <v>5</v>
      </c>
      <c r="E7" s="22" t="s">
        <v>6</v>
      </c>
      <c r="F7" s="22" t="s">
        <v>7</v>
      </c>
      <c r="G7" s="22" t="s">
        <v>8</v>
      </c>
      <c r="H7" s="19"/>
    </row>
    <row r="8" spans="1:8">
      <c r="A8" s="23" t="s">
        <v>9</v>
      </c>
      <c r="B8" s="24">
        <f>COUNTA('Market Universe'!$A$6:$A$694)</f>
        <v>689</v>
      </c>
      <c r="C8" s="19"/>
      <c r="D8" s="23" t="s">
        <v>10</v>
      </c>
      <c r="E8" s="25">
        <f>COUNTIF('Market Universe'!$C$6:$C$694,D8)</f>
        <v>7</v>
      </c>
      <c r="F8" s="25">
        <f>COUNTIFS('Market Universe'!$C$6:$C$694,D8,'Market Universe'!$D$6:$D$694,"TRADING")</f>
        <v>7</v>
      </c>
      <c r="G8" s="24">
        <f>COUNTIFS('Market Universe'!$C$6:$C$694,D8,'Market Universe'!$Z$6:$Z$694,"Yes")</f>
        <v>7</v>
      </c>
      <c r="H8" s="19"/>
    </row>
    <row r="9" spans="1:8">
      <c r="A9" s="26" t="s">
        <v>11</v>
      </c>
      <c r="B9" s="27">
        <f>COUNTIF('Market Universe'!$D$6:$D$694,"TRADING")</f>
        <v>486</v>
      </c>
      <c r="C9" s="19"/>
      <c r="D9" s="26" t="s">
        <v>12</v>
      </c>
      <c r="E9" s="28">
        <f>COUNTIF('Market Universe'!$C$6:$C$694,D9)</f>
        <v>682</v>
      </c>
      <c r="F9" s="28">
        <f>COUNTIFS('Market Universe'!$C$6:$C$694,D9,'Market Universe'!$D$6:$D$694,"TRADING")</f>
        <v>479</v>
      </c>
      <c r="G9" s="27">
        <f>COUNTIFS('Market Universe'!$C$6:$C$694,D9,'Market Universe'!$Z$6:$Z$694,"Yes")</f>
        <v>479</v>
      </c>
      <c r="H9" s="19"/>
    </row>
    <row r="10" spans="1:8">
      <c r="A10" s="26" t="s">
        <v>13</v>
      </c>
      <c r="B10" s="27">
        <f>COUNTIF('Market Universe'!$D$6:$D$694,"BREAK")</f>
        <v>203</v>
      </c>
      <c r="C10" s="19"/>
      <c r="D10" s="29" t="s">
        <v>14</v>
      </c>
      <c r="E10" s="30">
        <f>SUM(E8:E9)</f>
        <v>689</v>
      </c>
      <c r="F10" s="30">
        <f>SUM(F8:F9)</f>
        <v>486</v>
      </c>
      <c r="G10" s="31">
        <f>SUM(G8:G9)</f>
        <v>486</v>
      </c>
      <c r="H10" s="19"/>
    </row>
    <row r="11" spans="1:8">
      <c r="A11" s="26" t="s">
        <v>15</v>
      </c>
      <c r="B11" s="27">
        <f>COUNTIF('Market Universe'!$C$6:$C$694,"USD")</f>
        <v>7</v>
      </c>
      <c r="C11" s="19"/>
      <c r="D11" s="19"/>
      <c r="E11" s="19"/>
      <c r="F11" s="19"/>
      <c r="G11" s="19"/>
      <c r="H11" s="19"/>
    </row>
    <row r="12" spans="1:8">
      <c r="A12" s="26" t="s">
        <v>16</v>
      </c>
      <c r="B12" s="27">
        <f>COUNTIF('Market Universe'!$C$6:$C$694,"USDT")</f>
        <v>682</v>
      </c>
      <c r="C12" s="19"/>
      <c r="D12" s="19"/>
      <c r="E12" s="19"/>
      <c r="F12" s="19"/>
      <c r="G12" s="19"/>
      <c r="H12" s="19"/>
    </row>
    <row r="13" spans="1:8">
      <c r="A13" s="26" t="s">
        <v>17</v>
      </c>
      <c r="B13" s="27">
        <f>COUNTIF('Market Universe'!$Z$6:$Z$694,"Yes")</f>
        <v>486</v>
      </c>
      <c r="C13" s="19"/>
      <c r="D13" s="19"/>
      <c r="E13" s="19"/>
      <c r="F13" s="19"/>
      <c r="G13" s="19"/>
      <c r="H13" s="19"/>
    </row>
    <row r="14" spans="1:8">
      <c r="A14" s="32" t="s">
        <v>18</v>
      </c>
      <c r="B14" s="33">
        <f>MIN('Market Universe'!$F$6:$F$694)</f>
        <v>42964</v>
      </c>
      <c r="C14" s="19"/>
      <c r="D14" s="19"/>
      <c r="E14" s="19"/>
      <c r="F14" s="19"/>
      <c r="G14" s="19"/>
      <c r="H14" s="19"/>
    </row>
    <row r="15" spans="1:8">
      <c r="A15" s="19"/>
      <c r="B15" s="19"/>
      <c r="C15" s="19"/>
      <c r="D15" s="19"/>
      <c r="E15" s="19"/>
      <c r="F15" s="19"/>
      <c r="G15" s="19"/>
      <c r="H15" s="19"/>
    </row>
    <row r="16" spans="1:8">
      <c r="A16" s="19"/>
      <c r="B16" s="19"/>
      <c r="C16" s="19"/>
      <c r="D16" s="19"/>
      <c r="E16" s="19"/>
      <c r="F16" s="19"/>
      <c r="G16" s="19"/>
      <c r="H16" s="19"/>
    </row>
    <row r="17" spans="1:8">
      <c r="A17" s="45" t="s">
        <v>19</v>
      </c>
      <c r="B17" s="45"/>
      <c r="C17" s="45"/>
      <c r="D17" s="45"/>
      <c r="E17" s="45"/>
      <c r="F17" s="45"/>
      <c r="G17" s="45"/>
      <c r="H17" s="45"/>
    </row>
    <row r="18" spans="1:8" ht="25" customHeight="1">
      <c r="A18" s="46" t="s">
        <v>20</v>
      </c>
      <c r="B18" s="46"/>
      <c r="C18" s="46"/>
      <c r="D18" s="46"/>
      <c r="E18" s="46"/>
      <c r="F18" s="46"/>
      <c r="G18" s="46"/>
      <c r="H18" s="46"/>
    </row>
    <row r="19" spans="1:8" ht="25" customHeight="1">
      <c r="A19" s="46" t="s">
        <v>21</v>
      </c>
      <c r="B19" s="46"/>
      <c r="C19" s="46"/>
      <c r="D19" s="46"/>
      <c r="E19" s="46"/>
      <c r="F19" s="46"/>
      <c r="G19" s="46"/>
      <c r="H19" s="46"/>
    </row>
    <row r="20" spans="1:8" ht="25" customHeight="1">
      <c r="A20" s="46" t="s">
        <v>22</v>
      </c>
      <c r="B20" s="46"/>
      <c r="C20" s="46"/>
      <c r="D20" s="46"/>
      <c r="E20" s="46"/>
      <c r="F20" s="46"/>
      <c r="G20" s="46"/>
      <c r="H20" s="46"/>
    </row>
    <row r="21" spans="1:8" ht="25" customHeight="1">
      <c r="A21" s="46" t="s">
        <v>23</v>
      </c>
      <c r="B21" s="46"/>
      <c r="C21" s="46"/>
      <c r="D21" s="46"/>
      <c r="E21" s="46"/>
      <c r="F21" s="46"/>
      <c r="G21" s="46"/>
      <c r="H21" s="46"/>
    </row>
  </sheetData>
  <mergeCells count="7">
    <mergeCell ref="A20:H20"/>
    <mergeCell ref="A21:H21"/>
    <mergeCell ref="A1:H1"/>
    <mergeCell ref="A3:H3"/>
    <mergeCell ref="A17:H17"/>
    <mergeCell ref="A18:H18"/>
    <mergeCell ref="A19:H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694"/>
  <sheetViews>
    <sheetView showGridLines="0" tabSelected="1" topLeftCell="A22" workbookViewId="0">
      <selection activeCell="G6" sqref="G6"/>
    </sheetView>
  </sheetViews>
  <sheetFormatPr baseColWidth="10" defaultColWidth="8.83203125" defaultRowHeight="15"/>
  <cols>
    <col min="1" max="1" width="15" customWidth="1"/>
    <col min="2" max="3" width="12" customWidth="1"/>
    <col min="4" max="4" width="11" customWidth="1"/>
    <col min="5" max="5" width="13" customWidth="1"/>
    <col min="6" max="7" width="21" customWidth="1"/>
    <col min="8" max="8" width="12" customWidth="1"/>
    <col min="9" max="9" width="18" customWidth="1"/>
    <col min="10" max="10" width="12" customWidth="1"/>
    <col min="11" max="11" width="17" customWidth="1"/>
    <col min="12" max="12" width="18" customWidth="1"/>
    <col min="13" max="13" width="13" customWidth="1"/>
    <col min="14" max="15" width="15" customWidth="1"/>
    <col min="16" max="16" width="14" customWidth="1"/>
    <col min="17" max="17" width="18" customWidth="1"/>
    <col min="18" max="19" width="14" customWidth="1"/>
    <col min="20" max="21" width="21" customWidth="1"/>
    <col min="22" max="24" width="15" customWidth="1"/>
    <col min="25" max="25" width="14" customWidth="1"/>
    <col min="26" max="26" width="13" customWidth="1"/>
    <col min="27" max="27" width="48" customWidth="1"/>
  </cols>
  <sheetData>
    <row r="1" spans="1:27" ht="30" customHeight="1">
      <c r="A1" s="47" t="s">
        <v>24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</row>
    <row r="2" spans="1:27" ht="28" customHeight="1">
      <c r="A2" s="48" t="s">
        <v>25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</row>
    <row r="3" spans="1:27">
      <c r="A3" s="1" t="s">
        <v>2</v>
      </c>
      <c r="B3" s="2">
        <v>46237.012491319445</v>
      </c>
      <c r="C3" s="1" t="s">
        <v>26</v>
      </c>
      <c r="D3" s="3">
        <v>689</v>
      </c>
    </row>
    <row r="5" spans="1:27" ht="42" customHeight="1">
      <c r="A5" s="5" t="s">
        <v>27</v>
      </c>
      <c r="B5" s="6" t="s">
        <v>28</v>
      </c>
      <c r="C5" s="6" t="s">
        <v>5</v>
      </c>
      <c r="D5" s="6" t="s">
        <v>29</v>
      </c>
      <c r="E5" s="6" t="s">
        <v>30</v>
      </c>
      <c r="F5" s="6" t="s">
        <v>31</v>
      </c>
      <c r="G5" s="6" t="s">
        <v>32</v>
      </c>
      <c r="H5" s="6" t="s">
        <v>33</v>
      </c>
      <c r="I5" s="6" t="s">
        <v>34</v>
      </c>
      <c r="J5" s="6" t="s">
        <v>35</v>
      </c>
      <c r="K5" s="6" t="s">
        <v>36</v>
      </c>
      <c r="L5" s="6" t="s">
        <v>37</v>
      </c>
      <c r="M5" s="6" t="s">
        <v>38</v>
      </c>
      <c r="N5" s="6" t="s">
        <v>39</v>
      </c>
      <c r="O5" s="6" t="s">
        <v>40</v>
      </c>
      <c r="P5" s="6" t="s">
        <v>41</v>
      </c>
      <c r="Q5" s="6" t="s">
        <v>42</v>
      </c>
      <c r="R5" s="6" t="s">
        <v>43</v>
      </c>
      <c r="S5" s="6" t="s">
        <v>44</v>
      </c>
      <c r="T5" s="6" t="s">
        <v>45</v>
      </c>
      <c r="U5" s="6" t="s">
        <v>46</v>
      </c>
      <c r="V5" s="6" t="s">
        <v>47</v>
      </c>
      <c r="W5" s="6" t="s">
        <v>48</v>
      </c>
      <c r="X5" s="6" t="s">
        <v>49</v>
      </c>
      <c r="Y5" s="6" t="s">
        <v>50</v>
      </c>
      <c r="Z5" s="6" t="s">
        <v>51</v>
      </c>
      <c r="AA5" s="7" t="s">
        <v>52</v>
      </c>
    </row>
    <row r="6" spans="1:27">
      <c r="A6" s="10" t="s">
        <v>320</v>
      </c>
      <c r="B6" s="10" t="s">
        <v>58</v>
      </c>
      <c r="C6" s="10" t="s">
        <v>12</v>
      </c>
      <c r="D6" s="10" t="s">
        <v>55</v>
      </c>
      <c r="E6" s="11" t="b">
        <v>1</v>
      </c>
      <c r="F6" s="12">
        <v>42964</v>
      </c>
      <c r="G6" s="12">
        <v>42964.999999988424</v>
      </c>
      <c r="H6" s="13">
        <f>IF(F6="","",(Summary!$B$5-F6)/365.25)</f>
        <v>8.9610198256521425</v>
      </c>
      <c r="I6" s="14">
        <v>63436.95</v>
      </c>
      <c r="J6" s="15">
        <v>8.0600000000000012E-3</v>
      </c>
      <c r="K6" s="16">
        <v>8370.5097100000003</v>
      </c>
      <c r="L6" s="16">
        <v>530261465.52671701</v>
      </c>
      <c r="M6" s="17">
        <v>1302160</v>
      </c>
      <c r="N6" s="14">
        <v>63436.95</v>
      </c>
      <c r="O6" s="14">
        <v>63436.959999999999</v>
      </c>
      <c r="P6" s="18">
        <f>IF(OR(N6="",O6="",N6=0,O6=0),"",(O6-N6)/((O6+N6)/2))</f>
        <v>1.5763682229131691E-7</v>
      </c>
      <c r="Q6" s="14">
        <v>63348.76655041</v>
      </c>
      <c r="R6" s="14">
        <v>63796.33</v>
      </c>
      <c r="S6" s="14">
        <v>62806.58</v>
      </c>
      <c r="T6" s="12">
        <v>46236.012488437504</v>
      </c>
      <c r="U6" s="12">
        <v>46237.012488437504</v>
      </c>
      <c r="V6" s="14">
        <v>5</v>
      </c>
      <c r="W6" s="14">
        <v>1.0000000000000001E-5</v>
      </c>
      <c r="X6" s="14">
        <v>1.0000000000000001E-5</v>
      </c>
      <c r="Y6" s="14">
        <v>0.01</v>
      </c>
      <c r="Z6" s="10" t="str">
        <f>IF(AND(D6="TRADING",I6&lt;&gt;"",L6&lt;&gt;"",M6&lt;&gt;"",N6&lt;&gt;"",O6&lt;&gt;""),"Yes","No")</f>
        <v>Yes</v>
      </c>
      <c r="AA6" s="10" t="s">
        <v>56</v>
      </c>
    </row>
    <row r="7" spans="1:27">
      <c r="A7" s="10" t="s">
        <v>507</v>
      </c>
      <c r="B7" s="10" t="s">
        <v>60</v>
      </c>
      <c r="C7" s="10" t="s">
        <v>12</v>
      </c>
      <c r="D7" s="10" t="s">
        <v>55</v>
      </c>
      <c r="E7" s="11" t="b">
        <v>1</v>
      </c>
      <c r="F7" s="12">
        <v>42964</v>
      </c>
      <c r="G7" s="12">
        <v>42964.999999988424</v>
      </c>
      <c r="H7" s="13">
        <f>IF(F7="","",(Summary!$B$5-F7)/365.25)</f>
        <v>8.9610198256521425</v>
      </c>
      <c r="I7" s="14">
        <v>1880.05</v>
      </c>
      <c r="J7" s="15">
        <v>1.7239999999999998E-2</v>
      </c>
      <c r="K7" s="16">
        <v>123976.6634</v>
      </c>
      <c r="L7" s="16">
        <v>232226462.55238199</v>
      </c>
      <c r="M7" s="17">
        <v>1139443</v>
      </c>
      <c r="N7" s="14">
        <v>1880.06</v>
      </c>
      <c r="O7" s="14">
        <v>1880.07</v>
      </c>
      <c r="P7" s="18">
        <f>IF(OR(N7="",O7="",N7=0,O7=0),"",(O7-N7)/((O7+N7)/2))</f>
        <v>5.3189650357784992E-6</v>
      </c>
      <c r="Q7" s="14">
        <v>1873.14657601</v>
      </c>
      <c r="R7" s="14">
        <v>1898.5</v>
      </c>
      <c r="S7" s="14">
        <v>1843.67</v>
      </c>
      <c r="T7" s="12">
        <v>46236.012488576387</v>
      </c>
      <c r="U7" s="12">
        <v>46237.012488576387</v>
      </c>
      <c r="V7" s="14">
        <v>5</v>
      </c>
      <c r="W7" s="14">
        <v>1E-4</v>
      </c>
      <c r="X7" s="14">
        <v>1E-4</v>
      </c>
      <c r="Y7" s="14">
        <v>0.01</v>
      </c>
      <c r="Z7" s="10" t="str">
        <f>IF(AND(D7="TRADING",I7&lt;&gt;"",L7&lt;&gt;"",M7&lt;&gt;"",N7&lt;&gt;"",O7&lt;&gt;""),"Yes","No")</f>
        <v>Yes</v>
      </c>
      <c r="AA7" s="10" t="s">
        <v>56</v>
      </c>
    </row>
    <row r="8" spans="1:27">
      <c r="A8" s="10" t="s">
        <v>299</v>
      </c>
      <c r="B8" s="10" t="s">
        <v>54</v>
      </c>
      <c r="C8" s="10" t="s">
        <v>12</v>
      </c>
      <c r="D8" s="10" t="s">
        <v>55</v>
      </c>
      <c r="E8" s="11" t="b">
        <v>1</v>
      </c>
      <c r="F8" s="12">
        <v>43045</v>
      </c>
      <c r="G8" s="12">
        <v>43045.999999988424</v>
      </c>
      <c r="H8" s="13">
        <f>IF(F8="","",(Summary!$B$5-F8)/365.25)</f>
        <v>8.7392539118944423</v>
      </c>
      <c r="I8" s="14">
        <v>586.35</v>
      </c>
      <c r="J8" s="15">
        <v>1.7170000000000001E-2</v>
      </c>
      <c r="K8" s="16">
        <v>77383.668000000005</v>
      </c>
      <c r="L8" s="16">
        <v>45227047.465850003</v>
      </c>
      <c r="M8" s="17">
        <v>422519</v>
      </c>
      <c r="N8" s="14">
        <v>586.34</v>
      </c>
      <c r="O8" s="14">
        <v>586.35</v>
      </c>
      <c r="P8" s="18">
        <f>IF(OR(N8="",O8="",N8=0,O8=0),"",(O8-N8)/((O8+N8)/2))</f>
        <v>1.7054805617837458E-5</v>
      </c>
      <c r="Q8" s="14">
        <v>584.45210254999995</v>
      </c>
      <c r="R8" s="14">
        <v>590.99</v>
      </c>
      <c r="S8" s="14">
        <v>574.03</v>
      </c>
      <c r="T8" s="12">
        <v>46236.012489409724</v>
      </c>
      <c r="U8" s="12">
        <v>46237.012489409724</v>
      </c>
      <c r="V8" s="14">
        <v>5</v>
      </c>
      <c r="W8" s="14">
        <v>1E-3</v>
      </c>
      <c r="X8" s="14">
        <v>1E-3</v>
      </c>
      <c r="Y8" s="14">
        <v>0.01</v>
      </c>
      <c r="Z8" s="10" t="str">
        <f>IF(AND(D8="TRADING",I8&lt;&gt;"",L8&lt;&gt;"",M8&lt;&gt;"",N8&lt;&gt;"",O8&lt;&gt;""),"Yes","No")</f>
        <v>Yes</v>
      </c>
      <c r="AA8" s="10" t="s">
        <v>56</v>
      </c>
    </row>
    <row r="9" spans="1:27">
      <c r="A9" s="10" t="s">
        <v>253</v>
      </c>
      <c r="B9" s="10" t="s">
        <v>254</v>
      </c>
      <c r="C9" s="10" t="s">
        <v>12</v>
      </c>
      <c r="D9" s="10" t="s">
        <v>84</v>
      </c>
      <c r="E9" s="11" t="b">
        <v>1</v>
      </c>
      <c r="F9" s="12">
        <v>43050</v>
      </c>
      <c r="G9" s="12">
        <v>43050.999999988424</v>
      </c>
      <c r="H9" s="13">
        <f>IF(F9="","",(Summary!$B$5-F9)/365.25)</f>
        <v>8.7255646579587811</v>
      </c>
      <c r="I9" s="14">
        <v>0</v>
      </c>
      <c r="J9" s="15">
        <v>0</v>
      </c>
      <c r="K9" s="16">
        <v>0</v>
      </c>
      <c r="L9" s="16">
        <v>0</v>
      </c>
      <c r="M9" s="17">
        <v>0</v>
      </c>
      <c r="N9" s="14">
        <v>0</v>
      </c>
      <c r="O9" s="14">
        <v>0</v>
      </c>
      <c r="P9" s="18" t="str">
        <f>IF(OR(N9="",O9="",N9=0,O9=0),"",(O9-N9)/((O9+N9)/2))</f>
        <v/>
      </c>
      <c r="Q9" s="14">
        <v>0</v>
      </c>
      <c r="R9" s="14">
        <v>0</v>
      </c>
      <c r="S9" s="14">
        <v>0</v>
      </c>
      <c r="T9" s="12">
        <v>46209.261123090277</v>
      </c>
      <c r="U9" s="12">
        <v>46210.261123090277</v>
      </c>
      <c r="V9" s="14">
        <v>10</v>
      </c>
      <c r="W9" s="14">
        <v>1.0000000000000001E-5</v>
      </c>
      <c r="X9" s="14">
        <v>1.0000000000000001E-5</v>
      </c>
      <c r="Y9" s="14">
        <v>0.01</v>
      </c>
      <c r="Z9" s="10" t="str">
        <f>IF(AND(D9="TRADING",I9&lt;&gt;"",L9&lt;&gt;"",M9&lt;&gt;"",N9&lt;&gt;"",O9&lt;&gt;""),"Yes","No")</f>
        <v>No</v>
      </c>
      <c r="AA9" s="10" t="s">
        <v>56</v>
      </c>
    </row>
    <row r="10" spans="1:27">
      <c r="A10" s="10" t="s">
        <v>874</v>
      </c>
      <c r="B10" s="10" t="s">
        <v>875</v>
      </c>
      <c r="C10" s="10" t="s">
        <v>12</v>
      </c>
      <c r="D10" s="10" t="s">
        <v>55</v>
      </c>
      <c r="E10" s="11" t="b">
        <v>1</v>
      </c>
      <c r="F10" s="12">
        <v>43059</v>
      </c>
      <c r="G10" s="12">
        <v>43059.999999988424</v>
      </c>
      <c r="H10" s="13">
        <f>IF(F10="","",(Summary!$B$5-F10)/365.25)</f>
        <v>8.7009240008745934</v>
      </c>
      <c r="I10" s="14">
        <v>1.823</v>
      </c>
      <c r="J10" s="15">
        <v>-1.64E-3</v>
      </c>
      <c r="K10" s="16">
        <v>61873.74</v>
      </c>
      <c r="L10" s="16">
        <v>113009.59649</v>
      </c>
      <c r="M10" s="17">
        <v>1377</v>
      </c>
      <c r="N10" s="14">
        <v>1.823</v>
      </c>
      <c r="O10" s="14">
        <v>1.8240000000000001</v>
      </c>
      <c r="P10" s="18">
        <f>IF(OR(N10="",O10="",N10=0,O10=0),"",(O10-N10)/((O10+N10)/2))</f>
        <v>5.4839594187009149E-4</v>
      </c>
      <c r="Q10" s="14">
        <v>1.82645491</v>
      </c>
      <c r="R10" s="14">
        <v>1.843</v>
      </c>
      <c r="S10" s="14">
        <v>1.8140000000000001</v>
      </c>
      <c r="T10" s="12">
        <v>46236.012451134258</v>
      </c>
      <c r="U10" s="12">
        <v>46237.012451134258</v>
      </c>
      <c r="V10" s="14">
        <v>5</v>
      </c>
      <c r="W10" s="14">
        <v>0.01</v>
      </c>
      <c r="X10" s="14">
        <v>0.01</v>
      </c>
      <c r="Y10" s="14">
        <v>1E-3</v>
      </c>
      <c r="Z10" s="10" t="str">
        <f>IF(AND(D10="TRADING",I10&lt;&gt;"",L10&lt;&gt;"",M10&lt;&gt;"",N10&lt;&gt;"",O10&lt;&gt;""),"Yes","No")</f>
        <v>Yes</v>
      </c>
      <c r="AA10" s="10" t="s">
        <v>56</v>
      </c>
    </row>
    <row r="11" spans="1:27">
      <c r="A11" s="10" t="s">
        <v>770</v>
      </c>
      <c r="B11" s="10" t="s">
        <v>771</v>
      </c>
      <c r="C11" s="10" t="s">
        <v>12</v>
      </c>
      <c r="D11" s="10" t="s">
        <v>55</v>
      </c>
      <c r="E11" s="11" t="b">
        <v>1</v>
      </c>
      <c r="F11" s="12">
        <v>43082</v>
      </c>
      <c r="G11" s="12">
        <v>43082.999999988424</v>
      </c>
      <c r="H11" s="13">
        <f>IF(F11="","",(Summary!$B$5-F11)/365.25)</f>
        <v>8.6379534327705549</v>
      </c>
      <c r="I11" s="14">
        <v>44.69</v>
      </c>
      <c r="J11" s="15">
        <v>1.0860000000000002E-2</v>
      </c>
      <c r="K11" s="16">
        <v>120946.02</v>
      </c>
      <c r="L11" s="16">
        <v>5408351.4992500003</v>
      </c>
      <c r="M11" s="17">
        <v>65716</v>
      </c>
      <c r="N11" s="14">
        <v>44.69</v>
      </c>
      <c r="O11" s="14">
        <v>44.7</v>
      </c>
      <c r="P11" s="18">
        <f>IF(OR(N11="",O11="",N11=0,O11=0),"",(O11-N11)/((O11+N11)/2))</f>
        <v>2.2373867322978222E-4</v>
      </c>
      <c r="Q11" s="14">
        <v>44.717068820000001</v>
      </c>
      <c r="R11" s="14">
        <v>45.05</v>
      </c>
      <c r="S11" s="14">
        <v>44.12</v>
      </c>
      <c r="T11" s="12">
        <v>46236.0124769213</v>
      </c>
      <c r="U11" s="12">
        <v>46237.0124769213</v>
      </c>
      <c r="V11" s="14">
        <v>5</v>
      </c>
      <c r="W11" s="14">
        <v>1E-3</v>
      </c>
      <c r="X11" s="14">
        <v>1E-3</v>
      </c>
      <c r="Y11" s="14">
        <v>0.01</v>
      </c>
      <c r="Z11" s="10" t="str">
        <f>IF(AND(D11="TRADING",I11&lt;&gt;"",L11&lt;&gt;"",M11&lt;&gt;"",N11&lt;&gt;"",O11&lt;&gt;""),"Yes","No")</f>
        <v>Yes</v>
      </c>
      <c r="AA11" s="10" t="s">
        <v>56</v>
      </c>
    </row>
    <row r="12" spans="1:27">
      <c r="A12" s="10" t="s">
        <v>1036</v>
      </c>
      <c r="B12" s="10" t="s">
        <v>1037</v>
      </c>
      <c r="C12" s="10" t="s">
        <v>12</v>
      </c>
      <c r="D12" s="10" t="s">
        <v>55</v>
      </c>
      <c r="E12" s="11" t="b">
        <v>1</v>
      </c>
      <c r="F12" s="12">
        <v>43178</v>
      </c>
      <c r="G12" s="12">
        <v>43178.999999988424</v>
      </c>
      <c r="H12" s="13">
        <f>IF(F12="","",(Summary!$B$5-F12)/365.25)</f>
        <v>8.3751197572058729</v>
      </c>
      <c r="I12" s="14">
        <v>0.64900000000000002</v>
      </c>
      <c r="J12" s="15">
        <v>3.0899999999999999E-3</v>
      </c>
      <c r="K12" s="16">
        <v>75399.3</v>
      </c>
      <c r="L12" s="16">
        <v>48935.060599999997</v>
      </c>
      <c r="M12" s="17">
        <v>874</v>
      </c>
      <c r="N12" s="14">
        <v>0.64900000000000002</v>
      </c>
      <c r="O12" s="14">
        <v>0.65</v>
      </c>
      <c r="P12" s="18">
        <f>IF(OR(N12="",O12="",N12=0,O12=0),"",(O12-N12)/((O12+N12)/2))</f>
        <v>1.5396458814472685E-3</v>
      </c>
      <c r="Q12" s="14">
        <v>0.64901213000000002</v>
      </c>
      <c r="R12" s="14">
        <v>0.65400000000000003</v>
      </c>
      <c r="S12" s="14">
        <v>0.64500000000000002</v>
      </c>
      <c r="T12" s="12">
        <v>46236.012445879627</v>
      </c>
      <c r="U12" s="12">
        <v>46237.012445879627</v>
      </c>
      <c r="V12" s="14">
        <v>5</v>
      </c>
      <c r="W12" s="14">
        <v>0.1</v>
      </c>
      <c r="X12" s="14">
        <v>0.1</v>
      </c>
      <c r="Y12" s="14">
        <v>1E-3</v>
      </c>
      <c r="Z12" s="10" t="str">
        <f>IF(AND(D12="TRADING",I12&lt;&gt;"",L12&lt;&gt;"",M12&lt;&gt;"",N12&lt;&gt;"",O12&lt;&gt;""),"Yes","No")</f>
        <v>Yes</v>
      </c>
      <c r="AA12" s="10" t="s">
        <v>56</v>
      </c>
    </row>
    <row r="13" spans="1:27">
      <c r="A13" s="10" t="s">
        <v>103</v>
      </c>
      <c r="B13" s="10" t="s">
        <v>104</v>
      </c>
      <c r="C13" s="10" t="s">
        <v>12</v>
      </c>
      <c r="D13" s="10" t="s">
        <v>55</v>
      </c>
      <c r="E13" s="11" t="b">
        <v>1</v>
      </c>
      <c r="F13" s="12">
        <v>43207</v>
      </c>
      <c r="G13" s="12">
        <v>43207.999999988424</v>
      </c>
      <c r="H13" s="13">
        <f>IF(F13="","",(Summary!$B$5-F13)/365.25)</f>
        <v>8.295722084379042</v>
      </c>
      <c r="I13" s="14">
        <v>0.18890000000000001</v>
      </c>
      <c r="J13" s="15">
        <v>8.5009999999999988E-2</v>
      </c>
      <c r="K13" s="16">
        <v>243888102.80000001</v>
      </c>
      <c r="L13" s="16">
        <v>45376349.030510001</v>
      </c>
      <c r="M13" s="17">
        <v>189956</v>
      </c>
      <c r="N13" s="14">
        <v>0.18890000000000001</v>
      </c>
      <c r="O13" s="14">
        <v>0.189</v>
      </c>
      <c r="P13" s="18">
        <f>IF(OR(N13="",O13="",N13=0,O13=0),"",(O13-N13)/((O13+N13)/2))</f>
        <v>5.2924053982529226E-4</v>
      </c>
      <c r="Q13" s="14">
        <v>0.18605397000000001</v>
      </c>
      <c r="R13" s="14">
        <v>0.19220000000000001</v>
      </c>
      <c r="S13" s="14">
        <v>0.17280000000000001</v>
      </c>
      <c r="T13" s="12">
        <v>46236.01247908565</v>
      </c>
      <c r="U13" s="12">
        <v>46237.01247908565</v>
      </c>
      <c r="V13" s="14">
        <v>5</v>
      </c>
      <c r="W13" s="14">
        <v>0.1</v>
      </c>
      <c r="X13" s="14">
        <v>0.1</v>
      </c>
      <c r="Y13" s="14">
        <v>1E-4</v>
      </c>
      <c r="Z13" s="10" t="str">
        <f>IF(AND(D13="TRADING",I13&lt;&gt;"",L13&lt;&gt;"",M13&lt;&gt;"",N13&lt;&gt;"",O13&lt;&gt;""),"Yes","No")</f>
        <v>Yes</v>
      </c>
      <c r="AA13" s="10" t="s">
        <v>56</v>
      </c>
    </row>
    <row r="14" spans="1:27">
      <c r="A14" s="10" t="s">
        <v>1385</v>
      </c>
      <c r="B14" s="10" t="s">
        <v>1386</v>
      </c>
      <c r="C14" s="10" t="s">
        <v>12</v>
      </c>
      <c r="D14" s="10" t="s">
        <v>55</v>
      </c>
      <c r="E14" s="11" t="b">
        <v>1</v>
      </c>
      <c r="F14" s="12">
        <v>43224</v>
      </c>
      <c r="G14" s="12">
        <v>43224.999999988424</v>
      </c>
      <c r="H14" s="13">
        <f>IF(F14="","",(Summary!$B$5-F14)/365.25)</f>
        <v>8.249178620997796</v>
      </c>
      <c r="I14" s="14">
        <v>1.0844</v>
      </c>
      <c r="J14" s="15">
        <v>2.052E-2</v>
      </c>
      <c r="K14" s="16">
        <v>33785021.200000003</v>
      </c>
      <c r="L14" s="16">
        <v>36501253.407990001</v>
      </c>
      <c r="M14" s="17">
        <v>196164</v>
      </c>
      <c r="N14" s="14">
        <v>1.0844</v>
      </c>
      <c r="O14" s="14">
        <v>1.0845</v>
      </c>
      <c r="P14" s="18">
        <f>IF(OR(N14="",O14="",N14=0,O14=0),"",(O14-N14)/((O14+N14)/2))</f>
        <v>9.2212642353256487E-5</v>
      </c>
      <c r="Q14" s="14">
        <v>1.0803975299999999</v>
      </c>
      <c r="R14" s="14">
        <v>1.0932999999999999</v>
      </c>
      <c r="S14" s="14">
        <v>1.0609</v>
      </c>
      <c r="T14" s="12">
        <v>46236.012480393518</v>
      </c>
      <c r="U14" s="12">
        <v>46237.012480393518</v>
      </c>
      <c r="V14" s="14">
        <v>5</v>
      </c>
      <c r="W14" s="14">
        <v>0.1</v>
      </c>
      <c r="X14" s="14">
        <v>0.1</v>
      </c>
      <c r="Y14" s="14">
        <v>1E-4</v>
      </c>
      <c r="Z14" s="10" t="str">
        <f>IF(AND(D14="TRADING",I14&lt;&gt;"",L14&lt;&gt;"",M14&lt;&gt;"",N14&lt;&gt;"",O14&lt;&gt;""),"Yes","No")</f>
        <v>Yes</v>
      </c>
      <c r="AA14" s="10" t="s">
        <v>56</v>
      </c>
    </row>
    <row r="15" spans="1:27">
      <c r="A15" s="10" t="s">
        <v>483</v>
      </c>
      <c r="B15" s="10" t="s">
        <v>484</v>
      </c>
      <c r="C15" s="10" t="s">
        <v>12</v>
      </c>
      <c r="D15" s="10" t="s">
        <v>84</v>
      </c>
      <c r="E15" s="11" t="b">
        <v>1</v>
      </c>
      <c r="F15" s="12">
        <v>43248</v>
      </c>
      <c r="G15" s="12">
        <v>43248.999999988424</v>
      </c>
      <c r="H15" s="13">
        <f>IF(F15="","",(Summary!$B$5-F15)/365.25)</f>
        <v>8.1834702021066263</v>
      </c>
      <c r="I15" s="14">
        <v>0.77990000000000004</v>
      </c>
      <c r="J15" s="15">
        <v>-6.62E-3</v>
      </c>
      <c r="K15" s="16">
        <v>1180284.8</v>
      </c>
      <c r="L15" s="16">
        <v>924391.64369000006</v>
      </c>
      <c r="M15" s="17">
        <v>4001</v>
      </c>
      <c r="N15" s="14">
        <v>0</v>
      </c>
      <c r="O15" s="14">
        <v>0</v>
      </c>
      <c r="P15" s="18" t="str">
        <f>IF(OR(N15="",O15="",N15=0,O15=0),"",(O15-N15)/((O15+N15)/2))</f>
        <v/>
      </c>
      <c r="Q15" s="14">
        <v>0.78319371999999998</v>
      </c>
      <c r="R15" s="14">
        <v>0.79959999999999998</v>
      </c>
      <c r="S15" s="14">
        <v>0.76800000000000002</v>
      </c>
      <c r="T15" s="12">
        <v>46209.261123090277</v>
      </c>
      <c r="U15" s="12">
        <v>46210.261123090277</v>
      </c>
      <c r="V15" s="14">
        <v>5</v>
      </c>
      <c r="W15" s="14">
        <v>0.1</v>
      </c>
      <c r="X15" s="14">
        <v>0.1</v>
      </c>
      <c r="Y15" s="14">
        <v>1E-4</v>
      </c>
      <c r="Z15" s="10" t="str">
        <f>IF(AND(D15="TRADING",I15&lt;&gt;"",L15&lt;&gt;"",M15&lt;&gt;"",N15&lt;&gt;"",O15&lt;&gt;""),"Yes","No")</f>
        <v>No</v>
      </c>
      <c r="AA15" s="10" t="s">
        <v>56</v>
      </c>
    </row>
    <row r="16" spans="1:27">
      <c r="A16" s="10" t="s">
        <v>678</v>
      </c>
      <c r="B16" s="10" t="s">
        <v>679</v>
      </c>
      <c r="C16" s="10" t="s">
        <v>12</v>
      </c>
      <c r="D16" s="10" t="s">
        <v>55</v>
      </c>
      <c r="E16" s="11" t="b">
        <v>1</v>
      </c>
      <c r="F16" s="12">
        <v>43251</v>
      </c>
      <c r="G16" s="12">
        <v>43251.999999988424</v>
      </c>
      <c r="H16" s="13">
        <f>IF(F16="","",(Summary!$B$5-F16)/365.25)</f>
        <v>8.1752566497452293</v>
      </c>
      <c r="I16" s="14">
        <v>3.39E-2</v>
      </c>
      <c r="J16" s="15">
        <v>4.308E-2</v>
      </c>
      <c r="K16" s="16">
        <v>5655464</v>
      </c>
      <c r="L16" s="16">
        <v>187059.48680000001</v>
      </c>
      <c r="M16" s="17">
        <v>2642</v>
      </c>
      <c r="N16" s="14">
        <v>3.3799999999999997E-2</v>
      </c>
      <c r="O16" s="14">
        <v>3.39E-2</v>
      </c>
      <c r="P16" s="18">
        <f>IF(OR(N16="",O16="",N16=0,O16=0),"",(O16-N16)/((O16+N16)/2))</f>
        <v>2.9542097488922561E-3</v>
      </c>
      <c r="Q16" s="14">
        <v>3.3075889999999997E-2</v>
      </c>
      <c r="R16" s="14">
        <v>3.4099999999999998E-2</v>
      </c>
      <c r="S16" s="14">
        <v>3.2399999999999998E-2</v>
      </c>
      <c r="T16" s="12">
        <v>46236.012433124997</v>
      </c>
      <c r="U16" s="12">
        <v>46237.012433124997</v>
      </c>
      <c r="V16" s="14">
        <v>5</v>
      </c>
      <c r="W16" s="14">
        <v>1</v>
      </c>
      <c r="X16" s="14">
        <v>1</v>
      </c>
      <c r="Y16" s="14">
        <v>1E-4</v>
      </c>
      <c r="Z16" s="10" t="str">
        <f>IF(AND(D16="TRADING",I16&lt;&gt;"",L16&lt;&gt;"",M16&lt;&gt;"",N16&lt;&gt;"",O16&lt;&gt;""),"Yes","No")</f>
        <v>Yes</v>
      </c>
      <c r="AA16" s="10" t="s">
        <v>56</v>
      </c>
    </row>
    <row r="17" spans="1:27">
      <c r="A17" s="10" t="s">
        <v>1265</v>
      </c>
      <c r="B17" s="10" t="s">
        <v>1266</v>
      </c>
      <c r="C17" s="10" t="s">
        <v>12</v>
      </c>
      <c r="D17" s="10" t="s">
        <v>55</v>
      </c>
      <c r="E17" s="11" t="b">
        <v>1</v>
      </c>
      <c r="F17" s="12">
        <v>43251</v>
      </c>
      <c r="G17" s="12">
        <v>43251.999999988424</v>
      </c>
      <c r="H17" s="13">
        <f>IF(F17="","",(Summary!$B$5-F17)/365.25)</f>
        <v>8.1752566497452293</v>
      </c>
      <c r="I17" s="14">
        <v>0.99639999999999995</v>
      </c>
      <c r="J17" s="15">
        <v>4.0000000000000002E-4</v>
      </c>
      <c r="K17" s="16">
        <v>21119</v>
      </c>
      <c r="L17" s="16">
        <v>21042.079900000001</v>
      </c>
      <c r="M17" s="17">
        <v>715</v>
      </c>
      <c r="N17" s="14">
        <v>0.99639999999999995</v>
      </c>
      <c r="O17" s="14">
        <v>0.99650000000000005</v>
      </c>
      <c r="P17" s="18">
        <f>IF(OR(N17="",O17="",N17=0,O17=0),"",(O17-N17)/((O17+N17)/2))</f>
        <v>1.0035626473992674E-4</v>
      </c>
      <c r="Q17" s="14">
        <v>0.99635777999999997</v>
      </c>
      <c r="R17" s="14">
        <v>0.99670000000000003</v>
      </c>
      <c r="S17" s="14">
        <v>0.996</v>
      </c>
      <c r="T17" s="12">
        <v>46236.011262905093</v>
      </c>
      <c r="U17" s="12">
        <v>46237.011262905093</v>
      </c>
      <c r="V17" s="14">
        <v>5</v>
      </c>
      <c r="W17" s="14">
        <v>1</v>
      </c>
      <c r="X17" s="14">
        <v>1</v>
      </c>
      <c r="Y17" s="14">
        <v>1E-4</v>
      </c>
      <c r="Z17" s="10" t="str">
        <f>IF(AND(D17="TRADING",I17&lt;&gt;"",L17&lt;&gt;"",M17&lt;&gt;"",N17&lt;&gt;"",O17&lt;&gt;""),"Yes","No")</f>
        <v>Yes</v>
      </c>
      <c r="AA17" s="10" t="s">
        <v>56</v>
      </c>
    </row>
    <row r="18" spans="1:27">
      <c r="A18" s="10" t="s">
        <v>1373</v>
      </c>
      <c r="B18" s="10" t="s">
        <v>1374</v>
      </c>
      <c r="C18" s="10" t="s">
        <v>12</v>
      </c>
      <c r="D18" s="10" t="s">
        <v>55</v>
      </c>
      <c r="E18" s="11" t="b">
        <v>1</v>
      </c>
      <c r="F18" s="12">
        <v>43251</v>
      </c>
      <c r="G18" s="12">
        <v>43251.999999988424</v>
      </c>
      <c r="H18" s="13">
        <f>IF(F18="","",(Summary!$B$5-F18)/365.25)</f>
        <v>8.1752566497452293</v>
      </c>
      <c r="I18" s="14">
        <v>0.1741</v>
      </c>
      <c r="J18" s="15">
        <v>1.753E-2</v>
      </c>
      <c r="K18" s="16">
        <v>41148193</v>
      </c>
      <c r="L18" s="16">
        <v>7187436.6681000004</v>
      </c>
      <c r="M18" s="17">
        <v>67170</v>
      </c>
      <c r="N18" s="14">
        <v>0.17399999999999999</v>
      </c>
      <c r="O18" s="14">
        <v>0.1741</v>
      </c>
      <c r="P18" s="18">
        <f>IF(OR(N18="",O18="",N18=0,O18=0),"",(O18-N18)/((O18+N18)/2))</f>
        <v>5.7454754380934642E-4</v>
      </c>
      <c r="Q18" s="14">
        <v>0.17467199</v>
      </c>
      <c r="R18" s="14">
        <v>0.17760000000000001</v>
      </c>
      <c r="S18" s="14">
        <v>0.17050000000000001</v>
      </c>
      <c r="T18" s="12">
        <v>46236.012479027777</v>
      </c>
      <c r="U18" s="12">
        <v>46237.012479027777</v>
      </c>
      <c r="V18" s="14">
        <v>5</v>
      </c>
      <c r="W18" s="14">
        <v>1</v>
      </c>
      <c r="X18" s="14">
        <v>1</v>
      </c>
      <c r="Y18" s="14">
        <v>1E-4</v>
      </c>
      <c r="Z18" s="10" t="str">
        <f>IF(AND(D18="TRADING",I18&lt;&gt;"",L18&lt;&gt;"",M18&lt;&gt;"",N18&lt;&gt;"",O18&lt;&gt;""),"Yes","No")</f>
        <v>Yes</v>
      </c>
      <c r="AA18" s="10" t="s">
        <v>56</v>
      </c>
    </row>
    <row r="19" spans="1:27">
      <c r="A19" s="10" t="s">
        <v>928</v>
      </c>
      <c r="B19" s="10" t="s">
        <v>929</v>
      </c>
      <c r="C19" s="10" t="s">
        <v>12</v>
      </c>
      <c r="D19" s="10" t="s">
        <v>55</v>
      </c>
      <c r="E19" s="11" t="b">
        <v>1</v>
      </c>
      <c r="F19" s="12">
        <v>43259</v>
      </c>
      <c r="G19" s="12">
        <v>43259.999999988424</v>
      </c>
      <c r="H19" s="13">
        <f>IF(F19="","",(Summary!$B$5-F19)/365.25)</f>
        <v>8.1533538434481727</v>
      </c>
      <c r="I19" s="14">
        <v>3.7539999999999997E-2</v>
      </c>
      <c r="J19" s="15">
        <v>3.2100000000000002E-3</v>
      </c>
      <c r="K19" s="16">
        <v>1706805</v>
      </c>
      <c r="L19" s="16">
        <v>64228.447399999997</v>
      </c>
      <c r="M19" s="17">
        <v>1069</v>
      </c>
      <c r="N19" s="14">
        <v>3.7560000000000003E-2</v>
      </c>
      <c r="O19" s="14">
        <v>3.7580000000000002E-2</v>
      </c>
      <c r="P19" s="18">
        <f>IF(OR(N19="",O19="",N19=0,O19=0),"",(O19-N19)/((O19+N19)/2))</f>
        <v>5.323396326856317E-4</v>
      </c>
      <c r="Q19" s="14">
        <v>3.7630810000000001E-2</v>
      </c>
      <c r="R19" s="14">
        <v>3.7839999999999999E-2</v>
      </c>
      <c r="S19" s="14">
        <v>3.7269999999999998E-2</v>
      </c>
      <c r="T19" s="12">
        <v>46236.012476145836</v>
      </c>
      <c r="U19" s="12">
        <v>46237.012476145836</v>
      </c>
      <c r="V19" s="14">
        <v>5</v>
      </c>
      <c r="W19" s="14">
        <v>1</v>
      </c>
      <c r="X19" s="14">
        <v>1</v>
      </c>
      <c r="Y19" s="14">
        <v>1.0000000000000001E-5</v>
      </c>
      <c r="Z19" s="10" t="str">
        <f>IF(AND(D19="TRADING",I19&lt;&gt;"",L19&lt;&gt;"",M19&lt;&gt;"",N19&lt;&gt;"",O19&lt;&gt;""),"Yes","No")</f>
        <v>Yes</v>
      </c>
      <c r="AA19" s="10" t="s">
        <v>56</v>
      </c>
    </row>
    <row r="20" spans="1:27">
      <c r="A20" s="10" t="s">
        <v>1251</v>
      </c>
      <c r="B20" s="10" t="s">
        <v>1252</v>
      </c>
      <c r="C20" s="10" t="s">
        <v>12</v>
      </c>
      <c r="D20" s="10" t="s">
        <v>55</v>
      </c>
      <c r="E20" s="11" t="b">
        <v>1</v>
      </c>
      <c r="F20" s="12">
        <v>43262</v>
      </c>
      <c r="G20" s="12">
        <v>43262.999999988424</v>
      </c>
      <c r="H20" s="13">
        <f>IF(F20="","",(Summary!$B$5-F20)/365.25)</f>
        <v>8.1451402910867756</v>
      </c>
      <c r="I20" s="14">
        <v>0.3261</v>
      </c>
      <c r="J20" s="15">
        <v>-7.6100000000000004E-3</v>
      </c>
      <c r="K20" s="16">
        <v>53397178.299999997</v>
      </c>
      <c r="L20" s="16">
        <v>17485986.305769999</v>
      </c>
      <c r="M20" s="17">
        <v>39320</v>
      </c>
      <c r="N20" s="14">
        <v>0.32600000000000001</v>
      </c>
      <c r="O20" s="14">
        <v>0.3261</v>
      </c>
      <c r="P20" s="18">
        <f>IF(OR(N20="",O20="",N20=0,O20=0),"",(O20-N20)/((O20+N20)/2))</f>
        <v>3.0670142616159786E-4</v>
      </c>
      <c r="Q20" s="14">
        <v>0.32747022999999997</v>
      </c>
      <c r="R20" s="14">
        <v>0.32869999999999999</v>
      </c>
      <c r="S20" s="14">
        <v>0.32600000000000001</v>
      </c>
      <c r="T20" s="12">
        <v>46236.012480787038</v>
      </c>
      <c r="U20" s="12">
        <v>46237.012480787038</v>
      </c>
      <c r="V20" s="14">
        <v>5</v>
      </c>
      <c r="W20" s="14">
        <v>0.1</v>
      </c>
      <c r="X20" s="14">
        <v>0.1</v>
      </c>
      <c r="Y20" s="14">
        <v>1E-4</v>
      </c>
      <c r="Z20" s="10" t="str">
        <f>IF(AND(D20="TRADING",I20&lt;&gt;"",L20&lt;&gt;"",M20&lt;&gt;"",N20&lt;&gt;"",O20&lt;&gt;""),"Yes","No")</f>
        <v>Yes</v>
      </c>
      <c r="AA20" s="10" t="s">
        <v>56</v>
      </c>
    </row>
    <row r="21" spans="1:27">
      <c r="A21" s="10" t="s">
        <v>499</v>
      </c>
      <c r="B21" s="10" t="s">
        <v>500</v>
      </c>
      <c r="C21" s="10" t="s">
        <v>12</v>
      </c>
      <c r="D21" s="10" t="s">
        <v>55</v>
      </c>
      <c r="E21" s="11" t="b">
        <v>1</v>
      </c>
      <c r="F21" s="12">
        <v>43263</v>
      </c>
      <c r="G21" s="12">
        <v>43263.999999988424</v>
      </c>
      <c r="H21" s="13">
        <f>IF(F21="","",(Summary!$B$5-F21)/365.25)</f>
        <v>8.1424024402996444</v>
      </c>
      <c r="I21" s="14">
        <v>6.62</v>
      </c>
      <c r="J21" s="15">
        <v>1.3779999999999999E-2</v>
      </c>
      <c r="K21" s="16">
        <v>155841.87</v>
      </c>
      <c r="L21" s="16">
        <v>1032882.3138</v>
      </c>
      <c r="M21" s="17">
        <v>11177</v>
      </c>
      <c r="N21" s="14">
        <v>6.62</v>
      </c>
      <c r="O21" s="14">
        <v>6.63</v>
      </c>
      <c r="P21" s="18">
        <f>IF(OR(N21="",O21="",N21=0,O21=0),"",(O21-N21)/((O21+N21)/2))</f>
        <v>1.5094339622641188E-3</v>
      </c>
      <c r="Q21" s="14">
        <v>6.62775873</v>
      </c>
      <c r="R21" s="14">
        <v>6.68</v>
      </c>
      <c r="S21" s="14">
        <v>6.51</v>
      </c>
      <c r="T21" s="12">
        <v>46236.012476793985</v>
      </c>
      <c r="U21" s="12">
        <v>46237.012476793985</v>
      </c>
      <c r="V21" s="14">
        <v>5</v>
      </c>
      <c r="W21" s="14">
        <v>0.01</v>
      </c>
      <c r="X21" s="14">
        <v>0.01</v>
      </c>
      <c r="Y21" s="14">
        <v>0.01</v>
      </c>
      <c r="Z21" s="10" t="str">
        <f>IF(AND(D21="TRADING",I21&lt;&gt;"",L21&lt;&gt;"",M21&lt;&gt;"",N21&lt;&gt;"",O21&lt;&gt;""),"Yes","No")</f>
        <v>Yes</v>
      </c>
      <c r="AA21" s="10" t="s">
        <v>56</v>
      </c>
    </row>
    <row r="22" spans="1:27">
      <c r="A22" s="10" t="s">
        <v>658</v>
      </c>
      <c r="B22" s="10" t="s">
        <v>659</v>
      </c>
      <c r="C22" s="10" t="s">
        <v>12</v>
      </c>
      <c r="D22" s="10" t="s">
        <v>55</v>
      </c>
      <c r="E22" s="11" t="b">
        <v>1</v>
      </c>
      <c r="F22" s="12">
        <v>43264</v>
      </c>
      <c r="G22" s="12">
        <v>43264.999999988424</v>
      </c>
      <c r="H22" s="13">
        <f>IF(F22="","",(Summary!$B$5-F22)/365.25)</f>
        <v>8.1396645895125115</v>
      </c>
      <c r="I22" s="14">
        <v>2.1499999999999998E-2</v>
      </c>
      <c r="J22" s="15">
        <v>-1.376E-2</v>
      </c>
      <c r="K22" s="16">
        <v>1864476.7</v>
      </c>
      <c r="L22" s="16">
        <v>40113.134429999998</v>
      </c>
      <c r="M22" s="17">
        <v>821</v>
      </c>
      <c r="N22" s="14">
        <v>2.1399999999999999E-2</v>
      </c>
      <c r="O22" s="14">
        <v>2.1499999999999998E-2</v>
      </c>
      <c r="P22" s="18">
        <f>IF(OR(N22="",O22="",N22=0,O22=0),"",(O22-N22)/((O22+N22)/2))</f>
        <v>4.6620046620046342E-3</v>
      </c>
      <c r="Q22" s="14">
        <v>2.1514419999999999E-2</v>
      </c>
      <c r="R22" s="14">
        <v>2.1899999999999999E-2</v>
      </c>
      <c r="S22" s="14">
        <v>2.12E-2</v>
      </c>
      <c r="T22" s="12">
        <v>46236.012315416665</v>
      </c>
      <c r="U22" s="12">
        <v>46237.012315416665</v>
      </c>
      <c r="V22" s="14">
        <v>5</v>
      </c>
      <c r="W22" s="14">
        <v>0.1</v>
      </c>
      <c r="X22" s="14">
        <v>0.1</v>
      </c>
      <c r="Y22" s="14">
        <v>1E-4</v>
      </c>
      <c r="Z22" s="10" t="str">
        <f>IF(AND(D22="TRADING",I22&lt;&gt;"",L22&lt;&gt;"",M22&lt;&gt;"",N22&lt;&gt;"",O22&lt;&gt;""),"Yes","No")</f>
        <v>Yes</v>
      </c>
      <c r="AA22" s="10" t="s">
        <v>56</v>
      </c>
    </row>
    <row r="23" spans="1:27">
      <c r="A23" s="10" t="s">
        <v>1309</v>
      </c>
      <c r="B23" s="10" t="s">
        <v>1310</v>
      </c>
      <c r="C23" s="10" t="s">
        <v>12</v>
      </c>
      <c r="D23" s="10" t="s">
        <v>84</v>
      </c>
      <c r="E23" s="11" t="b">
        <v>1</v>
      </c>
      <c r="F23" s="12">
        <v>43273</v>
      </c>
      <c r="G23" s="12">
        <v>43273.999999988424</v>
      </c>
      <c r="H23" s="13">
        <f>IF(F23="","",(Summary!$B$5-F23)/365.25)</f>
        <v>8.1150239324283238</v>
      </c>
      <c r="I23" s="14">
        <v>0</v>
      </c>
      <c r="J23" s="15">
        <v>0</v>
      </c>
      <c r="K23" s="16">
        <v>0</v>
      </c>
      <c r="L23" s="16">
        <v>0</v>
      </c>
      <c r="M23" s="17">
        <v>0</v>
      </c>
      <c r="N23" s="14">
        <v>0</v>
      </c>
      <c r="O23" s="14">
        <v>0</v>
      </c>
      <c r="P23" s="18" t="str">
        <f>IF(OR(N23="",O23="",N23=0,O23=0),"",(O23-N23)/((O23+N23)/2))</f>
        <v/>
      </c>
      <c r="Q23" s="14">
        <v>0</v>
      </c>
      <c r="R23" s="14">
        <v>0</v>
      </c>
      <c r="S23" s="14">
        <v>0</v>
      </c>
      <c r="T23" s="12">
        <v>46209.261123090277</v>
      </c>
      <c r="U23" s="12">
        <v>46210.261123090277</v>
      </c>
      <c r="V23" s="14">
        <v>10</v>
      </c>
      <c r="W23" s="14">
        <v>0.01</v>
      </c>
      <c r="X23" s="14">
        <v>0.01</v>
      </c>
      <c r="Y23" s="14">
        <v>1E-4</v>
      </c>
      <c r="Z23" s="10" t="str">
        <f>IF(AND(D23="TRADING",I23&lt;&gt;"",L23&lt;&gt;"",M23&lt;&gt;"",N23&lt;&gt;"",O23&lt;&gt;""),"Yes","No")</f>
        <v>No</v>
      </c>
      <c r="AA23" s="10" t="s">
        <v>56</v>
      </c>
    </row>
    <row r="24" spans="1:27">
      <c r="A24" s="10" t="s">
        <v>900</v>
      </c>
      <c r="B24" s="10" t="s">
        <v>901</v>
      </c>
      <c r="C24" s="10" t="s">
        <v>12</v>
      </c>
      <c r="D24" s="10" t="s">
        <v>84</v>
      </c>
      <c r="E24" s="11" t="b">
        <v>1</v>
      </c>
      <c r="F24" s="12">
        <v>43304</v>
      </c>
      <c r="G24" s="12">
        <v>43304.999999988424</v>
      </c>
      <c r="H24" s="13">
        <f>IF(F24="","",(Summary!$B$5-F24)/365.25)</f>
        <v>8.030150558027227</v>
      </c>
      <c r="I24" s="14">
        <v>2.58E-2</v>
      </c>
      <c r="J24" s="15">
        <v>-7.1940000000000004E-2</v>
      </c>
      <c r="K24" s="16">
        <v>6282246</v>
      </c>
      <c r="L24" s="16">
        <v>158334.2691</v>
      </c>
      <c r="M24" s="17">
        <v>4001</v>
      </c>
      <c r="N24" s="14">
        <v>0</v>
      </c>
      <c r="O24" s="14">
        <v>0</v>
      </c>
      <c r="P24" s="18" t="str">
        <f>IF(OR(N24="",O24="",N24=0,O24=0),"",(O24-N24)/((O24+N24)/2))</f>
        <v/>
      </c>
      <c r="Q24" s="14">
        <v>2.5203449999999999E-2</v>
      </c>
      <c r="R24" s="14">
        <v>2.8899999999999999E-2</v>
      </c>
      <c r="S24" s="14">
        <v>2.2700000000000001E-2</v>
      </c>
      <c r="T24" s="12">
        <v>46209.261123090277</v>
      </c>
      <c r="U24" s="12">
        <v>46210.261123090277</v>
      </c>
      <c r="V24" s="14">
        <v>5</v>
      </c>
      <c r="W24" s="14">
        <v>1</v>
      </c>
      <c r="X24" s="14">
        <v>1</v>
      </c>
      <c r="Y24" s="14">
        <v>1E-4</v>
      </c>
      <c r="Z24" s="10" t="str">
        <f>IF(AND(D24="TRADING",I24&lt;&gt;"",L24&lt;&gt;"",M24&lt;&gt;"",N24&lt;&gt;"",O24&lt;&gt;""),"Yes","No")</f>
        <v>No</v>
      </c>
      <c r="AA24" s="10" t="s">
        <v>56</v>
      </c>
    </row>
    <row r="25" spans="1:27">
      <c r="A25" s="10" t="s">
        <v>1311</v>
      </c>
      <c r="B25" s="10" t="s">
        <v>1312</v>
      </c>
      <c r="C25" s="10" t="s">
        <v>12</v>
      </c>
      <c r="D25" s="10" t="s">
        <v>55</v>
      </c>
      <c r="E25" s="11" t="b">
        <v>1</v>
      </c>
      <c r="F25" s="12">
        <v>43306</v>
      </c>
      <c r="G25" s="12">
        <v>43306.999999988424</v>
      </c>
      <c r="H25" s="13">
        <f>IF(F25="","",(Summary!$B$5-F25)/365.25)</f>
        <v>8.0246748564529629</v>
      </c>
      <c r="I25" s="14">
        <v>4.6930000000000001E-3</v>
      </c>
      <c r="J25" s="15">
        <v>7.7299999999999999E-3</v>
      </c>
      <c r="K25" s="16">
        <v>112498452.8</v>
      </c>
      <c r="L25" s="16">
        <v>528055.33881460002</v>
      </c>
      <c r="M25" s="17">
        <v>8181</v>
      </c>
      <c r="N25" s="14">
        <v>4.6950000000000004E-3</v>
      </c>
      <c r="O25" s="14">
        <v>4.6959999999999997E-3</v>
      </c>
      <c r="P25" s="18">
        <f>IF(OR(N25="",O25="",N25=0,O25=0),"",(O25-N25)/((O25+N25)/2))</f>
        <v>2.1296986476397942E-4</v>
      </c>
      <c r="Q25" s="14">
        <v>4.69389E-3</v>
      </c>
      <c r="R25" s="14">
        <v>4.7739999999999996E-3</v>
      </c>
      <c r="S25" s="14">
        <v>4.6509999999999998E-3</v>
      </c>
      <c r="T25" s="12">
        <v>46236.012476180556</v>
      </c>
      <c r="U25" s="12">
        <v>46237.012476180556</v>
      </c>
      <c r="V25" s="14">
        <v>5</v>
      </c>
      <c r="W25" s="14">
        <v>0.1</v>
      </c>
      <c r="X25" s="14">
        <v>0.1</v>
      </c>
      <c r="Y25" s="14">
        <v>9.9999999999999995E-7</v>
      </c>
      <c r="Z25" s="10" t="str">
        <f>IF(AND(D25="TRADING",I25&lt;&gt;"",L25&lt;&gt;"",M25&lt;&gt;"",N25&lt;&gt;"",O25&lt;&gt;""),"Yes","No")</f>
        <v>Yes</v>
      </c>
      <c r="AA25" s="10" t="s">
        <v>56</v>
      </c>
    </row>
    <row r="26" spans="1:27">
      <c r="A26" s="10" t="s">
        <v>956</v>
      </c>
      <c r="B26" s="10" t="s">
        <v>957</v>
      </c>
      <c r="C26" s="10" t="s">
        <v>12</v>
      </c>
      <c r="D26" s="10" t="s">
        <v>84</v>
      </c>
      <c r="E26" s="11" t="b">
        <v>1</v>
      </c>
      <c r="F26" s="12">
        <v>43377</v>
      </c>
      <c r="G26" s="12">
        <v>43377.999999988424</v>
      </c>
      <c r="H26" s="13">
        <f>IF(F26="","",(Summary!$B$5-F26)/365.25)</f>
        <v>7.8302874505665843</v>
      </c>
      <c r="I26" s="14">
        <v>0</v>
      </c>
      <c r="J26" s="15">
        <v>0</v>
      </c>
      <c r="K26" s="16">
        <v>0</v>
      </c>
      <c r="L26" s="16">
        <v>0</v>
      </c>
      <c r="M26" s="17">
        <v>0</v>
      </c>
      <c r="N26" s="14">
        <v>0</v>
      </c>
      <c r="O26" s="14">
        <v>0</v>
      </c>
      <c r="P26" s="18" t="str">
        <f>IF(OR(N26="",O26="",N26=0,O26=0),"",(O26-N26)/((O26+N26)/2))</f>
        <v/>
      </c>
      <c r="Q26" s="14">
        <v>0</v>
      </c>
      <c r="R26" s="14">
        <v>0</v>
      </c>
      <c r="S26" s="14">
        <v>0</v>
      </c>
      <c r="T26" s="12">
        <v>46209.261123090277</v>
      </c>
      <c r="U26" s="12">
        <v>46210.261123090277</v>
      </c>
      <c r="V26" s="14">
        <v>10</v>
      </c>
      <c r="W26" s="14">
        <v>0.01</v>
      </c>
      <c r="X26" s="14">
        <v>0.01</v>
      </c>
      <c r="Y26" s="14">
        <v>1E-4</v>
      </c>
      <c r="Z26" s="10" t="str">
        <f>IF(AND(D26="TRADING",I26&lt;&gt;"",L26&lt;&gt;"",M26&lt;&gt;"",N26&lt;&gt;"",O26&lt;&gt;""),"Yes","No")</f>
        <v>No</v>
      </c>
      <c r="AA26" s="10" t="s">
        <v>56</v>
      </c>
    </row>
    <row r="27" spans="1:27">
      <c r="A27" s="10" t="s">
        <v>255</v>
      </c>
      <c r="B27" s="10" t="s">
        <v>256</v>
      </c>
      <c r="C27" s="10" t="s">
        <v>12</v>
      </c>
      <c r="D27" s="10" t="s">
        <v>84</v>
      </c>
      <c r="E27" s="11" t="b">
        <v>1</v>
      </c>
      <c r="F27" s="12">
        <v>43420</v>
      </c>
      <c r="G27" s="12">
        <v>43420.999999988424</v>
      </c>
      <c r="H27" s="13">
        <f>IF(F27="","",(Summary!$B$5-F27)/365.25)</f>
        <v>7.7125598667199045</v>
      </c>
      <c r="I27" s="14">
        <v>0</v>
      </c>
      <c r="J27" s="15">
        <v>0</v>
      </c>
      <c r="K27" s="16">
        <v>0</v>
      </c>
      <c r="L27" s="16">
        <v>0</v>
      </c>
      <c r="M27" s="17">
        <v>0</v>
      </c>
      <c r="N27" s="14">
        <v>0</v>
      </c>
      <c r="O27" s="14">
        <v>0</v>
      </c>
      <c r="P27" s="18" t="str">
        <f>IF(OR(N27="",O27="",N27=0,O27=0),"",(O27-N27)/((O27+N27)/2))</f>
        <v/>
      </c>
      <c r="Q27" s="14">
        <v>0</v>
      </c>
      <c r="R27" s="14">
        <v>0</v>
      </c>
      <c r="S27" s="14">
        <v>0</v>
      </c>
      <c r="T27" s="12">
        <v>46209.261123090277</v>
      </c>
      <c r="U27" s="12">
        <v>46210.261123090277</v>
      </c>
      <c r="V27" s="14">
        <v>10</v>
      </c>
      <c r="W27" s="14">
        <v>1.0000000000000001E-5</v>
      </c>
      <c r="X27" s="14">
        <v>1.0000000000000001E-5</v>
      </c>
      <c r="Y27" s="14">
        <v>0.01</v>
      </c>
      <c r="Z27" s="10" t="str">
        <f>IF(AND(D27="TRADING",I27&lt;&gt;"",L27&lt;&gt;"",M27&lt;&gt;"",N27&lt;&gt;"",O27&lt;&gt;""),"Yes","No")</f>
        <v>No</v>
      </c>
      <c r="AA27" s="10" t="s">
        <v>56</v>
      </c>
    </row>
    <row r="28" spans="1:27">
      <c r="A28" s="10" t="s">
        <v>257</v>
      </c>
      <c r="B28" s="10" t="s">
        <v>258</v>
      </c>
      <c r="C28" s="10" t="s">
        <v>12</v>
      </c>
      <c r="D28" s="10" t="s">
        <v>84</v>
      </c>
      <c r="E28" s="11" t="b">
        <v>1</v>
      </c>
      <c r="F28" s="12">
        <v>43420</v>
      </c>
      <c r="G28" s="12">
        <v>43420.999999988424</v>
      </c>
      <c r="H28" s="13">
        <f>IF(F28="","",(Summary!$B$5-F28)/365.25)</f>
        <v>7.7125598667199045</v>
      </c>
      <c r="I28" s="14">
        <v>0</v>
      </c>
      <c r="J28" s="15">
        <v>0</v>
      </c>
      <c r="K28" s="16">
        <v>0</v>
      </c>
      <c r="L28" s="16">
        <v>0</v>
      </c>
      <c r="M28" s="17">
        <v>0</v>
      </c>
      <c r="N28" s="14">
        <v>0</v>
      </c>
      <c r="O28" s="14">
        <v>0</v>
      </c>
      <c r="P28" s="18" t="str">
        <f>IF(OR(N28="",O28="",N28=0,O28=0),"",(O28-N28)/((O28+N28)/2))</f>
        <v/>
      </c>
      <c r="Q28" s="14">
        <v>0</v>
      </c>
      <c r="R28" s="14">
        <v>0</v>
      </c>
      <c r="S28" s="14">
        <v>0</v>
      </c>
      <c r="T28" s="12">
        <v>46209.261123090277</v>
      </c>
      <c r="U28" s="12">
        <v>46210.261123090277</v>
      </c>
      <c r="V28" s="14">
        <v>10</v>
      </c>
      <c r="W28" s="14">
        <v>1.0000000000000001E-5</v>
      </c>
      <c r="X28" s="14">
        <v>1.0000000000000001E-5</v>
      </c>
      <c r="Y28" s="14">
        <v>0.01</v>
      </c>
      <c r="Z28" s="10" t="str">
        <f>IF(AND(D28="TRADING",I28&lt;&gt;"",L28&lt;&gt;"",M28&lt;&gt;"",N28&lt;&gt;"",O28&lt;&gt;""),"Yes","No")</f>
        <v>No</v>
      </c>
      <c r="AA28" s="10" t="s">
        <v>56</v>
      </c>
    </row>
    <row r="29" spans="1:27">
      <c r="A29" s="10" t="s">
        <v>1283</v>
      </c>
      <c r="B29" s="10" t="s">
        <v>64</v>
      </c>
      <c r="C29" s="10" t="s">
        <v>12</v>
      </c>
      <c r="D29" s="10" t="s">
        <v>55</v>
      </c>
      <c r="E29" s="11" t="b">
        <v>1</v>
      </c>
      <c r="F29" s="12">
        <v>43449</v>
      </c>
      <c r="G29" s="12">
        <v>43449.999999988424</v>
      </c>
      <c r="H29" s="13">
        <f>IF(F29="","",(Summary!$B$5-F29)/365.25)</f>
        <v>7.6331621938930727</v>
      </c>
      <c r="I29" s="14">
        <v>1.0009399999999999</v>
      </c>
      <c r="J29" s="15">
        <v>1.6000000000000001E-4</v>
      </c>
      <c r="K29" s="16">
        <v>659266160</v>
      </c>
      <c r="L29" s="16">
        <v>659823128.15793002</v>
      </c>
      <c r="M29" s="17">
        <v>624110</v>
      </c>
      <c r="N29" s="14">
        <v>1.0009300000000001</v>
      </c>
      <c r="O29" s="14">
        <v>1.0009399999999999</v>
      </c>
      <c r="P29" s="18">
        <f>IF(OR(N29="",O29="",N29=0,O29=0),"",(O29-N29)/((O29+N29)/2))</f>
        <v>9.9906587339272445E-6</v>
      </c>
      <c r="Q29" s="14">
        <v>1.0008448299999999</v>
      </c>
      <c r="R29" s="14">
        <v>1.0009600000000001</v>
      </c>
      <c r="S29" s="14">
        <v>1.0007699999999999</v>
      </c>
      <c r="T29" s="12">
        <v>46236.01248085648</v>
      </c>
      <c r="U29" s="12">
        <v>46237.01248085648</v>
      </c>
      <c r="V29" s="14">
        <v>5</v>
      </c>
      <c r="W29" s="14">
        <v>1</v>
      </c>
      <c r="X29" s="14">
        <v>1</v>
      </c>
      <c r="Y29" s="14">
        <v>1.0000000000000001E-5</v>
      </c>
      <c r="Z29" s="10" t="str">
        <f>IF(AND(D29="TRADING",I29&lt;&gt;"",L29&lt;&gt;"",M29&lt;&gt;"",N29&lt;&gt;"",O29&lt;&gt;""),"Yes","No")</f>
        <v>Yes</v>
      </c>
      <c r="AA29" s="10" t="s">
        <v>56</v>
      </c>
    </row>
    <row r="30" spans="1:27">
      <c r="A30" s="10" t="s">
        <v>750</v>
      </c>
      <c r="B30" s="10" t="s">
        <v>751</v>
      </c>
      <c r="C30" s="10" t="s">
        <v>12</v>
      </c>
      <c r="D30" s="10" t="s">
        <v>55</v>
      </c>
      <c r="E30" s="11" t="b">
        <v>1</v>
      </c>
      <c r="F30" s="12">
        <v>43481</v>
      </c>
      <c r="G30" s="12">
        <v>43481.999999988424</v>
      </c>
      <c r="H30" s="13">
        <f>IF(F30="","",(Summary!$B$5-F30)/365.25)</f>
        <v>7.5455509687048457</v>
      </c>
      <c r="I30" s="14">
        <v>8.3699999999999992</v>
      </c>
      <c r="J30" s="15">
        <v>3.73E-2</v>
      </c>
      <c r="K30" s="16">
        <v>1352465.83</v>
      </c>
      <c r="L30" s="16">
        <v>11259669.201060001</v>
      </c>
      <c r="M30" s="17">
        <v>88474</v>
      </c>
      <c r="N30" s="14">
        <v>8.3699999999999992</v>
      </c>
      <c r="O30" s="14">
        <v>8.3710000000000004</v>
      </c>
      <c r="P30" s="18">
        <f>IF(OR(N30="",O30="",N30=0,O30=0),"",(O30-N30)/((O30+N30)/2))</f>
        <v>1.1946717639343195E-4</v>
      </c>
      <c r="Q30" s="14">
        <v>8.3252892200000002</v>
      </c>
      <c r="R30" s="14">
        <v>8.4550000000000001</v>
      </c>
      <c r="S30" s="14">
        <v>8.0570000000000004</v>
      </c>
      <c r="T30" s="12">
        <v>46236.012479340279</v>
      </c>
      <c r="U30" s="12">
        <v>46237.012479340279</v>
      </c>
      <c r="V30" s="14">
        <v>5</v>
      </c>
      <c r="W30" s="14">
        <v>0.01</v>
      </c>
      <c r="X30" s="14">
        <v>0.01</v>
      </c>
      <c r="Y30" s="14">
        <v>1E-3</v>
      </c>
      <c r="Z30" s="10" t="str">
        <f>IF(AND(D30="TRADING",I30&lt;&gt;"",L30&lt;&gt;"",M30&lt;&gt;"",N30&lt;&gt;"",O30&lt;&gt;""),"Yes","No")</f>
        <v>Yes</v>
      </c>
      <c r="AA30" s="10" t="s">
        <v>56</v>
      </c>
    </row>
    <row r="31" spans="1:27">
      <c r="A31" s="10" t="s">
        <v>1333</v>
      </c>
      <c r="B31" s="10" t="s">
        <v>1334</v>
      </c>
      <c r="C31" s="10" t="s">
        <v>12</v>
      </c>
      <c r="D31" s="10" t="s">
        <v>84</v>
      </c>
      <c r="E31" s="11" t="b">
        <v>1</v>
      </c>
      <c r="F31" s="12">
        <v>43483</v>
      </c>
      <c r="G31" s="12">
        <v>43483.999999988424</v>
      </c>
      <c r="H31" s="13">
        <f>IF(F31="","",(Summary!$B$5-F31)/365.25)</f>
        <v>7.5400752671305815</v>
      </c>
      <c r="I31" s="14">
        <v>1.0760000000000001</v>
      </c>
      <c r="J31" s="15">
        <v>0.11967</v>
      </c>
      <c r="K31" s="16">
        <v>435097.68</v>
      </c>
      <c r="L31" s="16">
        <v>438682.24605999998</v>
      </c>
      <c r="M31" s="17">
        <v>4001</v>
      </c>
      <c r="N31" s="14">
        <v>0</v>
      </c>
      <c r="O31" s="14">
        <v>0</v>
      </c>
      <c r="P31" s="18" t="str">
        <f>IF(OR(N31="",O31="",N31=0,O31=0),"",(O31-N31)/((O31+N31)/2))</f>
        <v/>
      </c>
      <c r="Q31" s="14">
        <v>1.0082385300000001</v>
      </c>
      <c r="R31" s="14">
        <v>1.0820000000000001</v>
      </c>
      <c r="S31" s="14">
        <v>0.95099999999999996</v>
      </c>
      <c r="T31" s="12">
        <v>46209.261123090277</v>
      </c>
      <c r="U31" s="12">
        <v>46210.261123090277</v>
      </c>
      <c r="V31" s="14">
        <v>5</v>
      </c>
      <c r="W31" s="14">
        <v>0.01</v>
      </c>
      <c r="X31" s="14">
        <v>0.01</v>
      </c>
      <c r="Y31" s="14">
        <v>1E-3</v>
      </c>
      <c r="Z31" s="10" t="str">
        <f>IF(AND(D31="TRADING",I31&lt;&gt;"",L31&lt;&gt;"",M31&lt;&gt;"",N31&lt;&gt;"",O31&lt;&gt;""),"Yes","No")</f>
        <v>No</v>
      </c>
      <c r="AA31" s="10" t="s">
        <v>56</v>
      </c>
    </row>
    <row r="32" spans="1:27">
      <c r="A32" s="10" t="s">
        <v>327</v>
      </c>
      <c r="B32" s="10" t="s">
        <v>328</v>
      </c>
      <c r="C32" s="10" t="s">
        <v>12</v>
      </c>
      <c r="D32" s="10" t="s">
        <v>84</v>
      </c>
      <c r="E32" s="11" t="b">
        <v>1</v>
      </c>
      <c r="F32" s="12">
        <v>43496</v>
      </c>
      <c r="G32" s="12">
        <v>43496.999999988424</v>
      </c>
      <c r="H32" s="13">
        <f>IF(F32="","",(Summary!$B$5-F32)/365.25)</f>
        <v>7.5044832068978646</v>
      </c>
      <c r="I32" s="14">
        <v>0</v>
      </c>
      <c r="J32" s="15">
        <v>0</v>
      </c>
      <c r="K32" s="16">
        <v>0</v>
      </c>
      <c r="L32" s="16">
        <v>0</v>
      </c>
      <c r="M32" s="17">
        <v>0</v>
      </c>
      <c r="N32" s="14">
        <v>0</v>
      </c>
      <c r="O32" s="14">
        <v>0</v>
      </c>
      <c r="P32" s="18" t="str">
        <f>IF(OR(N32="",O32="",N32=0,O32=0),"",(O32-N32)/((O32+N32)/2))</f>
        <v/>
      </c>
      <c r="Q32" s="14">
        <v>0</v>
      </c>
      <c r="R32" s="14">
        <v>0</v>
      </c>
      <c r="S32" s="14">
        <v>0</v>
      </c>
      <c r="T32" s="12">
        <v>46209.261123090277</v>
      </c>
      <c r="U32" s="12">
        <v>46210.261123090277</v>
      </c>
      <c r="V32" s="14">
        <v>10</v>
      </c>
      <c r="W32" s="14">
        <v>1</v>
      </c>
      <c r="X32" s="14">
        <v>1</v>
      </c>
      <c r="Y32" s="14">
        <v>9.9999999999999995E-7</v>
      </c>
      <c r="Z32" s="10" t="str">
        <f>IF(AND(D32="TRADING",I32&lt;&gt;"",L32&lt;&gt;"",M32&lt;&gt;"",N32&lt;&gt;"",O32&lt;&gt;""),"Yes","No")</f>
        <v>No</v>
      </c>
      <c r="AA32" s="10" t="s">
        <v>56</v>
      </c>
    </row>
    <row r="33" spans="1:27">
      <c r="A33" s="10" t="s">
        <v>1290</v>
      </c>
      <c r="B33" s="10" t="s">
        <v>1291</v>
      </c>
      <c r="C33" s="10" t="s">
        <v>12</v>
      </c>
      <c r="D33" s="10" t="s">
        <v>84</v>
      </c>
      <c r="E33" s="11" t="b">
        <v>1</v>
      </c>
      <c r="F33" s="12">
        <v>43510</v>
      </c>
      <c r="G33" s="12">
        <v>43510.999999988424</v>
      </c>
      <c r="H33" s="13">
        <f>IF(F33="","",(Summary!$B$5-F33)/365.25)</f>
        <v>7.4661532958780148</v>
      </c>
      <c r="I33" s="14">
        <v>0</v>
      </c>
      <c r="J33" s="15">
        <v>0</v>
      </c>
      <c r="K33" s="16">
        <v>0</v>
      </c>
      <c r="L33" s="16">
        <v>0</v>
      </c>
      <c r="M33" s="17">
        <v>0</v>
      </c>
      <c r="N33" s="14">
        <v>0</v>
      </c>
      <c r="O33" s="14">
        <v>0</v>
      </c>
      <c r="P33" s="18" t="str">
        <f>IF(OR(N33="",O33="",N33=0,O33=0),"",(O33-N33)/((O33+N33)/2))</f>
        <v/>
      </c>
      <c r="Q33" s="14">
        <v>0</v>
      </c>
      <c r="R33" s="14">
        <v>0</v>
      </c>
      <c r="S33" s="14">
        <v>0</v>
      </c>
      <c r="T33" s="12">
        <v>46209.261123090277</v>
      </c>
      <c r="U33" s="12">
        <v>46210.261123090277</v>
      </c>
      <c r="V33" s="14">
        <v>10</v>
      </c>
      <c r="W33" s="14">
        <v>0.01</v>
      </c>
      <c r="X33" s="14">
        <v>0.01</v>
      </c>
      <c r="Y33" s="14">
        <v>1E-4</v>
      </c>
      <c r="Z33" s="10" t="str">
        <f>IF(AND(D33="TRADING",I33&lt;&gt;"",L33&lt;&gt;"",M33&lt;&gt;"",N33&lt;&gt;"",O33&lt;&gt;""),"Yes","No")</f>
        <v>No</v>
      </c>
      <c r="AA33" s="10" t="s">
        <v>56</v>
      </c>
    </row>
    <row r="34" spans="1:27">
      <c r="A34" s="10" t="s">
        <v>926</v>
      </c>
      <c r="B34" s="10" t="s">
        <v>927</v>
      </c>
      <c r="C34" s="10" t="s">
        <v>12</v>
      </c>
      <c r="D34" s="10" t="s">
        <v>55</v>
      </c>
      <c r="E34" s="11" t="b">
        <v>1</v>
      </c>
      <c r="F34" s="12">
        <v>43512</v>
      </c>
      <c r="G34" s="12">
        <v>43512.999999988424</v>
      </c>
      <c r="H34" s="13">
        <f>IF(F34="","",(Summary!$B$5-F34)/365.25)</f>
        <v>7.4606775943037507</v>
      </c>
      <c r="I34" s="14">
        <v>4.2110000000000002E-2</v>
      </c>
      <c r="J34" s="15">
        <v>3.0999999999999999E-3</v>
      </c>
      <c r="K34" s="16">
        <v>630960</v>
      </c>
      <c r="L34" s="16">
        <v>26611.118600000002</v>
      </c>
      <c r="M34" s="17">
        <v>315</v>
      </c>
      <c r="N34" s="14">
        <v>4.206E-2</v>
      </c>
      <c r="O34" s="14">
        <v>4.2110000000000002E-2</v>
      </c>
      <c r="P34" s="18">
        <f>IF(OR(N34="",O34="",N34=0,O34=0),"",(O34-N34)/((O34+N34)/2))</f>
        <v>1.18807175953431E-3</v>
      </c>
      <c r="Q34" s="14">
        <v>4.2175600000000001E-2</v>
      </c>
      <c r="R34" s="14">
        <v>4.2450000000000002E-2</v>
      </c>
      <c r="S34" s="14">
        <v>4.1849999999999998E-2</v>
      </c>
      <c r="T34" s="12">
        <v>46236.012453888892</v>
      </c>
      <c r="U34" s="12">
        <v>46237.012453888892</v>
      </c>
      <c r="V34" s="14">
        <v>5</v>
      </c>
      <c r="W34" s="14">
        <v>1</v>
      </c>
      <c r="X34" s="14">
        <v>1</v>
      </c>
      <c r="Y34" s="14">
        <v>1.0000000000000001E-5</v>
      </c>
      <c r="Z34" s="10" t="str">
        <f>IF(AND(D34="TRADING",I34&lt;&gt;"",L34&lt;&gt;"",M34&lt;&gt;"",N34&lt;&gt;"",O34&lt;&gt;""),"Yes","No")</f>
        <v>Yes</v>
      </c>
      <c r="AA34" s="10" t="s">
        <v>56</v>
      </c>
    </row>
    <row r="35" spans="1:27">
      <c r="A35" s="10" t="s">
        <v>648</v>
      </c>
      <c r="B35" s="10" t="s">
        <v>649</v>
      </c>
      <c r="C35" s="10" t="s">
        <v>12</v>
      </c>
      <c r="D35" s="10" t="s">
        <v>55</v>
      </c>
      <c r="E35" s="11" t="b">
        <v>1</v>
      </c>
      <c r="F35" s="12">
        <v>43514</v>
      </c>
      <c r="G35" s="12">
        <v>43514.999999988424</v>
      </c>
      <c r="H35" s="13">
        <f>IF(F35="","",(Summary!$B$5-F35)/365.25)</f>
        <v>7.4552018927294865</v>
      </c>
      <c r="I35" s="14">
        <v>3.3100000000000002E-4</v>
      </c>
      <c r="J35" s="15">
        <v>-6.0099999999999997E-3</v>
      </c>
      <c r="K35" s="16">
        <v>300406270</v>
      </c>
      <c r="L35" s="16">
        <v>101017.95505999999</v>
      </c>
      <c r="M35" s="17">
        <v>1366</v>
      </c>
      <c r="N35" s="14">
        <v>3.3100000000000002E-4</v>
      </c>
      <c r="O35" s="14">
        <v>3.3199999999999999E-4</v>
      </c>
      <c r="P35" s="18">
        <f>IF(OR(N35="",O35="",N35=0,O35=0),"",(O35-N35)/((O35+N35)/2))</f>
        <v>3.0165912518852795E-3</v>
      </c>
      <c r="Q35" s="14">
        <v>3.3627E-4</v>
      </c>
      <c r="R35" s="14">
        <v>3.4000000000000002E-4</v>
      </c>
      <c r="S35" s="14">
        <v>3.3100000000000002E-4</v>
      </c>
      <c r="T35" s="12">
        <v>46236.012394791665</v>
      </c>
      <c r="U35" s="12">
        <v>46237.012394791665</v>
      </c>
      <c r="V35" s="14">
        <v>5</v>
      </c>
      <c r="W35" s="14">
        <v>1</v>
      </c>
      <c r="X35" s="14">
        <v>1</v>
      </c>
      <c r="Y35" s="14">
        <v>9.9999999999999995E-7</v>
      </c>
      <c r="Z35" s="10" t="str">
        <f>IF(AND(D35="TRADING",I35&lt;&gt;"",L35&lt;&gt;"",M35&lt;&gt;"",N35&lt;&gt;"",O35&lt;&gt;""),"Yes","No")</f>
        <v>Yes</v>
      </c>
      <c r="AA35" s="10" t="s">
        <v>56</v>
      </c>
    </row>
    <row r="36" spans="1:27">
      <c r="A36" s="10" t="s">
        <v>1413</v>
      </c>
      <c r="B36" s="10" t="s">
        <v>1414</v>
      </c>
      <c r="C36" s="10" t="s">
        <v>12</v>
      </c>
      <c r="D36" s="10" t="s">
        <v>55</v>
      </c>
      <c r="E36" s="11" t="b">
        <v>1</v>
      </c>
      <c r="F36" s="12">
        <v>43515</v>
      </c>
      <c r="G36" s="12">
        <v>43515.999999988424</v>
      </c>
      <c r="H36" s="13">
        <f>IF(F36="","",(Summary!$B$5-F36)/365.25)</f>
        <v>7.4524640419423545</v>
      </c>
      <c r="I36" s="14">
        <v>2.513E-3</v>
      </c>
      <c r="J36" s="15">
        <v>-5.3840000000000006E-2</v>
      </c>
      <c r="K36" s="16">
        <v>92597483.400000006</v>
      </c>
      <c r="L36" s="16">
        <v>238130.43069410001</v>
      </c>
      <c r="M36" s="17">
        <v>5627</v>
      </c>
      <c r="N36" s="14">
        <v>2.5119999999999999E-3</v>
      </c>
      <c r="O36" s="14">
        <v>2.5140000000000002E-3</v>
      </c>
      <c r="P36" s="18">
        <f>IF(OR(N36="",O36="",N36=0,O36=0),"",(O36-N36)/((O36+N36)/2))</f>
        <v>7.9586152009560897E-4</v>
      </c>
      <c r="Q36" s="14">
        <v>2.5716699999999999E-3</v>
      </c>
      <c r="R36" s="14">
        <v>2.6670000000000001E-3</v>
      </c>
      <c r="S36" s="14">
        <v>2.513E-3</v>
      </c>
      <c r="T36" s="12">
        <v>46236.012375393519</v>
      </c>
      <c r="U36" s="12">
        <v>46237.012375393519</v>
      </c>
      <c r="V36" s="14">
        <v>5</v>
      </c>
      <c r="W36" s="14">
        <v>0.1</v>
      </c>
      <c r="X36" s="14">
        <v>0.1</v>
      </c>
      <c r="Y36" s="14">
        <v>9.9999999999999995E-7</v>
      </c>
      <c r="Z36" s="10" t="str">
        <f>IF(AND(D36="TRADING",I36&lt;&gt;"",L36&lt;&gt;"",M36&lt;&gt;"",N36&lt;&gt;"",O36&lt;&gt;""),"Yes","No")</f>
        <v>Yes</v>
      </c>
      <c r="AA36" s="10" t="s">
        <v>56</v>
      </c>
    </row>
    <row r="37" spans="1:27">
      <c r="A37" s="10" t="s">
        <v>520</v>
      </c>
      <c r="B37" s="10" t="s">
        <v>521</v>
      </c>
      <c r="C37" s="10" t="s">
        <v>12</v>
      </c>
      <c r="D37" s="10" t="s">
        <v>55</v>
      </c>
      <c r="E37" s="11" t="b">
        <v>1</v>
      </c>
      <c r="F37" s="12">
        <v>43524</v>
      </c>
      <c r="G37" s="12">
        <v>43524.999999988424</v>
      </c>
      <c r="H37" s="13">
        <f>IF(F37="","",(Summary!$B$5-F37)/365.25)</f>
        <v>7.4278233848581658</v>
      </c>
      <c r="I37" s="14">
        <v>0.14169999999999999</v>
      </c>
      <c r="J37" s="15">
        <v>1.5769999999999999E-2</v>
      </c>
      <c r="K37" s="16">
        <v>22502994.899999999</v>
      </c>
      <c r="L37" s="16">
        <v>3193990.5180000002</v>
      </c>
      <c r="M37" s="17">
        <v>16780</v>
      </c>
      <c r="N37" s="14">
        <v>0.14169999999999999</v>
      </c>
      <c r="O37" s="14">
        <v>0.14180000000000001</v>
      </c>
      <c r="P37" s="18">
        <f>IF(OR(N37="",O37="",N37=0,O37=0),"",(O37-N37)/((O37+N37)/2))</f>
        <v>7.0546737213415703E-4</v>
      </c>
      <c r="Q37" s="14">
        <v>0.14193623999999999</v>
      </c>
      <c r="R37" s="14">
        <v>0.1431</v>
      </c>
      <c r="S37" s="14">
        <v>0.1391</v>
      </c>
      <c r="T37" s="12">
        <v>46236.012478402779</v>
      </c>
      <c r="U37" s="12">
        <v>46237.012478402779</v>
      </c>
      <c r="V37" s="14">
        <v>5</v>
      </c>
      <c r="W37" s="14">
        <v>0.1</v>
      </c>
      <c r="X37" s="14">
        <v>0.1</v>
      </c>
      <c r="Y37" s="14">
        <v>1E-4</v>
      </c>
      <c r="Z37" s="10" t="str">
        <f>IF(AND(D37="TRADING",I37&lt;&gt;"",L37&lt;&gt;"",M37&lt;&gt;"",N37&lt;&gt;"",O37&lt;&gt;""),"Yes","No")</f>
        <v>Yes</v>
      </c>
      <c r="AA37" s="10" t="s">
        <v>56</v>
      </c>
    </row>
    <row r="38" spans="1:27">
      <c r="A38" s="10" t="s">
        <v>1423</v>
      </c>
      <c r="B38" s="10" t="s">
        <v>1424</v>
      </c>
      <c r="C38" s="10" t="s">
        <v>12</v>
      </c>
      <c r="D38" s="10" t="s">
        <v>55</v>
      </c>
      <c r="E38" s="11" t="b">
        <v>1</v>
      </c>
      <c r="F38" s="12">
        <v>43524</v>
      </c>
      <c r="G38" s="12">
        <v>43524.999999988424</v>
      </c>
      <c r="H38" s="13">
        <f>IF(F38="","",(Summary!$B$5-F38)/365.25)</f>
        <v>7.4278233848581658</v>
      </c>
      <c r="I38" s="14">
        <v>7.8399999999999997E-2</v>
      </c>
      <c r="J38" s="15">
        <v>2.5600000000000002E-3</v>
      </c>
      <c r="K38" s="16">
        <v>757572</v>
      </c>
      <c r="L38" s="16">
        <v>59516.822</v>
      </c>
      <c r="M38" s="17">
        <v>796</v>
      </c>
      <c r="N38" s="14">
        <v>7.8299999999999995E-2</v>
      </c>
      <c r="O38" s="14">
        <v>7.8399999999999997E-2</v>
      </c>
      <c r="P38" s="18">
        <f>IF(OR(N38="",O38="",N38=0,O38=0),"",(O38-N38)/((O38+N38)/2))</f>
        <v>1.2763241863433677E-3</v>
      </c>
      <c r="Q38" s="14">
        <v>7.8562590000000002E-2</v>
      </c>
      <c r="R38" s="14">
        <v>7.9699999999999993E-2</v>
      </c>
      <c r="S38" s="14">
        <v>7.7799999999999994E-2</v>
      </c>
      <c r="T38" s="12">
        <v>46236.012480694444</v>
      </c>
      <c r="U38" s="12">
        <v>46237.012480694444</v>
      </c>
      <c r="V38" s="14">
        <v>5</v>
      </c>
      <c r="W38" s="14">
        <v>1</v>
      </c>
      <c r="X38" s="14">
        <v>1</v>
      </c>
      <c r="Y38" s="14">
        <v>1E-4</v>
      </c>
      <c r="Z38" s="10" t="str">
        <f>IF(AND(D38="TRADING",I38&lt;&gt;"",L38&lt;&gt;"",M38&lt;&gt;"",N38&lt;&gt;"",O38&lt;&gt;""),"Yes","No")</f>
        <v>Yes</v>
      </c>
      <c r="AA38" s="10" t="s">
        <v>56</v>
      </c>
    </row>
    <row r="39" spans="1:27">
      <c r="A39" s="10" t="s">
        <v>249</v>
      </c>
      <c r="B39" s="10" t="s">
        <v>250</v>
      </c>
      <c r="C39" s="10" t="s">
        <v>12</v>
      </c>
      <c r="D39" s="10" t="s">
        <v>55</v>
      </c>
      <c r="E39" s="11" t="b">
        <v>1</v>
      </c>
      <c r="F39" s="12">
        <v>43528</v>
      </c>
      <c r="G39" s="12">
        <v>43528.999999988424</v>
      </c>
      <c r="H39" s="13">
        <f>IF(F39="","",(Summary!$B$5-F39)/365.25)</f>
        <v>7.4168719817096376</v>
      </c>
      <c r="I39" s="14">
        <v>6.6299999999999998E-2</v>
      </c>
      <c r="J39" s="15">
        <v>1.376E-2</v>
      </c>
      <c r="K39" s="16">
        <v>1751718</v>
      </c>
      <c r="L39" s="16">
        <v>116104.07399999999</v>
      </c>
      <c r="M39" s="17">
        <v>1606</v>
      </c>
      <c r="N39" s="14">
        <v>6.6299999999999998E-2</v>
      </c>
      <c r="O39" s="14">
        <v>6.6400000000000001E-2</v>
      </c>
      <c r="P39" s="18">
        <f>IF(OR(N39="",O39="",N39=0,O39=0),"",(O39-N39)/((O39+N39)/2))</f>
        <v>1.5071590052750999E-3</v>
      </c>
      <c r="Q39" s="14">
        <v>6.6280119999999998E-2</v>
      </c>
      <c r="R39" s="14">
        <v>6.7699999999999996E-2</v>
      </c>
      <c r="S39" s="14">
        <v>6.5100000000000005E-2</v>
      </c>
      <c r="T39" s="12">
        <v>46236.012448958332</v>
      </c>
      <c r="U39" s="12">
        <v>46237.012448958332</v>
      </c>
      <c r="V39" s="14">
        <v>5</v>
      </c>
      <c r="W39" s="14">
        <v>1</v>
      </c>
      <c r="X39" s="14">
        <v>1</v>
      </c>
      <c r="Y39" s="14">
        <v>1E-4</v>
      </c>
      <c r="Z39" s="10" t="str">
        <f>IF(AND(D39="TRADING",I39&lt;&gt;"",L39&lt;&gt;"",M39&lt;&gt;"",N39&lt;&gt;"",O39&lt;&gt;""),"Yes","No")</f>
        <v>Yes</v>
      </c>
      <c r="AA39" s="10" t="s">
        <v>56</v>
      </c>
    </row>
    <row r="40" spans="1:27">
      <c r="A40" s="10" t="s">
        <v>1375</v>
      </c>
      <c r="B40" s="10" t="s">
        <v>1376</v>
      </c>
      <c r="C40" s="10" t="s">
        <v>12</v>
      </c>
      <c r="D40" s="10" t="s">
        <v>84</v>
      </c>
      <c r="E40" s="11" t="b">
        <v>1</v>
      </c>
      <c r="F40" s="12">
        <v>43539</v>
      </c>
      <c r="G40" s="12">
        <v>43539.999999988424</v>
      </c>
      <c r="H40" s="13">
        <f>IF(F40="","",(Summary!$B$5-F40)/365.25)</f>
        <v>7.3867556230511839</v>
      </c>
      <c r="I40" s="14">
        <v>118.7</v>
      </c>
      <c r="J40" s="15">
        <v>4.7660000000000001E-2</v>
      </c>
      <c r="K40" s="16">
        <v>5017.3789999999999</v>
      </c>
      <c r="L40" s="16">
        <v>574681.07739999995</v>
      </c>
      <c r="M40" s="17">
        <v>4001</v>
      </c>
      <c r="N40" s="14">
        <v>0</v>
      </c>
      <c r="O40" s="14">
        <v>0</v>
      </c>
      <c r="P40" s="18" t="str">
        <f>IF(OR(N40="",O40="",N40=0,O40=0),"",(O40-N40)/((O40+N40)/2))</f>
        <v/>
      </c>
      <c r="Q40" s="14">
        <v>114.53810394</v>
      </c>
      <c r="R40" s="14">
        <v>119.6</v>
      </c>
      <c r="S40" s="14">
        <v>110.4</v>
      </c>
      <c r="T40" s="12">
        <v>46209.261123090277</v>
      </c>
      <c r="U40" s="12">
        <v>46210.261123090277</v>
      </c>
      <c r="V40" s="14">
        <v>5</v>
      </c>
      <c r="W40" s="14">
        <v>1E-3</v>
      </c>
      <c r="X40" s="14">
        <v>1E-3</v>
      </c>
      <c r="Y40" s="14">
        <v>0.1</v>
      </c>
      <c r="Z40" s="10" t="str">
        <f>IF(AND(D40="TRADING",I40&lt;&gt;"",L40&lt;&gt;"",M40&lt;&gt;"",N40&lt;&gt;"",O40&lt;&gt;""),"Yes","No")</f>
        <v>No</v>
      </c>
      <c r="AA40" s="10" t="s">
        <v>56</v>
      </c>
    </row>
    <row r="41" spans="1:27">
      <c r="A41" s="10" t="s">
        <v>1409</v>
      </c>
      <c r="B41" s="10" t="s">
        <v>1410</v>
      </c>
      <c r="C41" s="10" t="s">
        <v>12</v>
      </c>
      <c r="D41" s="10" t="s">
        <v>55</v>
      </c>
      <c r="E41" s="11" t="b">
        <v>1</v>
      </c>
      <c r="F41" s="12">
        <v>43545</v>
      </c>
      <c r="G41" s="12">
        <v>43545.999999988424</v>
      </c>
      <c r="H41" s="13">
        <f>IF(F41="","",(Summary!$B$5-F41)/365.25)</f>
        <v>7.3703285183283915</v>
      </c>
      <c r="I41" s="14">
        <v>483.67</v>
      </c>
      <c r="J41" s="15">
        <v>3.9750000000000001E-2</v>
      </c>
      <c r="K41" s="16">
        <v>74549.259000000005</v>
      </c>
      <c r="L41" s="16">
        <v>35732549.534670003</v>
      </c>
      <c r="M41" s="17">
        <v>189677</v>
      </c>
      <c r="N41" s="14">
        <v>483.65</v>
      </c>
      <c r="O41" s="14">
        <v>483.66</v>
      </c>
      <c r="P41" s="18">
        <f>IF(OR(N41="",O41="",N41=0,O41=0),"",(O41-N41)/((O41+N41)/2))</f>
        <v>2.0675895007903877E-5</v>
      </c>
      <c r="Q41" s="14">
        <v>479.31461712999999</v>
      </c>
      <c r="R41" s="14">
        <v>496.04</v>
      </c>
      <c r="S41" s="14">
        <v>462.65</v>
      </c>
      <c r="T41" s="12">
        <v>46236.012482349535</v>
      </c>
      <c r="U41" s="12">
        <v>46237.012482349535</v>
      </c>
      <c r="V41" s="14">
        <v>5</v>
      </c>
      <c r="W41" s="14">
        <v>1E-3</v>
      </c>
      <c r="X41" s="14">
        <v>1E-3</v>
      </c>
      <c r="Y41" s="14">
        <v>0.01</v>
      </c>
      <c r="Z41" s="10" t="str">
        <f>IF(AND(D41="TRADING",I41&lt;&gt;"",L41&lt;&gt;"",M41&lt;&gt;"",N41&lt;&gt;"",O41&lt;&gt;""),"Yes","No")</f>
        <v>Yes</v>
      </c>
      <c r="AA41" s="10" t="s">
        <v>56</v>
      </c>
    </row>
    <row r="42" spans="1:27">
      <c r="A42" s="10" t="s">
        <v>676</v>
      </c>
      <c r="B42" s="10" t="s">
        <v>677</v>
      </c>
      <c r="C42" s="10" t="s">
        <v>12</v>
      </c>
      <c r="D42" s="10" t="s">
        <v>55</v>
      </c>
      <c r="E42" s="11" t="b">
        <v>1</v>
      </c>
      <c r="F42" s="12">
        <v>43546</v>
      </c>
      <c r="G42" s="12">
        <v>43546.999999988424</v>
      </c>
      <c r="H42" s="13">
        <f>IF(F42="","",(Summary!$B$5-F42)/365.25)</f>
        <v>7.3675906675412595</v>
      </c>
      <c r="I42" s="14">
        <v>6.0599999999999998E-4</v>
      </c>
      <c r="J42" s="15">
        <v>4.9800000000000001E-3</v>
      </c>
      <c r="K42" s="16">
        <v>65253277</v>
      </c>
      <c r="L42" s="16">
        <v>39624.644487999998</v>
      </c>
      <c r="M42" s="17">
        <v>1144</v>
      </c>
      <c r="N42" s="14">
        <v>6.0599999999999998E-4</v>
      </c>
      <c r="O42" s="14">
        <v>6.0700000000000001E-4</v>
      </c>
      <c r="P42" s="18">
        <f>IF(OR(N42="",O42="",N42=0,O42=0),"",(O42-N42)/((O42+N42)/2))</f>
        <v>1.6488046166529666E-3</v>
      </c>
      <c r="Q42" s="14">
        <v>6.0723999999999999E-4</v>
      </c>
      <c r="R42" s="14">
        <v>6.1499999999999999E-4</v>
      </c>
      <c r="S42" s="14">
        <v>6.0300000000000002E-4</v>
      </c>
      <c r="T42" s="12">
        <v>46236.012473819443</v>
      </c>
      <c r="U42" s="12">
        <v>46237.012473819443</v>
      </c>
      <c r="V42" s="14">
        <v>5</v>
      </c>
      <c r="W42" s="14">
        <v>1</v>
      </c>
      <c r="X42" s="14">
        <v>1</v>
      </c>
      <c r="Y42" s="14">
        <v>9.9999999999999995E-7</v>
      </c>
      <c r="Z42" s="10" t="str">
        <f>IF(AND(D42="TRADING",I42&lt;&gt;"",L42&lt;&gt;"",M42&lt;&gt;"",N42&lt;&gt;"",O42&lt;&gt;""),"Yes","No")</f>
        <v>Yes</v>
      </c>
      <c r="AA42" s="10" t="s">
        <v>56</v>
      </c>
    </row>
    <row r="43" spans="1:27">
      <c r="A43" s="10" t="s">
        <v>347</v>
      </c>
      <c r="B43" s="10" t="s">
        <v>348</v>
      </c>
      <c r="C43" s="10" t="s">
        <v>12</v>
      </c>
      <c r="D43" s="10" t="s">
        <v>55</v>
      </c>
      <c r="E43" s="11" t="b">
        <v>1</v>
      </c>
      <c r="F43" s="12">
        <v>43549</v>
      </c>
      <c r="G43" s="12">
        <v>43549.999999988424</v>
      </c>
      <c r="H43" s="13">
        <f>IF(F43="","",(Summary!$B$5-F43)/365.25)</f>
        <v>7.3593771151798633</v>
      </c>
      <c r="I43" s="14">
        <v>1.652E-3</v>
      </c>
      <c r="J43" s="15">
        <v>5.357E-2</v>
      </c>
      <c r="K43" s="16">
        <v>269435832.69999999</v>
      </c>
      <c r="L43" s="16">
        <v>436087.69993140001</v>
      </c>
      <c r="M43" s="17">
        <v>23062</v>
      </c>
      <c r="N43" s="14">
        <v>1.652E-3</v>
      </c>
      <c r="O43" s="14">
        <v>1.653E-3</v>
      </c>
      <c r="P43" s="18">
        <f>IF(OR(N43="",O43="",N43=0,O43=0),"",(O43-N43)/((O43+N43)/2))</f>
        <v>6.0514372163383715E-4</v>
      </c>
      <c r="Q43" s="14">
        <v>1.61852E-3</v>
      </c>
      <c r="R43" s="14">
        <v>1.7080000000000001E-3</v>
      </c>
      <c r="S43" s="14">
        <v>1.5510000000000001E-3</v>
      </c>
      <c r="T43" s="12">
        <v>46236.012388090276</v>
      </c>
      <c r="U43" s="12">
        <v>46237.012388090276</v>
      </c>
      <c r="V43" s="14">
        <v>5</v>
      </c>
      <c r="W43" s="14">
        <v>0.1</v>
      </c>
      <c r="X43" s="14">
        <v>0.1</v>
      </c>
      <c r="Y43" s="14">
        <v>9.9999999999999995E-7</v>
      </c>
      <c r="Z43" s="10" t="str">
        <f>IF(AND(D43="TRADING",I43&lt;&gt;"",L43&lt;&gt;"",M43&lt;&gt;"",N43&lt;&gt;"",O43&lt;&gt;""),"Yes","No")</f>
        <v>Yes</v>
      </c>
      <c r="AA43" s="10" t="s">
        <v>56</v>
      </c>
    </row>
    <row r="44" spans="1:27">
      <c r="A44" s="10" t="s">
        <v>415</v>
      </c>
      <c r="B44" s="10" t="s">
        <v>416</v>
      </c>
      <c r="C44" s="10" t="s">
        <v>12</v>
      </c>
      <c r="D44" s="10" t="s">
        <v>55</v>
      </c>
      <c r="E44" s="11" t="b">
        <v>1</v>
      </c>
      <c r="F44" s="12">
        <v>43552</v>
      </c>
      <c r="G44" s="12">
        <v>43552.999999988424</v>
      </c>
      <c r="H44" s="13">
        <f>IF(F44="","",(Summary!$B$5-F44)/365.25)</f>
        <v>7.3511635628184671</v>
      </c>
      <c r="I44" s="14">
        <v>31.32</v>
      </c>
      <c r="J44" s="15">
        <v>4.4900000000000001E-3</v>
      </c>
      <c r="K44" s="16">
        <v>62905.891000000003</v>
      </c>
      <c r="L44" s="16">
        <v>1976629.52201</v>
      </c>
      <c r="M44" s="17">
        <v>10449</v>
      </c>
      <c r="N44" s="14">
        <v>31.32</v>
      </c>
      <c r="O44" s="14">
        <v>31.33</v>
      </c>
      <c r="P44" s="18">
        <f>IF(OR(N44="",O44="",N44=0,O44=0),"",(O44-N44)/((O44+N44)/2))</f>
        <v>3.1923383878684791E-4</v>
      </c>
      <c r="Q44" s="14">
        <v>31.42200978</v>
      </c>
      <c r="R44" s="14">
        <v>31.75</v>
      </c>
      <c r="S44" s="14">
        <v>31.1</v>
      </c>
      <c r="T44" s="12">
        <v>46236.012410416668</v>
      </c>
      <c r="U44" s="12">
        <v>46237.012410416668</v>
      </c>
      <c r="V44" s="14">
        <v>5</v>
      </c>
      <c r="W44" s="14">
        <v>1E-3</v>
      </c>
      <c r="X44" s="14">
        <v>1E-3</v>
      </c>
      <c r="Y44" s="14">
        <v>0.01</v>
      </c>
      <c r="Z44" s="10" t="str">
        <f>IF(AND(D44="TRADING",I44&lt;&gt;"",L44&lt;&gt;"",M44&lt;&gt;"",N44&lt;&gt;"",O44&lt;&gt;""),"Yes","No")</f>
        <v>Yes</v>
      </c>
      <c r="AA44" s="10" t="s">
        <v>56</v>
      </c>
    </row>
    <row r="45" spans="1:27">
      <c r="A45" s="10" t="s">
        <v>862</v>
      </c>
      <c r="B45" s="10" t="s">
        <v>863</v>
      </c>
      <c r="C45" s="10" t="s">
        <v>12</v>
      </c>
      <c r="D45" s="10" t="s">
        <v>84</v>
      </c>
      <c r="E45" s="11" t="b">
        <v>1</v>
      </c>
      <c r="F45" s="12">
        <v>43558</v>
      </c>
      <c r="G45" s="12">
        <v>43558.999999988424</v>
      </c>
      <c r="H45" s="13">
        <f>IF(F45="","",(Summary!$B$5-F45)/365.25)</f>
        <v>7.3347364580956738</v>
      </c>
      <c r="I45" s="14">
        <v>0</v>
      </c>
      <c r="J45" s="15">
        <v>0</v>
      </c>
      <c r="K45" s="16">
        <v>0</v>
      </c>
      <c r="L45" s="16">
        <v>0</v>
      </c>
      <c r="M45" s="17">
        <v>0</v>
      </c>
      <c r="N45" s="14">
        <v>0</v>
      </c>
      <c r="O45" s="14">
        <v>0</v>
      </c>
      <c r="P45" s="18" t="str">
        <f>IF(OR(N45="",O45="",N45=0,O45=0),"",(O45-N45)/((O45+N45)/2))</f>
        <v/>
      </c>
      <c r="Q45" s="14">
        <v>0</v>
      </c>
      <c r="R45" s="14">
        <v>0</v>
      </c>
      <c r="S45" s="14">
        <v>0</v>
      </c>
      <c r="T45" s="12">
        <v>46209.261123090277</v>
      </c>
      <c r="U45" s="12">
        <v>46210.261123090277</v>
      </c>
      <c r="V45" s="14">
        <v>10</v>
      </c>
      <c r="W45" s="14">
        <v>0.1</v>
      </c>
      <c r="X45" s="14">
        <v>0.1</v>
      </c>
      <c r="Y45" s="14">
        <v>1E-3</v>
      </c>
      <c r="Z45" s="10" t="str">
        <f>IF(AND(D45="TRADING",I45&lt;&gt;"",L45&lt;&gt;"",M45&lt;&gt;"",N45&lt;&gt;"",O45&lt;&gt;""),"Yes","No")</f>
        <v>No</v>
      </c>
      <c r="AA45" s="10" t="s">
        <v>56</v>
      </c>
    </row>
    <row r="46" spans="1:27">
      <c r="A46" s="10" t="s">
        <v>916</v>
      </c>
      <c r="B46" s="10" t="s">
        <v>917</v>
      </c>
      <c r="C46" s="10" t="s">
        <v>12</v>
      </c>
      <c r="D46" s="10" t="s">
        <v>84</v>
      </c>
      <c r="E46" s="11" t="b">
        <v>1</v>
      </c>
      <c r="F46" s="12">
        <v>43558</v>
      </c>
      <c r="G46" s="12">
        <v>43558.999999988424</v>
      </c>
      <c r="H46" s="13">
        <f>IF(F46="","",(Summary!$B$5-F46)/365.25)</f>
        <v>7.3347364580956738</v>
      </c>
      <c r="I46" s="14">
        <v>0.38300000000000001</v>
      </c>
      <c r="J46" s="15">
        <v>-7.77E-3</v>
      </c>
      <c r="K46" s="16">
        <v>1799285</v>
      </c>
      <c r="L46" s="16">
        <v>683758.00919999997</v>
      </c>
      <c r="M46" s="17">
        <v>4001</v>
      </c>
      <c r="N46" s="14">
        <v>0</v>
      </c>
      <c r="O46" s="14">
        <v>0</v>
      </c>
      <c r="P46" s="18" t="str">
        <f>IF(OR(N46="",O46="",N46=0,O46=0),"",(O46-N46)/((O46+N46)/2))</f>
        <v/>
      </c>
      <c r="Q46" s="14">
        <v>0.38001650999999997</v>
      </c>
      <c r="R46" s="14">
        <v>0.38700000000000001</v>
      </c>
      <c r="S46" s="14">
        <v>0.37</v>
      </c>
      <c r="T46" s="12">
        <v>46209.261123090277</v>
      </c>
      <c r="U46" s="12">
        <v>46210.261123090277</v>
      </c>
      <c r="V46" s="14">
        <v>5</v>
      </c>
      <c r="W46" s="14">
        <v>0.1</v>
      </c>
      <c r="X46" s="14">
        <v>0.1</v>
      </c>
      <c r="Y46" s="14">
        <v>1E-3</v>
      </c>
      <c r="Z46" s="10" t="str">
        <f>IF(AND(D46="TRADING",I46&lt;&gt;"",L46&lt;&gt;"",M46&lt;&gt;"",N46&lt;&gt;"",O46&lt;&gt;""),"Yes","No")</f>
        <v>No</v>
      </c>
      <c r="AA46" s="10" t="s">
        <v>56</v>
      </c>
    </row>
    <row r="47" spans="1:27">
      <c r="A47" s="10" t="s">
        <v>1217</v>
      </c>
      <c r="B47" s="10" t="s">
        <v>1218</v>
      </c>
      <c r="C47" s="10" t="s">
        <v>12</v>
      </c>
      <c r="D47" s="10" t="s">
        <v>55</v>
      </c>
      <c r="E47" s="11" t="b">
        <v>1</v>
      </c>
      <c r="F47" s="12">
        <v>43565</v>
      </c>
      <c r="G47" s="12">
        <v>43565.999999988424</v>
      </c>
      <c r="H47" s="13">
        <f>IF(F47="","",(Summary!$B$5-F47)/365.25)</f>
        <v>7.3155715025857493</v>
      </c>
      <c r="I47" s="14">
        <v>0.12529999999999999</v>
      </c>
      <c r="J47" s="15">
        <v>-8.0000000000000004E-4</v>
      </c>
      <c r="K47" s="16">
        <v>801896.3</v>
      </c>
      <c r="L47" s="16">
        <v>100829.78902</v>
      </c>
      <c r="M47" s="17">
        <v>1533</v>
      </c>
      <c r="N47" s="14">
        <v>0.12520000000000001</v>
      </c>
      <c r="O47" s="14">
        <v>0.12529999999999999</v>
      </c>
      <c r="P47" s="18">
        <f>IF(OR(N47="",O47="",N47=0,O47=0),"",(O47-N47)/((O47+N47)/2))</f>
        <v>7.9840319361268648E-4</v>
      </c>
      <c r="Q47" s="14">
        <v>0.12573919</v>
      </c>
      <c r="R47" s="14">
        <v>0.12709999999999999</v>
      </c>
      <c r="S47" s="14">
        <v>0.1242</v>
      </c>
      <c r="T47" s="12">
        <v>46236.01151365741</v>
      </c>
      <c r="U47" s="12">
        <v>46237.01151365741</v>
      </c>
      <c r="V47" s="14">
        <v>5</v>
      </c>
      <c r="W47" s="14">
        <v>0.1</v>
      </c>
      <c r="X47" s="14">
        <v>0.1</v>
      </c>
      <c r="Y47" s="14">
        <v>1E-4</v>
      </c>
      <c r="Z47" s="10" t="str">
        <f>IF(AND(D47="TRADING",I47&lt;&gt;"",L47&lt;&gt;"",M47&lt;&gt;"",N47&lt;&gt;"",O47&lt;&gt;""),"Yes","No")</f>
        <v>Yes</v>
      </c>
      <c r="AA47" s="10" t="s">
        <v>56</v>
      </c>
    </row>
    <row r="48" spans="1:27">
      <c r="A48" s="10" t="s">
        <v>473</v>
      </c>
      <c r="B48" s="10" t="s">
        <v>474</v>
      </c>
      <c r="C48" s="10" t="s">
        <v>12</v>
      </c>
      <c r="D48" s="10" t="s">
        <v>55</v>
      </c>
      <c r="E48" s="11" t="b">
        <v>1</v>
      </c>
      <c r="F48" s="12">
        <v>43573</v>
      </c>
      <c r="G48" s="12">
        <v>43573.999999988424</v>
      </c>
      <c r="H48" s="13">
        <f>IF(F48="","",(Summary!$B$5-F48)/365.25)</f>
        <v>7.2936686962886927</v>
      </c>
      <c r="I48" s="14">
        <v>2.4649999999999998E-2</v>
      </c>
      <c r="J48" s="15">
        <v>2.4399999999999999E-3</v>
      </c>
      <c r="K48" s="16">
        <v>4517878.5999999996</v>
      </c>
      <c r="L48" s="16">
        <v>111975.976301</v>
      </c>
      <c r="M48" s="17">
        <v>2972</v>
      </c>
      <c r="N48" s="14">
        <v>2.4639999999999999E-2</v>
      </c>
      <c r="O48" s="14">
        <v>2.4649999999999998E-2</v>
      </c>
      <c r="P48" s="18">
        <f>IF(OR(N48="",O48="",N48=0,O48=0),"",(O48-N48)/((O48+N48)/2))</f>
        <v>4.0576181781292728E-4</v>
      </c>
      <c r="Q48" s="14">
        <v>2.4785080000000001E-2</v>
      </c>
      <c r="R48" s="14">
        <v>2.512E-2</v>
      </c>
      <c r="S48" s="14">
        <v>2.4549999999999999E-2</v>
      </c>
      <c r="T48" s="12">
        <v>46236.012438888887</v>
      </c>
      <c r="U48" s="12">
        <v>46237.012438888887</v>
      </c>
      <c r="V48" s="14">
        <v>5</v>
      </c>
      <c r="W48" s="14">
        <v>0.1</v>
      </c>
      <c r="X48" s="14">
        <v>0.1</v>
      </c>
      <c r="Y48" s="14">
        <v>1.0000000000000001E-5</v>
      </c>
      <c r="Z48" s="10" t="str">
        <f>IF(AND(D48="TRADING",I48&lt;&gt;"",L48&lt;&gt;"",M48&lt;&gt;"",N48&lt;&gt;"",O48&lt;&gt;""),"Yes","No")</f>
        <v>Yes</v>
      </c>
      <c r="AA48" s="10" t="s">
        <v>56</v>
      </c>
    </row>
    <row r="49" spans="1:27">
      <c r="A49" s="10" t="s">
        <v>826</v>
      </c>
      <c r="B49" s="10" t="s">
        <v>827</v>
      </c>
      <c r="C49" s="10" t="s">
        <v>12</v>
      </c>
      <c r="D49" s="10" t="s">
        <v>84</v>
      </c>
      <c r="E49" s="11" t="b">
        <v>1</v>
      </c>
      <c r="F49" s="12">
        <v>43574</v>
      </c>
      <c r="G49" s="12">
        <v>43574.999999988424</v>
      </c>
      <c r="H49" s="13">
        <f>IF(F49="","",(Summary!$B$5-F49)/365.25)</f>
        <v>7.2909308455015607</v>
      </c>
      <c r="I49" s="14">
        <v>3.4499999999999999E-3</v>
      </c>
      <c r="J49" s="15">
        <v>-5.2199999999999996E-2</v>
      </c>
      <c r="K49" s="16">
        <v>121888803.7</v>
      </c>
      <c r="L49" s="16">
        <v>414287.123678</v>
      </c>
      <c r="M49" s="17">
        <v>4001</v>
      </c>
      <c r="N49" s="14">
        <v>0</v>
      </c>
      <c r="O49" s="14">
        <v>0</v>
      </c>
      <c r="P49" s="18" t="str">
        <f>IF(OR(N49="",O49="",N49=0,O49=0),"",(O49-N49)/((O49+N49)/2))</f>
        <v/>
      </c>
      <c r="Q49" s="14">
        <v>3.3988899999999999E-3</v>
      </c>
      <c r="R49" s="14">
        <v>3.6700000000000001E-3</v>
      </c>
      <c r="S49" s="14">
        <v>3.2000000000000002E-3</v>
      </c>
      <c r="T49" s="12">
        <v>46209.261123090277</v>
      </c>
      <c r="U49" s="12">
        <v>46210.261123090277</v>
      </c>
      <c r="V49" s="14">
        <v>10</v>
      </c>
      <c r="W49" s="14">
        <v>0.1</v>
      </c>
      <c r="X49" s="14">
        <v>0.1</v>
      </c>
      <c r="Y49" s="14">
        <v>1.0000000000000001E-5</v>
      </c>
      <c r="Z49" s="10" t="str">
        <f>IF(AND(D49="TRADING",I49&lt;&gt;"",L49&lt;&gt;"",M49&lt;&gt;"",N49&lt;&gt;"",O49&lt;&gt;""),"Yes","No")</f>
        <v>No</v>
      </c>
      <c r="AA49" s="10" t="s">
        <v>56</v>
      </c>
    </row>
    <row r="50" spans="1:27">
      <c r="A50" s="10" t="s">
        <v>790</v>
      </c>
      <c r="B50" s="10" t="s">
        <v>791</v>
      </c>
      <c r="C50" s="10" t="s">
        <v>12</v>
      </c>
      <c r="D50" s="10" t="s">
        <v>84</v>
      </c>
      <c r="E50" s="11" t="b">
        <v>1</v>
      </c>
      <c r="F50" s="12">
        <v>43581</v>
      </c>
      <c r="G50" s="12">
        <v>43581.999999988424</v>
      </c>
      <c r="H50" s="13">
        <f>IF(F50="","",(Summary!$B$5-F50)/365.25)</f>
        <v>7.2717658899916362</v>
      </c>
      <c r="I50" s="14">
        <v>0.37940000000000002</v>
      </c>
      <c r="J50" s="15">
        <v>-2.8899999999999998E-3</v>
      </c>
      <c r="K50" s="16">
        <v>2834467.3</v>
      </c>
      <c r="L50" s="16">
        <v>1074370.70255</v>
      </c>
      <c r="M50" s="17">
        <v>4001</v>
      </c>
      <c r="N50" s="14">
        <v>0</v>
      </c>
      <c r="O50" s="14">
        <v>0</v>
      </c>
      <c r="P50" s="18" t="str">
        <f>IF(OR(N50="",O50="",N50=0,O50=0),"",(O50-N50)/((O50+N50)/2))</f>
        <v/>
      </c>
      <c r="Q50" s="14">
        <v>0.37903796000000001</v>
      </c>
      <c r="R50" s="14">
        <v>0.38059999999999999</v>
      </c>
      <c r="S50" s="14">
        <v>0.37740000000000001</v>
      </c>
      <c r="T50" s="12">
        <v>46209.261123090277</v>
      </c>
      <c r="U50" s="12">
        <v>46210.261123090277</v>
      </c>
      <c r="V50" s="14">
        <v>5</v>
      </c>
      <c r="W50" s="14">
        <v>0.1</v>
      </c>
      <c r="X50" s="14">
        <v>0.1</v>
      </c>
      <c r="Y50" s="14">
        <v>1E-4</v>
      </c>
      <c r="Z50" s="10" t="str">
        <f>IF(AND(D50="TRADING",I50&lt;&gt;"",L50&lt;&gt;"",M50&lt;&gt;"",N50&lt;&gt;"",O50&lt;&gt;""),"Yes","No")</f>
        <v>No</v>
      </c>
      <c r="AA50" s="10" t="s">
        <v>56</v>
      </c>
    </row>
    <row r="51" spans="1:27">
      <c r="A51" s="10" t="s">
        <v>197</v>
      </c>
      <c r="B51" s="10" t="s">
        <v>198</v>
      </c>
      <c r="C51" s="10" t="s">
        <v>12</v>
      </c>
      <c r="D51" s="10" t="s">
        <v>55</v>
      </c>
      <c r="E51" s="11" t="b">
        <v>1</v>
      </c>
      <c r="F51" s="12">
        <v>43584</v>
      </c>
      <c r="G51" s="12">
        <v>43584.999999988424</v>
      </c>
      <c r="H51" s="13">
        <f>IF(F51="","",(Summary!$B$5-F51)/365.25)</f>
        <v>7.2635523376302391</v>
      </c>
      <c r="I51" s="14">
        <v>1.2689999999999999</v>
      </c>
      <c r="J51" s="15">
        <v>3.4230000000000003E-2</v>
      </c>
      <c r="K51" s="16">
        <v>1213667.3799999999</v>
      </c>
      <c r="L51" s="16">
        <v>1519723.7736500001</v>
      </c>
      <c r="M51" s="17">
        <v>10399</v>
      </c>
      <c r="N51" s="14">
        <v>1.268</v>
      </c>
      <c r="O51" s="14">
        <v>1.27</v>
      </c>
      <c r="P51" s="18">
        <f>IF(OR(N51="",O51="",N51=0,O51=0),"",(O51-N51)/((O51+N51)/2))</f>
        <v>1.5760441292356198E-3</v>
      </c>
      <c r="Q51" s="14">
        <v>1.2521748500000001</v>
      </c>
      <c r="R51" s="14">
        <v>1.2729999999999999</v>
      </c>
      <c r="S51" s="14">
        <v>1.222</v>
      </c>
      <c r="T51" s="12">
        <v>46236.012402800923</v>
      </c>
      <c r="U51" s="12">
        <v>46237.012402800923</v>
      </c>
      <c r="V51" s="14">
        <v>5</v>
      </c>
      <c r="W51" s="14">
        <v>0.01</v>
      </c>
      <c r="X51" s="14">
        <v>0.01</v>
      </c>
      <c r="Y51" s="14">
        <v>1E-3</v>
      </c>
      <c r="Z51" s="10" t="str">
        <f>IF(AND(D51="TRADING",I51&lt;&gt;"",L51&lt;&gt;"",M51&lt;&gt;"",N51&lt;&gt;"",O51&lt;&gt;""),"Yes","No")</f>
        <v>Yes</v>
      </c>
      <c r="AA51" s="10" t="s">
        <v>56</v>
      </c>
    </row>
    <row r="52" spans="1:27">
      <c r="A52" s="10" t="s">
        <v>1215</v>
      </c>
      <c r="B52" s="10" t="s">
        <v>1216</v>
      </c>
      <c r="C52" s="10" t="s">
        <v>12</v>
      </c>
      <c r="D52" s="10" t="s">
        <v>55</v>
      </c>
      <c r="E52" s="11" t="b">
        <v>1</v>
      </c>
      <c r="F52" s="12">
        <v>43609</v>
      </c>
      <c r="G52" s="12">
        <v>43609.999999988424</v>
      </c>
      <c r="H52" s="13">
        <f>IF(F52="","",(Summary!$B$5-F52)/365.25)</f>
        <v>7.1951060679519365</v>
      </c>
      <c r="I52" s="14">
        <v>7.3699999999999998E-3</v>
      </c>
      <c r="J52" s="15">
        <v>1.6549999999999999E-2</v>
      </c>
      <c r="K52" s="16">
        <v>5922350</v>
      </c>
      <c r="L52" s="16">
        <v>43346.847759999997</v>
      </c>
      <c r="M52" s="17">
        <v>1053</v>
      </c>
      <c r="N52" s="14">
        <v>7.3499999999999998E-3</v>
      </c>
      <c r="O52" s="14">
        <v>7.3699999999999998E-3</v>
      </c>
      <c r="P52" s="18">
        <f>IF(OR(N52="",O52="",N52=0,O52=0),"",(O52-N52)/((O52+N52)/2))</f>
        <v>2.717391304347833E-3</v>
      </c>
      <c r="Q52" s="14">
        <v>7.3191999999999997E-3</v>
      </c>
      <c r="R52" s="14">
        <v>7.4000000000000003E-3</v>
      </c>
      <c r="S52" s="14">
        <v>7.2399999999999999E-3</v>
      </c>
      <c r="T52" s="12">
        <v>46236.011795682869</v>
      </c>
      <c r="U52" s="12">
        <v>46237.011795682869</v>
      </c>
      <c r="V52" s="14">
        <v>5</v>
      </c>
      <c r="W52" s="14">
        <v>1</v>
      </c>
      <c r="X52" s="14">
        <v>1</v>
      </c>
      <c r="Y52" s="14">
        <v>1.0000000000000001E-5</v>
      </c>
      <c r="Z52" s="10" t="str">
        <f>IF(AND(D52="TRADING",I52&lt;&gt;"",L52&lt;&gt;"",M52&lt;&gt;"",N52&lt;&gt;"",O52&lt;&gt;""),"Yes","No")</f>
        <v>Yes</v>
      </c>
      <c r="AA52" s="10" t="s">
        <v>56</v>
      </c>
    </row>
    <row r="53" spans="1:27">
      <c r="A53" s="10" t="s">
        <v>924</v>
      </c>
      <c r="B53" s="10" t="s">
        <v>925</v>
      </c>
      <c r="C53" s="10" t="s">
        <v>12</v>
      </c>
      <c r="D53" s="10" t="s">
        <v>55</v>
      </c>
      <c r="E53" s="11" t="b">
        <v>1</v>
      </c>
      <c r="F53" s="12">
        <v>43617</v>
      </c>
      <c r="G53" s="12">
        <v>43617.999999988424</v>
      </c>
      <c r="H53" s="13">
        <f>IF(F53="","",(Summary!$B$5-F53)/365.25)</f>
        <v>7.17320326165488</v>
      </c>
      <c r="I53" s="14">
        <v>1.2099999999999999E-3</v>
      </c>
      <c r="J53" s="15">
        <v>1.6810000000000002E-2</v>
      </c>
      <c r="K53" s="16">
        <v>147126907.59999999</v>
      </c>
      <c r="L53" s="16">
        <v>180525.22893899999</v>
      </c>
      <c r="M53" s="17">
        <v>1912</v>
      </c>
      <c r="N53" s="14">
        <v>1.2099999999999999E-3</v>
      </c>
      <c r="O53" s="14">
        <v>1.2199999999999999E-3</v>
      </c>
      <c r="P53" s="18">
        <f>IF(OR(N53="",O53="",N53=0,O53=0),"",(O53-N53)/((O53+N53)/2))</f>
        <v>8.2304526748971409E-3</v>
      </c>
      <c r="Q53" s="14">
        <v>1.227E-3</v>
      </c>
      <c r="R53" s="14">
        <v>1.2600000000000001E-3</v>
      </c>
      <c r="S53" s="14">
        <v>1.1800000000000001E-3</v>
      </c>
      <c r="T53" s="12">
        <v>46236.012453819443</v>
      </c>
      <c r="U53" s="12">
        <v>46237.012453819443</v>
      </c>
      <c r="V53" s="14">
        <v>5</v>
      </c>
      <c r="W53" s="14">
        <v>0.1</v>
      </c>
      <c r="X53" s="14">
        <v>0.1</v>
      </c>
      <c r="Y53" s="14">
        <v>1.0000000000000001E-5</v>
      </c>
      <c r="Z53" s="10" t="str">
        <f>IF(AND(D53="TRADING",I53&lt;&gt;"",L53&lt;&gt;"",M53&lt;&gt;"",N53&lt;&gt;"",O53&lt;&gt;""),"Yes","No")</f>
        <v>Yes</v>
      </c>
      <c r="AA53" s="10" t="s">
        <v>56</v>
      </c>
    </row>
    <row r="54" spans="1:27">
      <c r="A54" s="10" t="s">
        <v>556</v>
      </c>
      <c r="B54" s="10" t="s">
        <v>557</v>
      </c>
      <c r="C54" s="10" t="s">
        <v>12</v>
      </c>
      <c r="D54" s="10" t="s">
        <v>84</v>
      </c>
      <c r="E54" s="11" t="b">
        <v>1</v>
      </c>
      <c r="F54" s="12">
        <v>43627</v>
      </c>
      <c r="G54" s="12">
        <v>43627.999999988424</v>
      </c>
      <c r="H54" s="13">
        <f>IF(F54="","",(Summary!$B$5-F54)/365.25)</f>
        <v>7.1458247537835593</v>
      </c>
      <c r="I54" s="14">
        <v>0.69940000000000002</v>
      </c>
      <c r="J54" s="15">
        <v>-7.6600000000000001E-3</v>
      </c>
      <c r="K54" s="16">
        <v>1858967</v>
      </c>
      <c r="L54" s="16">
        <v>1301242.2442000001</v>
      </c>
      <c r="M54" s="17">
        <v>4001</v>
      </c>
      <c r="N54" s="14">
        <v>0</v>
      </c>
      <c r="O54" s="14">
        <v>0</v>
      </c>
      <c r="P54" s="18" t="str">
        <f>IF(OR(N54="",O54="",N54=0,O54=0),"",(O54-N54)/((O54+N54)/2))</f>
        <v/>
      </c>
      <c r="Q54" s="14">
        <v>0.69998136</v>
      </c>
      <c r="R54" s="14">
        <v>0.71109999999999995</v>
      </c>
      <c r="S54" s="14">
        <v>0.69</v>
      </c>
      <c r="T54" s="12">
        <v>46209.261123090277</v>
      </c>
      <c r="U54" s="12">
        <v>46210.261123090277</v>
      </c>
      <c r="V54" s="14">
        <v>5</v>
      </c>
      <c r="W54" s="14">
        <v>1</v>
      </c>
      <c r="X54" s="14">
        <v>1</v>
      </c>
      <c r="Y54" s="14">
        <v>1E-4</v>
      </c>
      <c r="Z54" s="10" t="str">
        <f>IF(AND(D54="TRADING",I54&lt;&gt;"",L54&lt;&gt;"",M54&lt;&gt;"",N54&lt;&gt;"",O54&lt;&gt;""),"Yes","No")</f>
        <v>No</v>
      </c>
      <c r="AA54" s="10" t="s">
        <v>56</v>
      </c>
    </row>
    <row r="55" spans="1:27">
      <c r="A55" s="10" t="s">
        <v>131</v>
      </c>
      <c r="B55" s="10" t="s">
        <v>132</v>
      </c>
      <c r="C55" s="10" t="s">
        <v>12</v>
      </c>
      <c r="D55" s="10" t="s">
        <v>55</v>
      </c>
      <c r="E55" s="11" t="b">
        <v>1</v>
      </c>
      <c r="F55" s="12">
        <v>43638</v>
      </c>
      <c r="G55" s="12">
        <v>43638.999999988424</v>
      </c>
      <c r="H55" s="13">
        <f>IF(F55="","",(Summary!$B$5-F55)/365.25)</f>
        <v>7.1157083951251057</v>
      </c>
      <c r="I55" s="14">
        <v>8.6400000000000005E-2</v>
      </c>
      <c r="J55" s="15">
        <v>9.2289999999999997E-2</v>
      </c>
      <c r="K55" s="16">
        <v>28550098</v>
      </c>
      <c r="L55" s="16">
        <v>2385901.0680999998</v>
      </c>
      <c r="M55" s="17">
        <v>22337</v>
      </c>
      <c r="N55" s="14">
        <v>8.6400000000000005E-2</v>
      </c>
      <c r="O55" s="14">
        <v>8.6499999999999994E-2</v>
      </c>
      <c r="P55" s="18">
        <f>IF(OR(N55="",O55="",N55=0,O55=0),"",(O55-N55)/((O55+N55)/2))</f>
        <v>1.1567379988431346E-3</v>
      </c>
      <c r="Q55" s="14">
        <v>8.356893E-2</v>
      </c>
      <c r="R55" s="14">
        <v>8.72E-2</v>
      </c>
      <c r="S55" s="14">
        <v>7.8600000000000003E-2</v>
      </c>
      <c r="T55" s="12">
        <v>46236.012482743055</v>
      </c>
      <c r="U55" s="12">
        <v>46237.012482743055</v>
      </c>
      <c r="V55" s="14">
        <v>5</v>
      </c>
      <c r="W55" s="14">
        <v>1</v>
      </c>
      <c r="X55" s="14">
        <v>1</v>
      </c>
      <c r="Y55" s="14">
        <v>1E-4</v>
      </c>
      <c r="Z55" s="10" t="str">
        <f>IF(AND(D55="TRADING",I55&lt;&gt;"",L55&lt;&gt;"",M55&lt;&gt;"",N55&lt;&gt;"",O55&lt;&gt;""),"Yes","No")</f>
        <v>Yes</v>
      </c>
      <c r="AA55" s="10" t="s">
        <v>56</v>
      </c>
    </row>
    <row r="56" spans="1:27">
      <c r="A56" s="10" t="s">
        <v>1288</v>
      </c>
      <c r="B56" s="10" t="s">
        <v>1289</v>
      </c>
      <c r="C56" s="10" t="s">
        <v>12</v>
      </c>
      <c r="D56" s="10" t="s">
        <v>84</v>
      </c>
      <c r="E56" s="11" t="b">
        <v>1</v>
      </c>
      <c r="F56" s="12">
        <v>43640</v>
      </c>
      <c r="G56" s="12">
        <v>43640.999999988424</v>
      </c>
      <c r="H56" s="13">
        <f>IF(F56="","",(Summary!$B$5-F56)/365.25)</f>
        <v>7.1102326935508415</v>
      </c>
      <c r="I56" s="14">
        <v>0</v>
      </c>
      <c r="J56" s="15">
        <v>0</v>
      </c>
      <c r="K56" s="16">
        <v>0</v>
      </c>
      <c r="L56" s="16">
        <v>0</v>
      </c>
      <c r="M56" s="17">
        <v>0</v>
      </c>
      <c r="N56" s="14">
        <v>0</v>
      </c>
      <c r="O56" s="14">
        <v>0</v>
      </c>
      <c r="P56" s="18" t="str">
        <f>IF(OR(N56="",O56="",N56=0,O56=0),"",(O56-N56)/((O56+N56)/2))</f>
        <v/>
      </c>
      <c r="Q56" s="14">
        <v>0</v>
      </c>
      <c r="R56" s="14">
        <v>0</v>
      </c>
      <c r="S56" s="14">
        <v>0</v>
      </c>
      <c r="T56" s="12">
        <v>46209.261123090277</v>
      </c>
      <c r="U56" s="12">
        <v>46210.261123090277</v>
      </c>
      <c r="V56" s="14">
        <v>10</v>
      </c>
      <c r="W56" s="14">
        <v>0.01</v>
      </c>
      <c r="X56" s="14">
        <v>0.01</v>
      </c>
      <c r="Y56" s="14">
        <v>1E-4</v>
      </c>
      <c r="Z56" s="10" t="str">
        <f>IF(AND(D56="TRADING",I56&lt;&gt;"",L56&lt;&gt;"",M56&lt;&gt;"",N56&lt;&gt;"",O56&lt;&gt;""),"Yes","No")</f>
        <v>No</v>
      </c>
      <c r="AA56" s="10" t="s">
        <v>56</v>
      </c>
    </row>
    <row r="57" spans="1:27">
      <c r="A57" s="10" t="s">
        <v>608</v>
      </c>
      <c r="B57" s="10" t="s">
        <v>609</v>
      </c>
      <c r="C57" s="10" t="s">
        <v>12</v>
      </c>
      <c r="D57" s="10" t="s">
        <v>84</v>
      </c>
      <c r="E57" s="11" t="b">
        <v>1</v>
      </c>
      <c r="F57" s="12">
        <v>43647</v>
      </c>
      <c r="G57" s="12">
        <v>43647.999999988424</v>
      </c>
      <c r="H57" s="13">
        <f>IF(F57="","",(Summary!$B$5-F57)/365.25)</f>
        <v>7.0910677380409171</v>
      </c>
      <c r="I57" s="14">
        <v>1.2330000000000001E-2</v>
      </c>
      <c r="J57" s="15">
        <v>-8.054E-2</v>
      </c>
      <c r="K57" s="16">
        <v>41038500.399999999</v>
      </c>
      <c r="L57" s="16">
        <v>534484.49935099995</v>
      </c>
      <c r="M57" s="17">
        <v>4001</v>
      </c>
      <c r="N57" s="14">
        <v>0</v>
      </c>
      <c r="O57" s="14">
        <v>0</v>
      </c>
      <c r="P57" s="18" t="str">
        <f>IF(OR(N57="",O57="",N57=0,O57=0),"",(O57-N57)/((O57+N57)/2))</f>
        <v/>
      </c>
      <c r="Q57" s="14">
        <v>1.3023979999999999E-2</v>
      </c>
      <c r="R57" s="14">
        <v>1.359E-2</v>
      </c>
      <c r="S57" s="14">
        <v>1.223E-2</v>
      </c>
      <c r="T57" s="12">
        <v>46209.261123090277</v>
      </c>
      <c r="U57" s="12">
        <v>46210.261123090277</v>
      </c>
      <c r="V57" s="14">
        <v>10</v>
      </c>
      <c r="W57" s="14">
        <v>0.1</v>
      </c>
      <c r="X57" s="14">
        <v>0.1</v>
      </c>
      <c r="Y57" s="14">
        <v>1.0000000000000001E-5</v>
      </c>
      <c r="Z57" s="10" t="str">
        <f>IF(AND(D57="TRADING",I57&lt;&gt;"",L57&lt;&gt;"",M57&lt;&gt;"",N57&lt;&gt;"",O57&lt;&gt;""),"Yes","No")</f>
        <v>No</v>
      </c>
      <c r="AA57" s="10" t="s">
        <v>56</v>
      </c>
    </row>
    <row r="58" spans="1:27">
      <c r="A58" s="10" t="s">
        <v>493</v>
      </c>
      <c r="B58" s="10" t="s">
        <v>494</v>
      </c>
      <c r="C58" s="10" t="s">
        <v>12</v>
      </c>
      <c r="D58" s="10" t="s">
        <v>84</v>
      </c>
      <c r="E58" s="11" t="b">
        <v>1</v>
      </c>
      <c r="F58" s="12">
        <v>43650</v>
      </c>
      <c r="G58" s="12">
        <v>43650.999999988424</v>
      </c>
      <c r="H58" s="13">
        <f>IF(F58="","",(Summary!$B$5-F58)/365.25)</f>
        <v>7.0828541856795209</v>
      </c>
      <c r="I58" s="14">
        <v>0</v>
      </c>
      <c r="J58" s="15">
        <v>0</v>
      </c>
      <c r="K58" s="16">
        <v>0</v>
      </c>
      <c r="L58" s="16">
        <v>0</v>
      </c>
      <c r="M58" s="17">
        <v>0</v>
      </c>
      <c r="N58" s="14">
        <v>0</v>
      </c>
      <c r="O58" s="14">
        <v>0</v>
      </c>
      <c r="P58" s="18" t="str">
        <f>IF(OR(N58="",O58="",N58=0,O58=0),"",(O58-N58)/((O58+N58)/2))</f>
        <v/>
      </c>
      <c r="Q58" s="14">
        <v>0</v>
      </c>
      <c r="R58" s="14">
        <v>0</v>
      </c>
      <c r="S58" s="14">
        <v>0</v>
      </c>
      <c r="T58" s="12">
        <v>46209.261123090277</v>
      </c>
      <c r="U58" s="12">
        <v>46210.261123090277</v>
      </c>
      <c r="V58" s="14">
        <v>10</v>
      </c>
      <c r="W58" s="14">
        <v>1</v>
      </c>
      <c r="X58" s="14">
        <v>1</v>
      </c>
      <c r="Y58" s="14">
        <v>9.9999999999999995E-7</v>
      </c>
      <c r="Z58" s="10" t="str">
        <f>IF(AND(D58="TRADING",I58&lt;&gt;"",L58&lt;&gt;"",M58&lt;&gt;"",N58&lt;&gt;"",O58&lt;&gt;""),"Yes","No")</f>
        <v>No</v>
      </c>
      <c r="AA58" s="10" t="s">
        <v>56</v>
      </c>
    </row>
    <row r="59" spans="1:27">
      <c r="A59" s="10" t="s">
        <v>441</v>
      </c>
      <c r="B59" s="10" t="s">
        <v>442</v>
      </c>
      <c r="C59" s="10" t="s">
        <v>12</v>
      </c>
      <c r="D59" s="10" t="s">
        <v>55</v>
      </c>
      <c r="E59" s="11" t="b">
        <v>1</v>
      </c>
      <c r="F59" s="12">
        <v>43651</v>
      </c>
      <c r="G59" s="12">
        <v>43651.999999988424</v>
      </c>
      <c r="H59" s="13">
        <f>IF(F59="","",(Summary!$B$5-F59)/365.25)</f>
        <v>7.0801163348923888</v>
      </c>
      <c r="I59" s="14">
        <v>7.0629999999999998E-2</v>
      </c>
      <c r="J59" s="15">
        <v>1.949E-2</v>
      </c>
      <c r="K59" s="16">
        <v>277879326</v>
      </c>
      <c r="L59" s="16">
        <v>19562744.987270001</v>
      </c>
      <c r="M59" s="17">
        <v>174992</v>
      </c>
      <c r="N59" s="14">
        <v>7.0620000000000002E-2</v>
      </c>
      <c r="O59" s="14">
        <v>7.0629999999999998E-2</v>
      </c>
      <c r="P59" s="18">
        <f>IF(OR(N59="",O59="",N59=0,O59=0),"",(O59-N59)/((O59+N59)/2))</f>
        <v>1.4159292035392741E-4</v>
      </c>
      <c r="Q59" s="14">
        <v>7.0400149999999995E-2</v>
      </c>
      <c r="R59" s="14">
        <v>7.1470000000000006E-2</v>
      </c>
      <c r="S59" s="14">
        <v>6.9129999999999997E-2</v>
      </c>
      <c r="T59" s="12">
        <v>46236.012470185182</v>
      </c>
      <c r="U59" s="12">
        <v>46237.012470185182</v>
      </c>
      <c r="V59" s="14">
        <v>1</v>
      </c>
      <c r="W59" s="14">
        <v>1</v>
      </c>
      <c r="X59" s="14">
        <v>1</v>
      </c>
      <c r="Y59" s="14">
        <v>1.0000000000000001E-5</v>
      </c>
      <c r="Z59" s="10" t="str">
        <f>IF(AND(D59="TRADING",I59&lt;&gt;"",L59&lt;&gt;"",M59&lt;&gt;"",N59&lt;&gt;"",O59&lt;&gt;""),"Yes","No")</f>
        <v>Yes</v>
      </c>
      <c r="AA59" s="10" t="s">
        <v>56</v>
      </c>
    </row>
    <row r="60" spans="1:27">
      <c r="A60" s="10" t="s">
        <v>455</v>
      </c>
      <c r="B60" s="10" t="s">
        <v>456</v>
      </c>
      <c r="C60" s="10" t="s">
        <v>12</v>
      </c>
      <c r="D60" s="10" t="s">
        <v>55</v>
      </c>
      <c r="E60" s="11" t="b">
        <v>1</v>
      </c>
      <c r="F60" s="12">
        <v>43668</v>
      </c>
      <c r="G60" s="12">
        <v>43668.999999988424</v>
      </c>
      <c r="H60" s="13">
        <f>IF(F60="","",(Summary!$B$5-F60)/365.25)</f>
        <v>7.0335728715111427</v>
      </c>
      <c r="I60" s="14">
        <v>6.0900000000000003E-2</v>
      </c>
      <c r="J60" s="15">
        <v>7.4069999999999997E-2</v>
      </c>
      <c r="K60" s="16">
        <v>4867427</v>
      </c>
      <c r="L60" s="16">
        <v>291357.05290000001</v>
      </c>
      <c r="M60" s="17">
        <v>4967</v>
      </c>
      <c r="N60" s="14">
        <v>6.0900000000000003E-2</v>
      </c>
      <c r="O60" s="14">
        <v>6.1100000000000002E-2</v>
      </c>
      <c r="P60" s="18">
        <f>IF(OR(N60="",O60="",N60=0,O60=0),"",(O60-N60)/((O60+N60)/2))</f>
        <v>3.278688524590144E-3</v>
      </c>
      <c r="Q60" s="14">
        <v>5.9858540000000002E-2</v>
      </c>
      <c r="R60" s="14">
        <v>6.2300000000000001E-2</v>
      </c>
      <c r="S60" s="14">
        <v>5.6399999999999999E-2</v>
      </c>
      <c r="T60" s="12">
        <v>46236.012421388892</v>
      </c>
      <c r="U60" s="12">
        <v>46237.012421388892</v>
      </c>
      <c r="V60" s="14">
        <v>5</v>
      </c>
      <c r="W60" s="14">
        <v>1</v>
      </c>
      <c r="X60" s="14">
        <v>1</v>
      </c>
      <c r="Y60" s="14">
        <v>1E-4</v>
      </c>
      <c r="Z60" s="10" t="str">
        <f>IF(AND(D60="TRADING",I60&lt;&gt;"",L60&lt;&gt;"",M60&lt;&gt;"",N60&lt;&gt;"",O60&lt;&gt;""),"Yes","No")</f>
        <v>Yes</v>
      </c>
      <c r="AA60" s="10" t="s">
        <v>56</v>
      </c>
    </row>
    <row r="61" spans="1:27">
      <c r="A61" s="10" t="s">
        <v>159</v>
      </c>
      <c r="B61" s="10" t="s">
        <v>160</v>
      </c>
      <c r="C61" s="10" t="s">
        <v>12</v>
      </c>
      <c r="D61" s="10" t="s">
        <v>55</v>
      </c>
      <c r="E61" s="11" t="b">
        <v>1</v>
      </c>
      <c r="F61" s="12">
        <v>43669</v>
      </c>
      <c r="G61" s="12">
        <v>43669.999999988424</v>
      </c>
      <c r="H61" s="13">
        <f>IF(F61="","",(Summary!$B$5-F61)/365.25)</f>
        <v>7.0308350207240107</v>
      </c>
      <c r="I61" s="14">
        <v>3.3999999999999998E-3</v>
      </c>
      <c r="J61" s="15">
        <v>-2.9299999999999999E-3</v>
      </c>
      <c r="K61" s="16">
        <v>35449111.299999997</v>
      </c>
      <c r="L61" s="16">
        <v>121755.34287199999</v>
      </c>
      <c r="M61" s="17">
        <v>1400</v>
      </c>
      <c r="N61" s="14">
        <v>3.3899999999999998E-3</v>
      </c>
      <c r="O61" s="14">
        <v>3.3999999999999998E-3</v>
      </c>
      <c r="P61" s="18">
        <f>IF(OR(N61="",O61="",N61=0,O61=0),"",(O61-N61)/((O61+N61)/2))</f>
        <v>2.9455081001472836E-3</v>
      </c>
      <c r="Q61" s="14">
        <v>3.43465E-3</v>
      </c>
      <c r="R61" s="14">
        <v>3.64E-3</v>
      </c>
      <c r="S61" s="14">
        <v>3.3899999999999998E-3</v>
      </c>
      <c r="T61" s="12">
        <v>46236.012439872684</v>
      </c>
      <c r="U61" s="12">
        <v>46237.012439872684</v>
      </c>
      <c r="V61" s="14">
        <v>5</v>
      </c>
      <c r="W61" s="14">
        <v>0.1</v>
      </c>
      <c r="X61" s="14">
        <v>0.1</v>
      </c>
      <c r="Y61" s="14">
        <v>1.0000000000000001E-5</v>
      </c>
      <c r="Z61" s="10" t="str">
        <f>IF(AND(D61="TRADING",I61&lt;&gt;"",L61&lt;&gt;"",M61&lt;&gt;"",N61&lt;&gt;"",O61&lt;&gt;""),"Yes","No")</f>
        <v>Yes</v>
      </c>
      <c r="AA61" s="10" t="s">
        <v>56</v>
      </c>
    </row>
    <row r="62" spans="1:27">
      <c r="A62" s="10" t="s">
        <v>1349</v>
      </c>
      <c r="B62" s="10" t="s">
        <v>1350</v>
      </c>
      <c r="C62" s="10" t="s">
        <v>12</v>
      </c>
      <c r="D62" s="10" t="s">
        <v>55</v>
      </c>
      <c r="E62" s="11" t="b">
        <v>1</v>
      </c>
      <c r="F62" s="12">
        <v>43678</v>
      </c>
      <c r="G62" s="12">
        <v>43678.999999988424</v>
      </c>
      <c r="H62" s="13">
        <f>IF(F62="","",(Summary!$B$5-F62)/365.25)</f>
        <v>7.0061943636398221</v>
      </c>
      <c r="I62" s="14">
        <v>2.8419999999999999E-5</v>
      </c>
      <c r="J62" s="15">
        <v>1.864E-2</v>
      </c>
      <c r="K62" s="16">
        <v>5057459848</v>
      </c>
      <c r="L62" s="16">
        <v>143499.18559948</v>
      </c>
      <c r="M62" s="17">
        <v>4243</v>
      </c>
      <c r="N62" s="14">
        <v>2.8379999999999999E-5</v>
      </c>
      <c r="O62" s="14">
        <v>2.8419999999999999E-5</v>
      </c>
      <c r="P62" s="18">
        <f>IF(OR(N62="",O62="",N62=0,O62=0),"",(O62-N62)/((O62+N62)/2))</f>
        <v>1.4084507042253387E-3</v>
      </c>
      <c r="Q62" s="14">
        <v>2.8370000000000001E-5</v>
      </c>
      <c r="R62" s="14">
        <v>2.8969999999999999E-5</v>
      </c>
      <c r="S62" s="14">
        <v>2.777E-5</v>
      </c>
      <c r="T62" s="12">
        <v>46236.011706516205</v>
      </c>
      <c r="U62" s="12">
        <v>46237.011706516205</v>
      </c>
      <c r="V62" s="14">
        <v>5</v>
      </c>
      <c r="W62" s="14">
        <v>1</v>
      </c>
      <c r="X62" s="14">
        <v>1</v>
      </c>
      <c r="Y62" s="14">
        <v>1E-8</v>
      </c>
      <c r="Z62" s="10" t="str">
        <f>IF(AND(D62="TRADING",I62&lt;&gt;"",L62&lt;&gt;"",M62&lt;&gt;"",N62&lt;&gt;"",O62&lt;&gt;""),"Yes","No")</f>
        <v>Yes</v>
      </c>
      <c r="AA62" s="10" t="s">
        <v>56</v>
      </c>
    </row>
    <row r="63" spans="1:27">
      <c r="A63" s="10" t="s">
        <v>381</v>
      </c>
      <c r="B63" s="10" t="s">
        <v>382</v>
      </c>
      <c r="C63" s="10" t="s">
        <v>12</v>
      </c>
      <c r="D63" s="10" t="s">
        <v>84</v>
      </c>
      <c r="E63" s="11" t="b">
        <v>1</v>
      </c>
      <c r="F63" s="12">
        <v>43680</v>
      </c>
      <c r="G63" s="12">
        <v>43680.999999988424</v>
      </c>
      <c r="H63" s="13">
        <f>IF(F63="","",(Summary!$B$5-F63)/365.25)</f>
        <v>7.0007186620655579</v>
      </c>
      <c r="I63" s="14">
        <v>2.5099999999999998E-4</v>
      </c>
      <c r="J63" s="15">
        <v>-0.4108</v>
      </c>
      <c r="K63" s="16">
        <v>2834611233</v>
      </c>
      <c r="L63" s="16">
        <v>878801.62654229999</v>
      </c>
      <c r="M63" s="17">
        <v>15245</v>
      </c>
      <c r="N63" s="14">
        <v>0</v>
      </c>
      <c r="O63" s="14">
        <v>0</v>
      </c>
      <c r="P63" s="18" t="str">
        <f>IF(OR(N63="",O63="",N63=0,O63=0),"",(O63-N63)/((O63+N63)/2))</f>
        <v/>
      </c>
      <c r="Q63" s="14">
        <v>3.1002999999999998E-4</v>
      </c>
      <c r="R63" s="14">
        <v>4.9100000000000001E-4</v>
      </c>
      <c r="S63" s="14">
        <v>2.1100000000000001E-4</v>
      </c>
      <c r="T63" s="12">
        <v>46209.261123090277</v>
      </c>
      <c r="U63" s="12">
        <v>46210.261123090277</v>
      </c>
      <c r="V63" s="14">
        <v>5</v>
      </c>
      <c r="W63" s="14">
        <v>0.1</v>
      </c>
      <c r="X63" s="14">
        <v>0.1</v>
      </c>
      <c r="Y63" s="14">
        <v>9.9999999999999995E-7</v>
      </c>
      <c r="Z63" s="10" t="str">
        <f>IF(AND(D63="TRADING",I63&lt;&gt;"",L63&lt;&gt;"",M63&lt;&gt;"",N63&lt;&gt;"",O63&lt;&gt;""),"Yes","No")</f>
        <v>No</v>
      </c>
      <c r="AA63" s="10" t="s">
        <v>56</v>
      </c>
    </row>
    <row r="64" spans="1:27">
      <c r="A64" s="10" t="s">
        <v>896</v>
      </c>
      <c r="B64" s="10" t="s">
        <v>897</v>
      </c>
      <c r="C64" s="10" t="s">
        <v>12</v>
      </c>
      <c r="D64" s="10" t="s">
        <v>84</v>
      </c>
      <c r="E64" s="11" t="b">
        <v>1</v>
      </c>
      <c r="F64" s="12">
        <v>43690</v>
      </c>
      <c r="G64" s="12">
        <v>43690.999999988424</v>
      </c>
      <c r="H64" s="13">
        <f>IF(F64="","",(Summary!$B$5-F64)/365.25)</f>
        <v>6.9733401541942364</v>
      </c>
      <c r="I64" s="14">
        <v>0</v>
      </c>
      <c r="J64" s="15">
        <v>0</v>
      </c>
      <c r="K64" s="16">
        <v>0</v>
      </c>
      <c r="L64" s="16">
        <v>0</v>
      </c>
      <c r="M64" s="17">
        <v>0</v>
      </c>
      <c r="N64" s="14">
        <v>0</v>
      </c>
      <c r="O64" s="14">
        <v>0</v>
      </c>
      <c r="P64" s="18" t="str">
        <f>IF(OR(N64="",O64="",N64=0,O64=0),"",(O64-N64)/((O64+N64)/2))</f>
        <v/>
      </c>
      <c r="Q64" s="14">
        <v>0</v>
      </c>
      <c r="R64" s="14">
        <v>0</v>
      </c>
      <c r="S64" s="14">
        <v>0</v>
      </c>
      <c r="T64" s="12">
        <v>46209.261123090277</v>
      </c>
      <c r="U64" s="12">
        <v>46210.261123090277</v>
      </c>
      <c r="V64" s="14">
        <v>10</v>
      </c>
      <c r="W64" s="14">
        <v>1</v>
      </c>
      <c r="X64" s="14">
        <v>1</v>
      </c>
      <c r="Y64" s="14">
        <v>9.9999999999999995E-8</v>
      </c>
      <c r="Z64" s="10" t="str">
        <f>IF(AND(D64="TRADING",I64&lt;&gt;"",L64&lt;&gt;"",M64&lt;&gt;"",N64&lt;&gt;"",O64&lt;&gt;""),"Yes","No")</f>
        <v>No</v>
      </c>
      <c r="AA64" s="10" t="s">
        <v>56</v>
      </c>
    </row>
    <row r="65" spans="1:27">
      <c r="A65" s="10" t="s">
        <v>371</v>
      </c>
      <c r="B65" s="10" t="s">
        <v>372</v>
      </c>
      <c r="C65" s="10" t="s">
        <v>12</v>
      </c>
      <c r="D65" s="10" t="s">
        <v>84</v>
      </c>
      <c r="E65" s="11" t="b">
        <v>1</v>
      </c>
      <c r="F65" s="12">
        <v>43698</v>
      </c>
      <c r="G65" s="12">
        <v>43698.999999988424</v>
      </c>
      <c r="H65" s="13">
        <f>IF(F65="","",(Summary!$B$5-F65)/365.25)</f>
        <v>6.9514373478971798</v>
      </c>
      <c r="I65" s="14">
        <v>1.7545999999999999</v>
      </c>
      <c r="J65" s="15">
        <v>3.4430000000000002E-2</v>
      </c>
      <c r="K65" s="16">
        <v>889158</v>
      </c>
      <c r="L65" s="16">
        <v>1531715.9424000001</v>
      </c>
      <c r="M65" s="17">
        <v>4001</v>
      </c>
      <c r="N65" s="14">
        <v>0</v>
      </c>
      <c r="O65" s="14">
        <v>0</v>
      </c>
      <c r="P65" s="18" t="str">
        <f>IF(OR(N65="",O65="",N65=0,O65=0),"",(O65-N65)/((O65+N65)/2))</f>
        <v/>
      </c>
      <c r="Q65" s="14">
        <v>1.7226589000000001</v>
      </c>
      <c r="R65" s="14">
        <v>1.7698</v>
      </c>
      <c r="S65" s="14">
        <v>1.6920999999999999</v>
      </c>
      <c r="T65" s="12">
        <v>46209.261123090277</v>
      </c>
      <c r="U65" s="12">
        <v>46210.261123090277</v>
      </c>
      <c r="V65" s="14">
        <v>10</v>
      </c>
      <c r="W65" s="14">
        <v>1</v>
      </c>
      <c r="X65" s="14">
        <v>1</v>
      </c>
      <c r="Y65" s="14">
        <v>1E-4</v>
      </c>
      <c r="Z65" s="10" t="str">
        <f>IF(AND(D65="TRADING",I65&lt;&gt;"",L65&lt;&gt;"",M65&lt;&gt;"",N65&lt;&gt;"",O65&lt;&gt;""),"Yes","No")</f>
        <v>No</v>
      </c>
      <c r="AA65" s="10" t="s">
        <v>56</v>
      </c>
    </row>
    <row r="66" spans="1:27">
      <c r="A66" s="10" t="s">
        <v>850</v>
      </c>
      <c r="B66" s="10" t="s">
        <v>851</v>
      </c>
      <c r="C66" s="10" t="s">
        <v>12</v>
      </c>
      <c r="D66" s="10" t="s">
        <v>55</v>
      </c>
      <c r="E66" s="11" t="b">
        <v>1</v>
      </c>
      <c r="F66" s="12">
        <v>43700</v>
      </c>
      <c r="G66" s="12">
        <v>43700.999999988424</v>
      </c>
      <c r="H66" s="13">
        <f>IF(F66="","",(Summary!$B$5-F66)/365.25)</f>
        <v>6.9459616463229157</v>
      </c>
      <c r="I66" s="14">
        <v>0.20499999999999999</v>
      </c>
      <c r="J66" s="15">
        <v>-1.4419999999999999E-2</v>
      </c>
      <c r="K66" s="16">
        <v>252126.8</v>
      </c>
      <c r="L66" s="16">
        <v>52146.6558</v>
      </c>
      <c r="M66" s="17">
        <v>2320</v>
      </c>
      <c r="N66" s="14">
        <v>0.20499999999999999</v>
      </c>
      <c r="O66" s="14">
        <v>0.20599999999999999</v>
      </c>
      <c r="P66" s="18">
        <f>IF(OR(N66="",O66="",N66=0,O66=0),"",(O66-N66)/((O66+N66)/2))</f>
        <v>4.866180048661805E-3</v>
      </c>
      <c r="Q66" s="14">
        <v>0.20682710000000001</v>
      </c>
      <c r="R66" s="14">
        <v>0.21</v>
      </c>
      <c r="S66" s="14">
        <v>0.20499999999999999</v>
      </c>
      <c r="T66" s="12">
        <v>46236.012446793982</v>
      </c>
      <c r="U66" s="12">
        <v>46237.012446793982</v>
      </c>
      <c r="V66" s="14">
        <v>5</v>
      </c>
      <c r="W66" s="14">
        <v>0.1</v>
      </c>
      <c r="X66" s="14">
        <v>0.1</v>
      </c>
      <c r="Y66" s="14">
        <v>1E-3</v>
      </c>
      <c r="Z66" s="10" t="str">
        <f>IF(AND(D66="TRADING",I66&lt;&gt;"",L66&lt;&gt;"",M66&lt;&gt;"",N66&lt;&gt;"",O66&lt;&gt;""),"Yes","No")</f>
        <v>Yes</v>
      </c>
      <c r="AA66" s="10" t="s">
        <v>56</v>
      </c>
    </row>
    <row r="67" spans="1:27">
      <c r="A67" s="10" t="s">
        <v>1229</v>
      </c>
      <c r="B67" s="10" t="s">
        <v>1230</v>
      </c>
      <c r="C67" s="10" t="s">
        <v>12</v>
      </c>
      <c r="D67" s="10" t="s">
        <v>84</v>
      </c>
      <c r="E67" s="11" t="b">
        <v>1</v>
      </c>
      <c r="F67" s="12">
        <v>43701</v>
      </c>
      <c r="G67" s="12">
        <v>43701.999999988424</v>
      </c>
      <c r="H67" s="13">
        <f>IF(F67="","",(Summary!$B$5-F67)/365.25)</f>
        <v>6.9432237955357836</v>
      </c>
      <c r="I67" s="14">
        <v>1.3818999999999999</v>
      </c>
      <c r="J67" s="15">
        <v>3.2189999999999996E-2</v>
      </c>
      <c r="K67" s="16">
        <v>811812</v>
      </c>
      <c r="L67" s="16">
        <v>1094187.90188</v>
      </c>
      <c r="M67" s="17">
        <v>4001</v>
      </c>
      <c r="N67" s="14">
        <v>0</v>
      </c>
      <c r="O67" s="14">
        <v>0</v>
      </c>
      <c r="P67" s="18" t="str">
        <f>IF(OR(N67="",O67="",N67=0,O67=0),"",(O67-N67)/((O67+N67)/2))</f>
        <v/>
      </c>
      <c r="Q67" s="14">
        <v>1.34783411</v>
      </c>
      <c r="R67" s="14">
        <v>1.39</v>
      </c>
      <c r="S67" s="14">
        <v>1.31</v>
      </c>
      <c r="T67" s="12">
        <v>46209.261123090277</v>
      </c>
      <c r="U67" s="12">
        <v>46210.261123090277</v>
      </c>
      <c r="V67" s="14">
        <v>5</v>
      </c>
      <c r="W67" s="14">
        <v>0.1</v>
      </c>
      <c r="X67" s="14">
        <v>0.1</v>
      </c>
      <c r="Y67" s="14">
        <v>1E-4</v>
      </c>
      <c r="Z67" s="10" t="str">
        <f>IF(AND(D67="TRADING",I67&lt;&gt;"",L67&lt;&gt;"",M67&lt;&gt;"",N67&lt;&gt;"",O67&lt;&gt;""),"Yes","No")</f>
        <v>No</v>
      </c>
      <c r="AA67" s="10" t="s">
        <v>56</v>
      </c>
    </row>
    <row r="68" spans="1:27">
      <c r="A68" s="10" t="s">
        <v>968</v>
      </c>
      <c r="B68" s="10" t="s">
        <v>969</v>
      </c>
      <c r="C68" s="10" t="s">
        <v>12</v>
      </c>
      <c r="D68" s="10" t="s">
        <v>84</v>
      </c>
      <c r="E68" s="11" t="b">
        <v>1</v>
      </c>
      <c r="F68" s="12">
        <v>43703</v>
      </c>
      <c r="G68" s="12">
        <v>43703.999999988424</v>
      </c>
      <c r="H68" s="13">
        <f>IF(F68="","",(Summary!$B$5-F68)/365.25)</f>
        <v>6.9377480939615195</v>
      </c>
      <c r="I68" s="14">
        <v>4.5999999999999999E-3</v>
      </c>
      <c r="J68" s="15">
        <v>-0.20553000000000002</v>
      </c>
      <c r="K68" s="16">
        <v>67198312.799999997</v>
      </c>
      <c r="L68" s="16">
        <v>359284.38456199999</v>
      </c>
      <c r="M68" s="17">
        <v>4001</v>
      </c>
      <c r="N68" s="14">
        <v>0</v>
      </c>
      <c r="O68" s="14">
        <v>0</v>
      </c>
      <c r="P68" s="18" t="str">
        <f>IF(OR(N68="",O68="",N68=0,O68=0),"",(O68-N68)/((O68+N68)/2))</f>
        <v/>
      </c>
      <c r="Q68" s="14">
        <v>5.3466299999999998E-3</v>
      </c>
      <c r="R68" s="14">
        <v>5.8500000000000002E-3</v>
      </c>
      <c r="S68" s="14">
        <v>4.5300000000000002E-3</v>
      </c>
      <c r="T68" s="12">
        <v>46209.261123090277</v>
      </c>
      <c r="U68" s="12">
        <v>46210.261123090277</v>
      </c>
      <c r="V68" s="14">
        <v>5</v>
      </c>
      <c r="W68" s="14">
        <v>0.1</v>
      </c>
      <c r="X68" s="14">
        <v>0.1</v>
      </c>
      <c r="Y68" s="14">
        <v>1.0000000000000001E-5</v>
      </c>
      <c r="Z68" s="10" t="str">
        <f>IF(AND(D68="TRADING",I68&lt;&gt;"",L68&lt;&gt;"",M68&lt;&gt;"",N68&lt;&gt;"",O68&lt;&gt;""),"Yes","No")</f>
        <v>No</v>
      </c>
      <c r="AA68" s="10" t="s">
        <v>56</v>
      </c>
    </row>
    <row r="69" spans="1:27">
      <c r="A69" s="10" t="s">
        <v>403</v>
      </c>
      <c r="B69" s="10" t="s">
        <v>404</v>
      </c>
      <c r="C69" s="10" t="s">
        <v>12</v>
      </c>
      <c r="D69" s="10" t="s">
        <v>55</v>
      </c>
      <c r="E69" s="11" t="b">
        <v>1</v>
      </c>
      <c r="F69" s="12">
        <v>43704</v>
      </c>
      <c r="G69" s="12">
        <v>43704.999999988424</v>
      </c>
      <c r="H69" s="13">
        <f>IF(F69="","",(Summary!$B$5-F69)/365.25)</f>
        <v>6.9350102431743874</v>
      </c>
      <c r="I69" s="14">
        <v>1.831E-2</v>
      </c>
      <c r="J69" s="15">
        <v>-7.0499999999999998E-3</v>
      </c>
      <c r="K69" s="16">
        <v>3212978</v>
      </c>
      <c r="L69" s="16">
        <v>59121.158600000002</v>
      </c>
      <c r="M69" s="17">
        <v>1356</v>
      </c>
      <c r="N69" s="14">
        <v>1.8290000000000001E-2</v>
      </c>
      <c r="O69" s="14">
        <v>1.83E-2</v>
      </c>
      <c r="P69" s="18">
        <f>IF(OR(N69="",O69="",N69=0,O69=0),"",(O69-N69)/((O69+N69)/2))</f>
        <v>5.4659743099205206E-4</v>
      </c>
      <c r="Q69" s="14">
        <v>1.8400739999999999E-2</v>
      </c>
      <c r="R69" s="14">
        <v>1.8579999999999999E-2</v>
      </c>
      <c r="S69" s="14">
        <v>1.821E-2</v>
      </c>
      <c r="T69" s="12">
        <v>46236.012478379627</v>
      </c>
      <c r="U69" s="12">
        <v>46237.012478379627</v>
      </c>
      <c r="V69" s="14">
        <v>5</v>
      </c>
      <c r="W69" s="14">
        <v>1</v>
      </c>
      <c r="X69" s="14">
        <v>1</v>
      </c>
      <c r="Y69" s="14">
        <v>1.0000000000000001E-5</v>
      </c>
      <c r="Z69" s="10" t="str">
        <f>IF(AND(D69="TRADING",I69&lt;&gt;"",L69&lt;&gt;"",M69&lt;&gt;"",N69&lt;&gt;"",O69&lt;&gt;""),"Yes","No")</f>
        <v>Yes</v>
      </c>
      <c r="AA69" s="10" t="s">
        <v>56</v>
      </c>
    </row>
    <row r="70" spans="1:27">
      <c r="A70" s="10" t="s">
        <v>425</v>
      </c>
      <c r="B70" s="10" t="s">
        <v>426</v>
      </c>
      <c r="C70" s="10" t="s">
        <v>12</v>
      </c>
      <c r="D70" s="10" t="s">
        <v>84</v>
      </c>
      <c r="E70" s="11" t="b">
        <v>1</v>
      </c>
      <c r="F70" s="12">
        <v>43704</v>
      </c>
      <c r="G70" s="12">
        <v>43704.999999988424</v>
      </c>
      <c r="H70" s="13">
        <f>IF(F70="","",(Summary!$B$5-F70)/365.25)</f>
        <v>6.9350102431743874</v>
      </c>
      <c r="I70" s="14">
        <v>3.8000000000000002E-5</v>
      </c>
      <c r="J70" s="15">
        <v>-0.36667</v>
      </c>
      <c r="K70" s="16">
        <v>23804504325</v>
      </c>
      <c r="L70" s="16">
        <v>1118715.167836</v>
      </c>
      <c r="M70" s="17">
        <v>17356</v>
      </c>
      <c r="N70" s="14">
        <v>0</v>
      </c>
      <c r="O70" s="14">
        <v>0</v>
      </c>
      <c r="P70" s="18" t="str">
        <f>IF(OR(N70="",O70="",N70=0,O70=0),"",(O70-N70)/((O70+N70)/2))</f>
        <v/>
      </c>
      <c r="Q70" s="14">
        <v>4.6999999999999997E-5</v>
      </c>
      <c r="R70" s="14">
        <v>6.0000000000000002E-5</v>
      </c>
      <c r="S70" s="14">
        <v>3.4999999999999997E-5</v>
      </c>
      <c r="T70" s="12">
        <v>46209.261123090277</v>
      </c>
      <c r="U70" s="12">
        <v>46210.261123090277</v>
      </c>
      <c r="V70" s="14">
        <v>5</v>
      </c>
      <c r="W70" s="14">
        <v>1</v>
      </c>
      <c r="X70" s="14">
        <v>1</v>
      </c>
      <c r="Y70" s="14">
        <v>9.9999999999999995E-7</v>
      </c>
      <c r="Z70" s="10" t="str">
        <f>IF(AND(D70="TRADING",I70&lt;&gt;"",L70&lt;&gt;"",M70&lt;&gt;"",N70&lt;&gt;"",O70&lt;&gt;""),"Yes","No")</f>
        <v>No</v>
      </c>
      <c r="AA70" s="10" t="s">
        <v>56</v>
      </c>
    </row>
    <row r="71" spans="1:27">
      <c r="A71" s="10" t="s">
        <v>437</v>
      </c>
      <c r="B71" s="10" t="s">
        <v>438</v>
      </c>
      <c r="C71" s="10" t="s">
        <v>12</v>
      </c>
      <c r="D71" s="10" t="s">
        <v>84</v>
      </c>
      <c r="E71" s="11" t="b">
        <v>1</v>
      </c>
      <c r="F71" s="12">
        <v>43704</v>
      </c>
      <c r="G71" s="12">
        <v>43704.999999988424</v>
      </c>
      <c r="H71" s="13">
        <f>IF(F71="","",(Summary!$B$5-F71)/365.25)</f>
        <v>6.9350102431743874</v>
      </c>
      <c r="I71" s="14">
        <v>3.8999999999999998E-3</v>
      </c>
      <c r="J71" s="15">
        <v>-6.4750000000000002E-2</v>
      </c>
      <c r="K71" s="16">
        <v>116266154</v>
      </c>
      <c r="L71" s="16">
        <v>471080.89640999999</v>
      </c>
      <c r="M71" s="17">
        <v>4001</v>
      </c>
      <c r="N71" s="14">
        <v>0</v>
      </c>
      <c r="O71" s="14">
        <v>0</v>
      </c>
      <c r="P71" s="18" t="str">
        <f>IF(OR(N71="",O71="",N71=0,O71=0),"",(O71-N71)/((O71+N71)/2))</f>
        <v/>
      </c>
      <c r="Q71" s="14">
        <v>4.0517499999999998E-3</v>
      </c>
      <c r="R71" s="14">
        <v>4.3699999999999998E-3</v>
      </c>
      <c r="S71" s="14">
        <v>3.7399999999999998E-3</v>
      </c>
      <c r="T71" s="12">
        <v>46209.261123090277</v>
      </c>
      <c r="U71" s="12">
        <v>46210.261123090277</v>
      </c>
      <c r="V71" s="14">
        <v>5</v>
      </c>
      <c r="W71" s="14">
        <v>1</v>
      </c>
      <c r="X71" s="14">
        <v>1</v>
      </c>
      <c r="Y71" s="14">
        <v>1.0000000000000001E-5</v>
      </c>
      <c r="Z71" s="10" t="str">
        <f>IF(AND(D71="TRADING",I71&lt;&gt;"",L71&lt;&gt;"",M71&lt;&gt;"",N71&lt;&gt;"",O71&lt;&gt;""),"Yes","No")</f>
        <v>No</v>
      </c>
      <c r="AA71" s="10" t="s">
        <v>56</v>
      </c>
    </row>
    <row r="72" spans="1:27">
      <c r="A72" s="10" t="s">
        <v>560</v>
      </c>
      <c r="B72" s="10" t="s">
        <v>561</v>
      </c>
      <c r="C72" s="10" t="s">
        <v>12</v>
      </c>
      <c r="D72" s="10" t="s">
        <v>84</v>
      </c>
      <c r="E72" s="11" t="b">
        <v>1</v>
      </c>
      <c r="F72" s="12">
        <v>43704</v>
      </c>
      <c r="G72" s="12">
        <v>43704.999999988424</v>
      </c>
      <c r="H72" s="13">
        <f>IF(F72="","",(Summary!$B$5-F72)/365.25)</f>
        <v>6.9350102431743874</v>
      </c>
      <c r="I72" s="14">
        <v>3.4200000000000002E-4</v>
      </c>
      <c r="J72" s="15">
        <v>-0.24335999999999999</v>
      </c>
      <c r="K72" s="16">
        <v>1549586034</v>
      </c>
      <c r="L72" s="16">
        <v>607978.37101200002</v>
      </c>
      <c r="M72" s="17">
        <v>14430</v>
      </c>
      <c r="N72" s="14">
        <v>0</v>
      </c>
      <c r="O72" s="14">
        <v>0</v>
      </c>
      <c r="P72" s="18" t="str">
        <f>IF(OR(N72="",O72="",N72=0,O72=0),"",(O72-N72)/((O72+N72)/2))</f>
        <v/>
      </c>
      <c r="Q72" s="14">
        <v>3.9235000000000002E-4</v>
      </c>
      <c r="R72" s="14">
        <v>4.6500000000000003E-4</v>
      </c>
      <c r="S72" s="14">
        <v>2.9999999999999997E-4</v>
      </c>
      <c r="T72" s="12">
        <v>46209.261123090277</v>
      </c>
      <c r="U72" s="12">
        <v>46210.261123090277</v>
      </c>
      <c r="V72" s="14">
        <v>5</v>
      </c>
      <c r="W72" s="14">
        <v>1</v>
      </c>
      <c r="X72" s="14">
        <v>1</v>
      </c>
      <c r="Y72" s="14">
        <v>9.9999999999999995E-7</v>
      </c>
      <c r="Z72" s="10" t="str">
        <f>IF(AND(D72="TRADING",I72&lt;&gt;"",L72&lt;&gt;"",M72&lt;&gt;"",N72&lt;&gt;"",O72&lt;&gt;""),"Yes","No")</f>
        <v>No</v>
      </c>
      <c r="AA72" s="10" t="s">
        <v>56</v>
      </c>
    </row>
    <row r="73" spans="1:27">
      <c r="A73" s="10" t="s">
        <v>714</v>
      </c>
      <c r="B73" s="10" t="s">
        <v>715</v>
      </c>
      <c r="C73" s="10" t="s">
        <v>12</v>
      </c>
      <c r="D73" s="10" t="s">
        <v>84</v>
      </c>
      <c r="E73" s="11" t="b">
        <v>1</v>
      </c>
      <c r="F73" s="12">
        <v>43704</v>
      </c>
      <c r="G73" s="12">
        <v>43704.999999988424</v>
      </c>
      <c r="H73" s="13">
        <f>IF(F73="","",(Summary!$B$5-F73)/365.25)</f>
        <v>6.9350102431743874</v>
      </c>
      <c r="I73" s="14">
        <v>1.253E-3</v>
      </c>
      <c r="J73" s="15">
        <v>-3.0190000000000002E-2</v>
      </c>
      <c r="K73" s="16">
        <v>97136470</v>
      </c>
      <c r="L73" s="16">
        <v>119194.804217</v>
      </c>
      <c r="M73" s="17">
        <v>4001</v>
      </c>
      <c r="N73" s="14">
        <v>0</v>
      </c>
      <c r="O73" s="14">
        <v>0</v>
      </c>
      <c r="P73" s="18" t="str">
        <f>IF(OR(N73="",O73="",N73=0,O73=0),"",(O73-N73)/((O73+N73)/2))</f>
        <v/>
      </c>
      <c r="Q73" s="14">
        <v>1.2270899999999999E-3</v>
      </c>
      <c r="R73" s="14">
        <v>1.389E-3</v>
      </c>
      <c r="S73" s="14">
        <v>1.0529999999999999E-3</v>
      </c>
      <c r="T73" s="12">
        <v>46209.261123090277</v>
      </c>
      <c r="U73" s="12">
        <v>46210.261123090277</v>
      </c>
      <c r="V73" s="14">
        <v>5</v>
      </c>
      <c r="W73" s="14">
        <v>1</v>
      </c>
      <c r="X73" s="14">
        <v>1</v>
      </c>
      <c r="Y73" s="14">
        <v>9.9999999999999995E-7</v>
      </c>
      <c r="Z73" s="10" t="str">
        <f>IF(AND(D73="TRADING",I73&lt;&gt;"",L73&lt;&gt;"",M73&lt;&gt;"",N73&lt;&gt;"",O73&lt;&gt;""),"Yes","No")</f>
        <v>No</v>
      </c>
      <c r="AA73" s="10" t="s">
        <v>56</v>
      </c>
    </row>
    <row r="74" spans="1:27">
      <c r="A74" s="10" t="s">
        <v>818</v>
      </c>
      <c r="B74" s="10" t="s">
        <v>819</v>
      </c>
      <c r="C74" s="10" t="s">
        <v>12</v>
      </c>
      <c r="D74" s="10" t="s">
        <v>84</v>
      </c>
      <c r="E74" s="11" t="b">
        <v>1</v>
      </c>
      <c r="F74" s="12">
        <v>43704</v>
      </c>
      <c r="G74" s="12">
        <v>43704.999999988424</v>
      </c>
      <c r="H74" s="13">
        <f>IF(F74="","",(Summary!$B$5-F74)/365.25)</f>
        <v>6.9350102431743874</v>
      </c>
      <c r="I74" s="14">
        <v>5.254E-3</v>
      </c>
      <c r="J74" s="15">
        <v>-8.4899999999999993E-3</v>
      </c>
      <c r="K74" s="16">
        <v>142038277</v>
      </c>
      <c r="L74" s="16">
        <v>746802.04477699997</v>
      </c>
      <c r="M74" s="17">
        <v>4000</v>
      </c>
      <c r="N74" s="14">
        <v>0</v>
      </c>
      <c r="O74" s="14">
        <v>0</v>
      </c>
      <c r="P74" s="18" t="str">
        <f>IF(OR(N74="",O74="",N74=0,O74=0),"",(O74-N74)/((O74+N74)/2))</f>
        <v/>
      </c>
      <c r="Q74" s="14">
        <v>5.2577500000000003E-3</v>
      </c>
      <c r="R74" s="14">
        <v>5.4070000000000003E-3</v>
      </c>
      <c r="S74" s="14">
        <v>5.091E-3</v>
      </c>
      <c r="T74" s="12">
        <v>46209.261123090277</v>
      </c>
      <c r="U74" s="12">
        <v>46210.261123090277</v>
      </c>
      <c r="V74" s="14">
        <v>10</v>
      </c>
      <c r="W74" s="14">
        <v>1</v>
      </c>
      <c r="X74" s="14">
        <v>1</v>
      </c>
      <c r="Y74" s="14">
        <v>9.9999999999999995E-7</v>
      </c>
      <c r="Z74" s="10" t="str">
        <f>IF(AND(D74="TRADING",I74&lt;&gt;"",L74&lt;&gt;"",M74&lt;&gt;"",N74&lt;&gt;"",O74&lt;&gt;""),"Yes","No")</f>
        <v>No</v>
      </c>
      <c r="AA74" s="10" t="s">
        <v>56</v>
      </c>
    </row>
    <row r="75" spans="1:27">
      <c r="A75" s="10" t="s">
        <v>1175</v>
      </c>
      <c r="B75" s="10" t="s">
        <v>1176</v>
      </c>
      <c r="C75" s="10" t="s">
        <v>12</v>
      </c>
      <c r="D75" s="10" t="s">
        <v>84</v>
      </c>
      <c r="E75" s="11" t="b">
        <v>1</v>
      </c>
      <c r="F75" s="12">
        <v>43704</v>
      </c>
      <c r="G75" s="12">
        <v>43704.999999988424</v>
      </c>
      <c r="H75" s="13">
        <f>IF(F75="","",(Summary!$B$5-F75)/365.25)</f>
        <v>6.9350102431743874</v>
      </c>
      <c r="I75" s="14">
        <v>0</v>
      </c>
      <c r="J75" s="15">
        <v>0</v>
      </c>
      <c r="K75" s="16">
        <v>0</v>
      </c>
      <c r="L75" s="16">
        <v>0</v>
      </c>
      <c r="M75" s="17">
        <v>0</v>
      </c>
      <c r="N75" s="14">
        <v>0</v>
      </c>
      <c r="O75" s="14">
        <v>0</v>
      </c>
      <c r="P75" s="18" t="str">
        <f>IF(OR(N75="",O75="",N75=0,O75=0),"",(O75-N75)/((O75+N75)/2))</f>
        <v/>
      </c>
      <c r="Q75" s="14">
        <v>0</v>
      </c>
      <c r="R75" s="14">
        <v>0</v>
      </c>
      <c r="S75" s="14">
        <v>0</v>
      </c>
      <c r="T75" s="12">
        <v>46209.261123090277</v>
      </c>
      <c r="U75" s="12">
        <v>46210.261123090277</v>
      </c>
      <c r="V75" s="14">
        <v>10</v>
      </c>
      <c r="W75" s="14">
        <v>1</v>
      </c>
      <c r="X75" s="14">
        <v>1</v>
      </c>
      <c r="Y75" s="14">
        <v>9.9999999999999995E-7</v>
      </c>
      <c r="Z75" s="10" t="str">
        <f>IF(AND(D75="TRADING",I75&lt;&gt;"",L75&lt;&gt;"",M75&lt;&gt;"",N75&lt;&gt;"",O75&lt;&gt;""),"Yes","No")</f>
        <v>No</v>
      </c>
      <c r="AA75" s="10" t="s">
        <v>56</v>
      </c>
    </row>
    <row r="76" spans="1:27">
      <c r="A76" s="10" t="s">
        <v>1331</v>
      </c>
      <c r="B76" s="10" t="s">
        <v>1332</v>
      </c>
      <c r="C76" s="10" t="s">
        <v>12</v>
      </c>
      <c r="D76" s="10" t="s">
        <v>84</v>
      </c>
      <c r="E76" s="11" t="b">
        <v>1</v>
      </c>
      <c r="F76" s="12">
        <v>43704</v>
      </c>
      <c r="G76" s="12">
        <v>43704.999999988424</v>
      </c>
      <c r="H76" s="13">
        <f>IF(F76="","",(Summary!$B$5-F76)/365.25)</f>
        <v>6.9350102431743874</v>
      </c>
      <c r="I76" s="14">
        <v>5.4300000000000001E-2</v>
      </c>
      <c r="J76" s="15">
        <v>-2.7400000000000001E-2</v>
      </c>
      <c r="K76" s="16">
        <v>3819291</v>
      </c>
      <c r="L76" s="16">
        <v>212005.4044</v>
      </c>
      <c r="M76" s="17">
        <v>5202</v>
      </c>
      <c r="N76" s="14">
        <v>0</v>
      </c>
      <c r="O76" s="14">
        <v>0</v>
      </c>
      <c r="P76" s="18" t="str">
        <f>IF(OR(N76="",O76="",N76=0,O76=0),"",(O76-N76)/((O76+N76)/2))</f>
        <v/>
      </c>
      <c r="Q76" s="14">
        <v>5.5509099999999999E-2</v>
      </c>
      <c r="R76" s="14">
        <v>5.8000000000000003E-2</v>
      </c>
      <c r="S76" s="14">
        <v>5.3949999999999998E-2</v>
      </c>
      <c r="T76" s="12">
        <v>46209.261123090277</v>
      </c>
      <c r="U76" s="12">
        <v>46210.261123090277</v>
      </c>
      <c r="V76" s="14">
        <v>5</v>
      </c>
      <c r="W76" s="14">
        <v>1</v>
      </c>
      <c r="X76" s="14">
        <v>1</v>
      </c>
      <c r="Y76" s="14">
        <v>1.0000000000000001E-5</v>
      </c>
      <c r="Z76" s="10" t="str">
        <f>IF(AND(D76="TRADING",I76&lt;&gt;"",L76&lt;&gt;"",M76&lt;&gt;"",N76&lt;&gt;"",O76&lt;&gt;""),"Yes","No")</f>
        <v>No</v>
      </c>
      <c r="AA76" s="10" t="s">
        <v>56</v>
      </c>
    </row>
    <row r="77" spans="1:27">
      <c r="A77" s="10" t="s">
        <v>363</v>
      </c>
      <c r="B77" s="10" t="s">
        <v>364</v>
      </c>
      <c r="C77" s="10" t="s">
        <v>12</v>
      </c>
      <c r="D77" s="10" t="s">
        <v>55</v>
      </c>
      <c r="E77" s="11" t="b">
        <v>1</v>
      </c>
      <c r="F77" s="12">
        <v>43714</v>
      </c>
      <c r="G77" s="12">
        <v>43714.999999988424</v>
      </c>
      <c r="H77" s="13">
        <f>IF(F77="","",(Summary!$B$5-F77)/365.25)</f>
        <v>6.9076317353030658</v>
      </c>
      <c r="I77" s="14">
        <v>1.2840000000000001E-2</v>
      </c>
      <c r="J77" s="15">
        <v>1.5820000000000001E-2</v>
      </c>
      <c r="K77" s="16">
        <v>58645463</v>
      </c>
      <c r="L77" s="16">
        <v>753176.22991999995</v>
      </c>
      <c r="M77" s="17">
        <v>7207</v>
      </c>
      <c r="N77" s="14">
        <v>1.2829999999999999E-2</v>
      </c>
      <c r="O77" s="14">
        <v>1.2840000000000001E-2</v>
      </c>
      <c r="P77" s="18">
        <f>IF(OR(N77="",O77="",N77=0,O77=0),"",(O77-N77)/((O77+N77)/2))</f>
        <v>7.7911959485791411E-4</v>
      </c>
      <c r="Q77" s="14">
        <v>1.2842869999999999E-2</v>
      </c>
      <c r="R77" s="14">
        <v>1.2999999999999999E-2</v>
      </c>
      <c r="S77" s="14">
        <v>1.2619999999999999E-2</v>
      </c>
      <c r="T77" s="12">
        <v>46236.012454756943</v>
      </c>
      <c r="U77" s="12">
        <v>46237.012454756943</v>
      </c>
      <c r="V77" s="14">
        <v>5</v>
      </c>
      <c r="W77" s="14">
        <v>1</v>
      </c>
      <c r="X77" s="14">
        <v>1</v>
      </c>
      <c r="Y77" s="14">
        <v>1.0000000000000001E-5</v>
      </c>
      <c r="Z77" s="10" t="str">
        <f>IF(AND(D77="TRADING",I77&lt;&gt;"",L77&lt;&gt;"",M77&lt;&gt;"",N77&lt;&gt;"",O77&lt;&gt;""),"Yes","No")</f>
        <v>Yes</v>
      </c>
      <c r="AA77" s="10" t="s">
        <v>56</v>
      </c>
    </row>
    <row r="78" spans="1:27">
      <c r="A78" s="10" t="s">
        <v>241</v>
      </c>
      <c r="B78" s="10" t="s">
        <v>242</v>
      </c>
      <c r="C78" s="10" t="s">
        <v>12</v>
      </c>
      <c r="D78" s="10" t="s">
        <v>55</v>
      </c>
      <c r="E78" s="11" t="b">
        <v>1</v>
      </c>
      <c r="F78" s="12">
        <v>43726</v>
      </c>
      <c r="G78" s="12">
        <v>43726.999999988424</v>
      </c>
      <c r="H78" s="13">
        <f>IF(F78="","",(Summary!$B$5-F78)/365.25)</f>
        <v>6.874777525857481</v>
      </c>
      <c r="I78" s="14">
        <v>0.15260000000000001</v>
      </c>
      <c r="J78" s="15">
        <v>-3.9039999999999998E-2</v>
      </c>
      <c r="K78" s="16">
        <v>573818.5</v>
      </c>
      <c r="L78" s="16">
        <v>89256.268370000005</v>
      </c>
      <c r="M78" s="17">
        <v>2266</v>
      </c>
      <c r="N78" s="14">
        <v>0.15260000000000001</v>
      </c>
      <c r="O78" s="14">
        <v>0.1527</v>
      </c>
      <c r="P78" s="18">
        <f>IF(OR(N78="",O78="",N78=0,O78=0),"",(O78-N78)/((O78+N78)/2))</f>
        <v>6.5509335080241721E-4</v>
      </c>
      <c r="Q78" s="14">
        <v>0.15554791000000001</v>
      </c>
      <c r="R78" s="14">
        <v>0.1595</v>
      </c>
      <c r="S78" s="14">
        <v>0.1525</v>
      </c>
      <c r="T78" s="12">
        <v>46236.011496412037</v>
      </c>
      <c r="U78" s="12">
        <v>46237.011496412037</v>
      </c>
      <c r="V78" s="14">
        <v>5</v>
      </c>
      <c r="W78" s="14">
        <v>0.1</v>
      </c>
      <c r="X78" s="14">
        <v>0.1</v>
      </c>
      <c r="Y78" s="14">
        <v>1E-4</v>
      </c>
      <c r="Z78" s="10" t="str">
        <f>IF(AND(D78="TRADING",I78&lt;&gt;"",L78&lt;&gt;"",M78&lt;&gt;"",N78&lt;&gt;"",O78&lt;&gt;""),"Yes","No")</f>
        <v>Yes</v>
      </c>
      <c r="AA78" s="10" t="s">
        <v>56</v>
      </c>
    </row>
    <row r="79" spans="1:27">
      <c r="A79" s="10" t="s">
        <v>333</v>
      </c>
      <c r="B79" s="10" t="s">
        <v>334</v>
      </c>
      <c r="C79" s="10" t="s">
        <v>12</v>
      </c>
      <c r="D79" s="10" t="s">
        <v>84</v>
      </c>
      <c r="E79" s="11" t="b">
        <v>1</v>
      </c>
      <c r="F79" s="12">
        <v>43728</v>
      </c>
      <c r="G79" s="12">
        <v>43728.999999988424</v>
      </c>
      <c r="H79" s="13">
        <f>IF(F79="","",(Summary!$B$5-F79)/365.25)</f>
        <v>6.8693018242832169</v>
      </c>
      <c r="I79" s="14">
        <v>1.0003</v>
      </c>
      <c r="J79" s="15">
        <v>-2.9999999999999997E-4</v>
      </c>
      <c r="K79" s="16">
        <v>1691539</v>
      </c>
      <c r="L79" s="16">
        <v>1692463.3392</v>
      </c>
      <c r="M79" s="17">
        <v>4001</v>
      </c>
      <c r="N79" s="14">
        <v>0</v>
      </c>
      <c r="O79" s="14">
        <v>0</v>
      </c>
      <c r="P79" s="18" t="str">
        <f>IF(OR(N79="",O79="",N79=0,O79=0),"",(O79-N79)/((O79+N79)/2))</f>
        <v/>
      </c>
      <c r="Q79" s="14">
        <v>1.0005464500000001</v>
      </c>
      <c r="R79" s="14">
        <v>1.0013000000000001</v>
      </c>
      <c r="S79" s="14">
        <v>1.0002</v>
      </c>
      <c r="T79" s="12">
        <v>46209.261123090277</v>
      </c>
      <c r="U79" s="12">
        <v>46210.261123090277</v>
      </c>
      <c r="V79" s="14">
        <v>5</v>
      </c>
      <c r="W79" s="14">
        <v>1</v>
      </c>
      <c r="X79" s="14">
        <v>1</v>
      </c>
      <c r="Y79" s="14">
        <v>1E-4</v>
      </c>
      <c r="Z79" s="10" t="str">
        <f>IF(AND(D79="TRADING",I79&lt;&gt;"",L79&lt;&gt;"",M79&lt;&gt;"",N79&lt;&gt;"",O79&lt;&gt;""),"Yes","No")</f>
        <v>No</v>
      </c>
      <c r="AA79" s="10" t="s">
        <v>56</v>
      </c>
    </row>
    <row r="80" spans="1:27">
      <c r="A80" s="10" t="s">
        <v>261</v>
      </c>
      <c r="B80" s="10" t="s">
        <v>262</v>
      </c>
      <c r="C80" s="10" t="s">
        <v>12</v>
      </c>
      <c r="D80" s="10" t="s">
        <v>84</v>
      </c>
      <c r="E80" s="11" t="b">
        <v>1</v>
      </c>
      <c r="F80" s="12">
        <v>43729</v>
      </c>
      <c r="G80" s="12">
        <v>43729.999999988424</v>
      </c>
      <c r="H80" s="13">
        <f>IF(F80="","",(Summary!$B$5-F80)/365.25)</f>
        <v>6.8665639734960848</v>
      </c>
      <c r="I80" s="14">
        <v>6.5199999999999994E-2</v>
      </c>
      <c r="J80" s="15">
        <v>3.1649999999999998E-2</v>
      </c>
      <c r="K80" s="16">
        <v>11189369</v>
      </c>
      <c r="L80" s="16">
        <v>739250.41969999997</v>
      </c>
      <c r="M80" s="17">
        <v>4001</v>
      </c>
      <c r="N80" s="14">
        <v>0</v>
      </c>
      <c r="O80" s="14">
        <v>0</v>
      </c>
      <c r="P80" s="18" t="str">
        <f>IF(OR(N80="",O80="",N80=0,O80=0),"",(O80-N80)/((O80+N80)/2))</f>
        <v/>
      </c>
      <c r="Q80" s="14">
        <v>6.6067210000000001E-2</v>
      </c>
      <c r="R80" s="14">
        <v>6.8000000000000005E-2</v>
      </c>
      <c r="S80" s="14">
        <v>6.3100000000000003E-2</v>
      </c>
      <c r="T80" s="12">
        <v>46209.261123090277</v>
      </c>
      <c r="U80" s="12">
        <v>46210.261123090277</v>
      </c>
      <c r="V80" s="14">
        <v>10</v>
      </c>
      <c r="W80" s="14">
        <v>1</v>
      </c>
      <c r="X80" s="14">
        <v>1</v>
      </c>
      <c r="Y80" s="14">
        <v>1E-4</v>
      </c>
      <c r="Z80" s="10" t="str">
        <f>IF(AND(D80="TRADING",I80&lt;&gt;"",L80&lt;&gt;"",M80&lt;&gt;"",N80&lt;&gt;"",O80&lt;&gt;""),"Yes","No")</f>
        <v>No</v>
      </c>
      <c r="AA80" s="10" t="s">
        <v>56</v>
      </c>
    </row>
    <row r="81" spans="1:27">
      <c r="A81" s="10" t="s">
        <v>1387</v>
      </c>
      <c r="B81" s="10" t="s">
        <v>1388</v>
      </c>
      <c r="C81" s="10" t="s">
        <v>12</v>
      </c>
      <c r="D81" s="10" t="s">
        <v>55</v>
      </c>
      <c r="E81" s="11" t="b">
        <v>1</v>
      </c>
      <c r="F81" s="12">
        <v>43732</v>
      </c>
      <c r="G81" s="12">
        <v>43732.999999988424</v>
      </c>
      <c r="H81" s="13">
        <f>IF(F81="","",(Summary!$B$5-F81)/365.25)</f>
        <v>6.8583504211346886</v>
      </c>
      <c r="I81" s="14">
        <v>0.20039999999999999</v>
      </c>
      <c r="J81" s="15">
        <v>5.5200000000000006E-3</v>
      </c>
      <c r="K81" s="16">
        <v>492320.7</v>
      </c>
      <c r="L81" s="16">
        <v>98750.395610000007</v>
      </c>
      <c r="M81" s="17">
        <v>1658</v>
      </c>
      <c r="N81" s="14">
        <v>0.20030000000000001</v>
      </c>
      <c r="O81" s="14">
        <v>0.20050000000000001</v>
      </c>
      <c r="P81" s="18">
        <f>IF(OR(N81="",O81="",N81=0,O81=0),"",(O81-N81)/((O81+N81)/2))</f>
        <v>9.980039920159966E-4</v>
      </c>
      <c r="Q81" s="14">
        <v>0.20058144</v>
      </c>
      <c r="R81" s="14">
        <v>0.2019</v>
      </c>
      <c r="S81" s="14">
        <v>0.19919999999999999</v>
      </c>
      <c r="T81" s="12">
        <v>46236.012400150466</v>
      </c>
      <c r="U81" s="12">
        <v>46237.012400150466</v>
      </c>
      <c r="V81" s="14">
        <v>5</v>
      </c>
      <c r="W81" s="14">
        <v>0.1</v>
      </c>
      <c r="X81" s="14">
        <v>0.1</v>
      </c>
      <c r="Y81" s="14">
        <v>1E-4</v>
      </c>
      <c r="Z81" s="10" t="str">
        <f>IF(AND(D81="TRADING",I81&lt;&gt;"",L81&lt;&gt;"",M81&lt;&gt;"",N81&lt;&gt;"",O81&lt;&gt;""),"Yes","No")</f>
        <v>Yes</v>
      </c>
      <c r="AA81" s="10" t="s">
        <v>56</v>
      </c>
    </row>
    <row r="82" spans="1:27">
      <c r="A82" s="10" t="s">
        <v>622</v>
      </c>
      <c r="B82" s="10" t="s">
        <v>623</v>
      </c>
      <c r="C82" s="10" t="s">
        <v>12</v>
      </c>
      <c r="D82" s="10" t="s">
        <v>84</v>
      </c>
      <c r="E82" s="11" t="b">
        <v>1</v>
      </c>
      <c r="F82" s="12">
        <v>43733</v>
      </c>
      <c r="G82" s="12">
        <v>43733.999999988424</v>
      </c>
      <c r="H82" s="13">
        <f>IF(F82="","",(Summary!$B$5-F82)/365.25)</f>
        <v>6.8556125703475566</v>
      </c>
      <c r="I82" s="14">
        <v>0</v>
      </c>
      <c r="J82" s="15">
        <v>0</v>
      </c>
      <c r="K82" s="16">
        <v>0</v>
      </c>
      <c r="L82" s="16">
        <v>0</v>
      </c>
      <c r="M82" s="17">
        <v>0</v>
      </c>
      <c r="N82" s="14">
        <v>0</v>
      </c>
      <c r="O82" s="14">
        <v>0</v>
      </c>
      <c r="P82" s="18" t="str">
        <f>IF(OR(N82="",O82="",N82=0,O82=0),"",(O82-N82)/((O82+N82)/2))</f>
        <v/>
      </c>
      <c r="Q82" s="14">
        <v>0</v>
      </c>
      <c r="R82" s="14">
        <v>0</v>
      </c>
      <c r="S82" s="14">
        <v>0</v>
      </c>
      <c r="T82" s="12">
        <v>46209.261123090277</v>
      </c>
      <c r="U82" s="12">
        <v>46210.261123090277</v>
      </c>
      <c r="V82" s="14">
        <v>10</v>
      </c>
      <c r="W82" s="14">
        <v>0.01</v>
      </c>
      <c r="X82" s="14">
        <v>0.01</v>
      </c>
      <c r="Y82" s="14">
        <v>1E-4</v>
      </c>
      <c r="Z82" s="10" t="str">
        <f>IF(AND(D82="TRADING",I82&lt;&gt;"",L82&lt;&gt;"",M82&lt;&gt;"",N82&lt;&gt;"",O82&lt;&gt;""),"Yes","No")</f>
        <v>No</v>
      </c>
      <c r="AA82" s="10" t="s">
        <v>56</v>
      </c>
    </row>
    <row r="83" spans="1:27">
      <c r="A83" s="10" t="s">
        <v>1058</v>
      </c>
      <c r="B83" s="10" t="s">
        <v>1059</v>
      </c>
      <c r="C83" s="10" t="s">
        <v>12</v>
      </c>
      <c r="D83" s="10" t="s">
        <v>84</v>
      </c>
      <c r="E83" s="11" t="b">
        <v>1</v>
      </c>
      <c r="F83" s="12">
        <v>43733</v>
      </c>
      <c r="G83" s="12">
        <v>43733.999999988424</v>
      </c>
      <c r="H83" s="13">
        <f>IF(F83="","",(Summary!$B$5-F83)/365.25)</f>
        <v>6.8556125703475566</v>
      </c>
      <c r="I83" s="14">
        <v>4.274E-2</v>
      </c>
      <c r="J83" s="15">
        <v>8.4769999999999998E-2</v>
      </c>
      <c r="K83" s="16">
        <v>11361461</v>
      </c>
      <c r="L83" s="16">
        <v>476205.42628999997</v>
      </c>
      <c r="M83" s="17">
        <v>4001</v>
      </c>
      <c r="N83" s="14">
        <v>0</v>
      </c>
      <c r="O83" s="14">
        <v>0</v>
      </c>
      <c r="P83" s="18" t="str">
        <f>IF(OR(N83="",O83="",N83=0,O83=0),"",(O83-N83)/((O83+N83)/2))</f>
        <v/>
      </c>
      <c r="Q83" s="14">
        <v>4.1914100000000003E-2</v>
      </c>
      <c r="R83" s="14">
        <v>4.3459999999999999E-2</v>
      </c>
      <c r="S83" s="14">
        <v>3.9100000000000003E-2</v>
      </c>
      <c r="T83" s="12">
        <v>46209.261123090277</v>
      </c>
      <c r="U83" s="12">
        <v>46210.261123090277</v>
      </c>
      <c r="V83" s="14">
        <v>5</v>
      </c>
      <c r="W83" s="14">
        <v>1</v>
      </c>
      <c r="X83" s="14">
        <v>1</v>
      </c>
      <c r="Y83" s="14">
        <v>1.0000000000000001E-5</v>
      </c>
      <c r="Z83" s="10" t="str">
        <f>IF(AND(D83="TRADING",I83&lt;&gt;"",L83&lt;&gt;"",M83&lt;&gt;"",N83&lt;&gt;"",O83&lt;&gt;""),"Yes","No")</f>
        <v>No</v>
      </c>
      <c r="AA83" s="10" t="s">
        <v>56</v>
      </c>
    </row>
    <row r="84" spans="1:27">
      <c r="A84" s="10" t="s">
        <v>1094</v>
      </c>
      <c r="B84" s="10" t="s">
        <v>1095</v>
      </c>
      <c r="C84" s="10" t="s">
        <v>12</v>
      </c>
      <c r="D84" s="10" t="s">
        <v>55</v>
      </c>
      <c r="E84" s="11" t="b">
        <v>1</v>
      </c>
      <c r="F84" s="12">
        <v>43733</v>
      </c>
      <c r="G84" s="12">
        <v>43733.999999988424</v>
      </c>
      <c r="H84" s="13">
        <f>IF(F84="","",(Summary!$B$5-F84)/365.25)</f>
        <v>6.8556125703475566</v>
      </c>
      <c r="I84" s="14">
        <v>3.5699999999999998E-3</v>
      </c>
      <c r="J84" s="15">
        <v>-2.7900000000000004E-3</v>
      </c>
      <c r="K84" s="16">
        <v>14960976.300000001</v>
      </c>
      <c r="L84" s="16">
        <v>53846.794070000004</v>
      </c>
      <c r="M84" s="17">
        <v>980</v>
      </c>
      <c r="N84" s="14">
        <v>3.5599999999999998E-3</v>
      </c>
      <c r="O84" s="14">
        <v>3.5699999999999998E-3</v>
      </c>
      <c r="P84" s="18">
        <f>IF(OR(N84="",O84="",N84=0,O84=0),"",(O84-N84)/((O84+N84)/2))</f>
        <v>2.805049088359054E-3</v>
      </c>
      <c r="Q84" s="14">
        <v>3.5991500000000002E-3</v>
      </c>
      <c r="R84" s="14">
        <v>3.63E-3</v>
      </c>
      <c r="S84" s="14">
        <v>3.5599999999999998E-3</v>
      </c>
      <c r="T84" s="12">
        <v>46236.012478090277</v>
      </c>
      <c r="U84" s="12">
        <v>46237.012478090277</v>
      </c>
      <c r="V84" s="14">
        <v>5</v>
      </c>
      <c r="W84" s="14">
        <v>0.1</v>
      </c>
      <c r="X84" s="14">
        <v>0.1</v>
      </c>
      <c r="Y84" s="14">
        <v>1.0000000000000001E-5</v>
      </c>
      <c r="Z84" s="10" t="str">
        <f>IF(AND(D84="TRADING",I84&lt;&gt;"",L84&lt;&gt;"",M84&lt;&gt;"",N84&lt;&gt;"",O84&lt;&gt;""),"Yes","No")</f>
        <v>Yes</v>
      </c>
      <c r="AA84" s="10" t="s">
        <v>56</v>
      </c>
    </row>
    <row r="85" spans="1:27">
      <c r="A85" s="10" t="s">
        <v>620</v>
      </c>
      <c r="B85" s="10" t="s">
        <v>621</v>
      </c>
      <c r="C85" s="10" t="s">
        <v>12</v>
      </c>
      <c r="D85" s="10" t="s">
        <v>55</v>
      </c>
      <c r="E85" s="11" t="b">
        <v>1</v>
      </c>
      <c r="F85" s="12">
        <v>43737</v>
      </c>
      <c r="G85" s="12">
        <v>43737.999999988424</v>
      </c>
      <c r="H85" s="13">
        <f>IF(F85="","",(Summary!$B$5-F85)/365.25)</f>
        <v>6.8446611671990283</v>
      </c>
      <c r="I85" s="14">
        <v>6.9889999999999994E-2</v>
      </c>
      <c r="J85" s="15">
        <v>6.1900000000000002E-3</v>
      </c>
      <c r="K85" s="16">
        <v>45812376</v>
      </c>
      <c r="L85" s="16">
        <v>3207189.13478</v>
      </c>
      <c r="M85" s="17">
        <v>34454</v>
      </c>
      <c r="N85" s="14">
        <v>6.9879999999999998E-2</v>
      </c>
      <c r="O85" s="14">
        <v>6.9889999999999994E-2</v>
      </c>
      <c r="P85" s="18">
        <f>IF(OR(N85="",O85="",N85=0,O85=0),"",(O85-N85)/((O85+N85)/2))</f>
        <v>1.4309222293762785E-4</v>
      </c>
      <c r="Q85" s="14">
        <v>7.0007050000000001E-2</v>
      </c>
      <c r="R85" s="14">
        <v>7.0730000000000001E-2</v>
      </c>
      <c r="S85" s="14">
        <v>6.9190000000000002E-2</v>
      </c>
      <c r="T85" s="12">
        <v>46236.012456099539</v>
      </c>
      <c r="U85" s="12">
        <v>46237.012456099539</v>
      </c>
      <c r="V85" s="14">
        <v>5</v>
      </c>
      <c r="W85" s="14">
        <v>1</v>
      </c>
      <c r="X85" s="14">
        <v>1</v>
      </c>
      <c r="Y85" s="14">
        <v>1.0000000000000001E-5</v>
      </c>
      <c r="Z85" s="10" t="str">
        <f>IF(AND(D85="TRADING",I85&lt;&gt;"",L85&lt;&gt;"",M85&lt;&gt;"",N85&lt;&gt;"",O85&lt;&gt;""),"Yes","No")</f>
        <v>Yes</v>
      </c>
      <c r="AA85" s="10" t="s">
        <v>56</v>
      </c>
    </row>
    <row r="86" spans="1:27">
      <c r="A86" s="10" t="s">
        <v>886</v>
      </c>
      <c r="B86" s="10" t="s">
        <v>887</v>
      </c>
      <c r="C86" s="10" t="s">
        <v>12</v>
      </c>
      <c r="D86" s="10" t="s">
        <v>84</v>
      </c>
      <c r="E86" s="11" t="b">
        <v>1</v>
      </c>
      <c r="F86" s="12">
        <v>43749</v>
      </c>
      <c r="G86" s="12">
        <v>43749.999999988424</v>
      </c>
      <c r="H86" s="13">
        <f>IF(F86="","",(Summary!$B$5-F86)/365.25)</f>
        <v>6.8118069577534426</v>
      </c>
      <c r="I86" s="14">
        <v>7.3000000000000001E-3</v>
      </c>
      <c r="J86" s="15">
        <v>2.8170000000000001E-2</v>
      </c>
      <c r="K86" s="16">
        <v>25288819</v>
      </c>
      <c r="L86" s="16">
        <v>181523.24369999999</v>
      </c>
      <c r="M86" s="17">
        <v>4001</v>
      </c>
      <c r="N86" s="14">
        <v>0</v>
      </c>
      <c r="O86" s="14">
        <v>0</v>
      </c>
      <c r="P86" s="18" t="str">
        <f>IF(OR(N86="",O86="",N86=0,O86=0),"",(O86-N86)/((O86+N86)/2))</f>
        <v/>
      </c>
      <c r="Q86" s="14">
        <v>7.1780000000000004E-3</v>
      </c>
      <c r="R86" s="14">
        <v>7.6E-3</v>
      </c>
      <c r="S86" s="14">
        <v>6.6E-3</v>
      </c>
      <c r="T86" s="12">
        <v>46209.261123090277</v>
      </c>
      <c r="U86" s="12">
        <v>46210.261123090277</v>
      </c>
      <c r="V86" s="14">
        <v>5</v>
      </c>
      <c r="W86" s="14">
        <v>1</v>
      </c>
      <c r="X86" s="14">
        <v>1</v>
      </c>
      <c r="Y86" s="14">
        <v>1E-4</v>
      </c>
      <c r="Z86" s="10" t="str">
        <f>IF(AND(D86="TRADING",I86&lt;&gt;"",L86&lt;&gt;"",M86&lt;&gt;"",N86&lt;&gt;"",O86&lt;&gt;""),"Yes","No")</f>
        <v>No</v>
      </c>
      <c r="AA86" s="10" t="s">
        <v>56</v>
      </c>
    </row>
    <row r="87" spans="1:27">
      <c r="A87" s="10" t="s">
        <v>706</v>
      </c>
      <c r="B87" s="10" t="s">
        <v>707</v>
      </c>
      <c r="C87" s="10" t="s">
        <v>12</v>
      </c>
      <c r="D87" s="10" t="s">
        <v>55</v>
      </c>
      <c r="E87" s="11" t="b">
        <v>1</v>
      </c>
      <c r="F87" s="12">
        <v>43763</v>
      </c>
      <c r="G87" s="12">
        <v>43763.999999988424</v>
      </c>
      <c r="H87" s="13">
        <f>IF(F87="","",(Summary!$B$5-F87)/365.25)</f>
        <v>6.7734770467335936</v>
      </c>
      <c r="I87" s="14">
        <v>4.0869999999999997E-2</v>
      </c>
      <c r="J87" s="15">
        <v>-2.9299999999999999E-3</v>
      </c>
      <c r="K87" s="16">
        <v>3829998.8</v>
      </c>
      <c r="L87" s="16">
        <v>156652.498265</v>
      </c>
      <c r="M87" s="17">
        <v>2967</v>
      </c>
      <c r="N87" s="14">
        <v>4.0840000000000001E-2</v>
      </c>
      <c r="O87" s="14">
        <v>4.086E-2</v>
      </c>
      <c r="P87" s="18">
        <f>IF(OR(N87="",O87="",N87=0,O87=0),"",(O87-N87)/((O87+N87)/2))</f>
        <v>4.8959608323131422E-4</v>
      </c>
      <c r="Q87" s="14">
        <v>4.0901449999999999E-2</v>
      </c>
      <c r="R87" s="14">
        <v>4.1270000000000001E-2</v>
      </c>
      <c r="S87" s="14">
        <v>4.0669999999999998E-2</v>
      </c>
      <c r="T87" s="12">
        <v>46236.012478784723</v>
      </c>
      <c r="U87" s="12">
        <v>46237.012478784723</v>
      </c>
      <c r="V87" s="14">
        <v>5</v>
      </c>
      <c r="W87" s="14">
        <v>0.1</v>
      </c>
      <c r="X87" s="14">
        <v>0.1</v>
      </c>
      <c r="Y87" s="14">
        <v>1.0000000000000001E-5</v>
      </c>
      <c r="Z87" s="10" t="str">
        <f>IF(AND(D87="TRADING",I87&lt;&gt;"",L87&lt;&gt;"",M87&lt;&gt;"",N87&lt;&gt;"",O87&lt;&gt;""),"Yes","No")</f>
        <v>Yes</v>
      </c>
      <c r="AA87" s="10" t="s">
        <v>56</v>
      </c>
    </row>
    <row r="88" spans="1:27">
      <c r="A88" s="10" t="s">
        <v>1187</v>
      </c>
      <c r="B88" s="10" t="s">
        <v>1188</v>
      </c>
      <c r="C88" s="10" t="s">
        <v>12</v>
      </c>
      <c r="D88" s="10" t="s">
        <v>55</v>
      </c>
      <c r="E88" s="11" t="b">
        <v>1</v>
      </c>
      <c r="F88" s="12">
        <v>43763</v>
      </c>
      <c r="G88" s="12">
        <v>43763.999999988424</v>
      </c>
      <c r="H88" s="13">
        <f>IF(F88="","",(Summary!$B$5-F88)/365.25)</f>
        <v>6.7734770467335936</v>
      </c>
      <c r="I88" s="14">
        <v>0.13900000000000001</v>
      </c>
      <c r="J88" s="15">
        <v>-2.15E-3</v>
      </c>
      <c r="K88" s="16">
        <v>2871494.4</v>
      </c>
      <c r="L88" s="16">
        <v>400915.70541</v>
      </c>
      <c r="M88" s="17">
        <v>6412</v>
      </c>
      <c r="N88" s="14">
        <v>0.1389</v>
      </c>
      <c r="O88" s="14">
        <v>0.13900000000000001</v>
      </c>
      <c r="P88" s="18">
        <f>IF(OR(N88="",O88="",N88=0,O88=0),"",(O88-N88)/((O88+N88)/2))</f>
        <v>7.196833393308149E-4</v>
      </c>
      <c r="Q88" s="14">
        <v>0.13961918000000001</v>
      </c>
      <c r="R88" s="14">
        <v>0.1419</v>
      </c>
      <c r="S88" s="14">
        <v>0.1371</v>
      </c>
      <c r="T88" s="12">
        <v>46236.011222152774</v>
      </c>
      <c r="U88" s="12">
        <v>46237.011222152774</v>
      </c>
      <c r="V88" s="14">
        <v>5</v>
      </c>
      <c r="W88" s="14">
        <v>0.1</v>
      </c>
      <c r="X88" s="14">
        <v>0.1</v>
      </c>
      <c r="Y88" s="14">
        <v>1E-4</v>
      </c>
      <c r="Z88" s="10" t="str">
        <f>IF(AND(D88="TRADING",I88&lt;&gt;"",L88&lt;&gt;"",M88&lt;&gt;"",N88&lt;&gt;"",O88&lt;&gt;""),"Yes","No")</f>
        <v>Yes</v>
      </c>
      <c r="AA88" s="10" t="s">
        <v>56</v>
      </c>
    </row>
    <row r="89" spans="1:27">
      <c r="A89" s="10" t="s">
        <v>181</v>
      </c>
      <c r="B89" s="10" t="s">
        <v>182</v>
      </c>
      <c r="C89" s="10" t="s">
        <v>12</v>
      </c>
      <c r="D89" s="10" t="s">
        <v>55</v>
      </c>
      <c r="E89" s="11" t="b">
        <v>1</v>
      </c>
      <c r="F89" s="12">
        <v>43775</v>
      </c>
      <c r="G89" s="12">
        <v>43775.999999988424</v>
      </c>
      <c r="H89" s="13">
        <f>IF(F89="","",(Summary!$B$5-F89)/365.25)</f>
        <v>6.7406228372880079</v>
      </c>
      <c r="I89" s="14">
        <v>8.3899999999999999E-3</v>
      </c>
      <c r="J89" s="15">
        <v>2.3899999999999998E-3</v>
      </c>
      <c r="K89" s="16">
        <v>26152598.899999999</v>
      </c>
      <c r="L89" s="16">
        <v>218405.51820600001</v>
      </c>
      <c r="M89" s="17">
        <v>3360</v>
      </c>
      <c r="N89" s="14">
        <v>8.3899999999999999E-3</v>
      </c>
      <c r="O89" s="14">
        <v>8.3999999999999995E-3</v>
      </c>
      <c r="P89" s="18">
        <f>IF(OR(N89="",O89="",N89=0,O89=0),"",(O89-N89)/((O89+N89)/2))</f>
        <v>1.1911852293031082E-3</v>
      </c>
      <c r="Q89" s="14">
        <v>8.3511999999999996E-3</v>
      </c>
      <c r="R89" s="14">
        <v>8.43E-3</v>
      </c>
      <c r="S89" s="14">
        <v>8.2000000000000007E-3</v>
      </c>
      <c r="T89" s="12">
        <v>46236.012479780089</v>
      </c>
      <c r="U89" s="12">
        <v>46237.012479780089</v>
      </c>
      <c r="V89" s="14">
        <v>5</v>
      </c>
      <c r="W89" s="14">
        <v>0.1</v>
      </c>
      <c r="X89" s="14">
        <v>0.1</v>
      </c>
      <c r="Y89" s="14">
        <v>1.0000000000000001E-5</v>
      </c>
      <c r="Z89" s="10" t="str">
        <f>IF(AND(D89="TRADING",I89&lt;&gt;"",L89&lt;&gt;"",M89&lt;&gt;"",N89&lt;&gt;"",O89&lt;&gt;""),"Yes","No")</f>
        <v>Yes</v>
      </c>
      <c r="AA89" s="10" t="s">
        <v>56</v>
      </c>
    </row>
    <row r="90" spans="1:27">
      <c r="A90" s="10" t="s">
        <v>680</v>
      </c>
      <c r="B90" s="10" t="s">
        <v>681</v>
      </c>
      <c r="C90" s="10" t="s">
        <v>12</v>
      </c>
      <c r="D90" s="10" t="s">
        <v>55</v>
      </c>
      <c r="E90" s="11" t="b">
        <v>1</v>
      </c>
      <c r="F90" s="12">
        <v>43783</v>
      </c>
      <c r="G90" s="12">
        <v>43783.999999988424</v>
      </c>
      <c r="H90" s="13">
        <f>IF(F90="","",(Summary!$B$5-F90)/365.25)</f>
        <v>6.7187200309909514</v>
      </c>
      <c r="I90" s="14">
        <v>2.2300000000000002E-3</v>
      </c>
      <c r="J90" s="15">
        <v>3.2410000000000001E-2</v>
      </c>
      <c r="K90" s="16">
        <v>156796979</v>
      </c>
      <c r="L90" s="16">
        <v>356483.10057000001</v>
      </c>
      <c r="M90" s="17">
        <v>2659</v>
      </c>
      <c r="N90" s="14">
        <v>2.2300000000000002E-3</v>
      </c>
      <c r="O90" s="14">
        <v>2.2399999999999998E-3</v>
      </c>
      <c r="P90" s="18">
        <f>IF(OR(N90="",O90="",N90=0,O90=0),"",(O90-N90)/((O90+N90)/2))</f>
        <v>4.4742729306485873E-3</v>
      </c>
      <c r="Q90" s="14">
        <v>2.2735300000000002E-3</v>
      </c>
      <c r="R90" s="14">
        <v>2.3900000000000002E-3</v>
      </c>
      <c r="S90" s="14">
        <v>2.1299999999999999E-3</v>
      </c>
      <c r="T90" s="12">
        <v>46236.012481666665</v>
      </c>
      <c r="U90" s="12">
        <v>46237.012481666665</v>
      </c>
      <c r="V90" s="14">
        <v>5</v>
      </c>
      <c r="W90" s="14">
        <v>1</v>
      </c>
      <c r="X90" s="14">
        <v>1</v>
      </c>
      <c r="Y90" s="14">
        <v>1.0000000000000001E-5</v>
      </c>
      <c r="Z90" s="10" t="str">
        <f>IF(AND(D90="TRADING",I90&lt;&gt;"",L90&lt;&gt;"",M90&lt;&gt;"",N90&lt;&gt;"",O90&lt;&gt;""),"Yes","No")</f>
        <v>Yes</v>
      </c>
      <c r="AA90" s="10" t="s">
        <v>56</v>
      </c>
    </row>
    <row r="91" spans="1:27">
      <c r="A91" s="10" t="s">
        <v>1076</v>
      </c>
      <c r="B91" s="10" t="s">
        <v>1077</v>
      </c>
      <c r="C91" s="10" t="s">
        <v>12</v>
      </c>
      <c r="D91" s="10" t="s">
        <v>55</v>
      </c>
      <c r="E91" s="11" t="b">
        <v>1</v>
      </c>
      <c r="F91" s="12">
        <v>43783</v>
      </c>
      <c r="G91" s="12">
        <v>43783.999999988424</v>
      </c>
      <c r="H91" s="13">
        <f>IF(F91="","",(Summary!$B$5-F91)/365.25)</f>
        <v>6.7187200309909514</v>
      </c>
      <c r="I91" s="14">
        <v>0.25559999999999999</v>
      </c>
      <c r="J91" s="15">
        <v>-4.018E-2</v>
      </c>
      <c r="K91" s="16">
        <v>895917.7</v>
      </c>
      <c r="L91" s="16">
        <v>235852.76525999999</v>
      </c>
      <c r="M91" s="17">
        <v>6431</v>
      </c>
      <c r="N91" s="14">
        <v>0.25559999999999999</v>
      </c>
      <c r="O91" s="14">
        <v>0.25590000000000002</v>
      </c>
      <c r="P91" s="18">
        <f>IF(OR(N91="",O91="",N91=0,O91=0),"",(O91-N91)/((O91+N91)/2))</f>
        <v>1.1730205278593254E-3</v>
      </c>
      <c r="Q91" s="14">
        <v>0.26325271</v>
      </c>
      <c r="R91" s="14">
        <v>0.2697</v>
      </c>
      <c r="S91" s="14">
        <v>0.25480000000000003</v>
      </c>
      <c r="T91" s="12">
        <v>46236.012483391205</v>
      </c>
      <c r="U91" s="12">
        <v>46237.012483391205</v>
      </c>
      <c r="V91" s="14">
        <v>5</v>
      </c>
      <c r="W91" s="14">
        <v>0.1</v>
      </c>
      <c r="X91" s="14">
        <v>0.1</v>
      </c>
      <c r="Y91" s="14">
        <v>1E-4</v>
      </c>
      <c r="Z91" s="10" t="str">
        <f>IF(AND(D91="TRADING",I91&lt;&gt;"",L91&lt;&gt;"",M91&lt;&gt;"",N91&lt;&gt;"",O91&lt;&gt;""),"Yes","No")</f>
        <v>Yes</v>
      </c>
      <c r="AA91" s="10" t="s">
        <v>56</v>
      </c>
    </row>
    <row r="92" spans="1:27">
      <c r="A92" s="10" t="s">
        <v>798</v>
      </c>
      <c r="B92" s="10" t="s">
        <v>799</v>
      </c>
      <c r="C92" s="10" t="s">
        <v>12</v>
      </c>
      <c r="D92" s="10" t="s">
        <v>84</v>
      </c>
      <c r="E92" s="11" t="b">
        <v>1</v>
      </c>
      <c r="F92" s="12">
        <v>43788</v>
      </c>
      <c r="G92" s="12">
        <v>43788.999999988424</v>
      </c>
      <c r="H92" s="13">
        <f>IF(F92="","",(Summary!$B$5-F92)/365.25)</f>
        <v>6.705030777055291</v>
      </c>
      <c r="I92" s="14">
        <v>0</v>
      </c>
      <c r="J92" s="15">
        <v>0</v>
      </c>
      <c r="K92" s="16">
        <v>0</v>
      </c>
      <c r="L92" s="16">
        <v>0</v>
      </c>
      <c r="M92" s="17">
        <v>0</v>
      </c>
      <c r="N92" s="14">
        <v>0</v>
      </c>
      <c r="O92" s="14">
        <v>0</v>
      </c>
      <c r="P92" s="18" t="str">
        <f>IF(OR(N92="",O92="",N92=0,O92=0),"",(O92-N92)/((O92+N92)/2))</f>
        <v/>
      </c>
      <c r="Q92" s="14">
        <v>0</v>
      </c>
      <c r="R92" s="14">
        <v>0</v>
      </c>
      <c r="S92" s="14">
        <v>0</v>
      </c>
      <c r="T92" s="12">
        <v>46209.261123090277</v>
      </c>
      <c r="U92" s="12">
        <v>46210.261123090277</v>
      </c>
      <c r="V92" s="14">
        <v>10</v>
      </c>
      <c r="W92" s="14">
        <v>1E-3</v>
      </c>
      <c r="X92" s="14">
        <v>1E-3</v>
      </c>
      <c r="Y92" s="14">
        <v>1E-3</v>
      </c>
      <c r="Z92" s="10" t="str">
        <f>IF(AND(D92="TRADING",I92&lt;&gt;"",L92&lt;&gt;"",M92&lt;&gt;"",N92&lt;&gt;"",O92&lt;&gt;""),"Yes","No")</f>
        <v>No</v>
      </c>
      <c r="AA92" s="10" t="s">
        <v>56</v>
      </c>
    </row>
    <row r="93" spans="1:27">
      <c r="A93" s="10" t="s">
        <v>399</v>
      </c>
      <c r="B93" s="10" t="s">
        <v>400</v>
      </c>
      <c r="C93" s="10" t="s">
        <v>12</v>
      </c>
      <c r="D93" s="10" t="s">
        <v>84</v>
      </c>
      <c r="E93" s="11" t="b">
        <v>1</v>
      </c>
      <c r="F93" s="12">
        <v>43791</v>
      </c>
      <c r="G93" s="12">
        <v>43791.999999988424</v>
      </c>
      <c r="H93" s="13">
        <f>IF(F93="","",(Summary!$B$5-F93)/365.25)</f>
        <v>6.6968172246938948</v>
      </c>
      <c r="I93" s="14">
        <v>6.3399999999999998E-2</v>
      </c>
      <c r="J93" s="15">
        <v>-4.7099999999999998E-3</v>
      </c>
      <c r="K93" s="16">
        <v>4315072</v>
      </c>
      <c r="L93" s="16">
        <v>266988.95919999998</v>
      </c>
      <c r="M93" s="17">
        <v>4001</v>
      </c>
      <c r="N93" s="14">
        <v>0</v>
      </c>
      <c r="O93" s="14">
        <v>0</v>
      </c>
      <c r="P93" s="18" t="str">
        <f>IF(OR(N93="",O93="",N93=0,O93=0),"",(O93-N93)/((O93+N93)/2))</f>
        <v/>
      </c>
      <c r="Q93" s="14">
        <v>6.1873579999999997E-2</v>
      </c>
      <c r="R93" s="14">
        <v>6.6600000000000006E-2</v>
      </c>
      <c r="S93" s="14">
        <v>5.8999999999999997E-2</v>
      </c>
      <c r="T93" s="12">
        <v>46209.261123090277</v>
      </c>
      <c r="U93" s="12">
        <v>46210.261123090277</v>
      </c>
      <c r="V93" s="14">
        <v>5</v>
      </c>
      <c r="W93" s="14">
        <v>1</v>
      </c>
      <c r="X93" s="14">
        <v>1</v>
      </c>
      <c r="Y93" s="14">
        <v>1E-4</v>
      </c>
      <c r="Z93" s="10" t="str">
        <f>IF(AND(D93="TRADING",I93&lt;&gt;"",L93&lt;&gt;"",M93&lt;&gt;"",N93&lt;&gt;"",O93&lt;&gt;""),"Yes","No")</f>
        <v>No</v>
      </c>
      <c r="AA93" s="10" t="s">
        <v>56</v>
      </c>
    </row>
    <row r="94" spans="1:27">
      <c r="A94" s="10" t="s">
        <v>259</v>
      </c>
      <c r="B94" s="10" t="s">
        <v>260</v>
      </c>
      <c r="C94" s="10" t="s">
        <v>12</v>
      </c>
      <c r="D94" s="10" t="s">
        <v>55</v>
      </c>
      <c r="E94" s="11" t="b">
        <v>1</v>
      </c>
      <c r="F94" s="12">
        <v>43797</v>
      </c>
      <c r="G94" s="12">
        <v>43797.999999988424</v>
      </c>
      <c r="H94" s="13">
        <f>IF(F94="","",(Summary!$B$5-F94)/365.25)</f>
        <v>6.6803901199711015</v>
      </c>
      <c r="I94" s="14">
        <v>212.4</v>
      </c>
      <c r="J94" s="15">
        <v>2.2629999999999997E-2</v>
      </c>
      <c r="K94" s="16">
        <v>11838.406000000001</v>
      </c>
      <c r="L94" s="16">
        <v>2505944.4673000001</v>
      </c>
      <c r="M94" s="17">
        <v>22837</v>
      </c>
      <c r="N94" s="14">
        <v>212.4</v>
      </c>
      <c r="O94" s="14">
        <v>212.5</v>
      </c>
      <c r="P94" s="18">
        <f>IF(OR(N94="",O94="",N94=0,O94=0),"",(O94-N94)/((O94+N94)/2))</f>
        <v>4.7069898799714907E-4</v>
      </c>
      <c r="Q94" s="14">
        <v>211.67921317</v>
      </c>
      <c r="R94" s="14">
        <v>214.9</v>
      </c>
      <c r="S94" s="14">
        <v>207.2</v>
      </c>
      <c r="T94" s="12">
        <v>46236.012479826386</v>
      </c>
      <c r="U94" s="12">
        <v>46237.012479826386</v>
      </c>
      <c r="V94" s="14">
        <v>5</v>
      </c>
      <c r="W94" s="14">
        <v>1E-3</v>
      </c>
      <c r="X94" s="14">
        <v>1E-3</v>
      </c>
      <c r="Y94" s="14">
        <v>0.1</v>
      </c>
      <c r="Z94" s="10" t="str">
        <f>IF(AND(D94="TRADING",I94&lt;&gt;"",L94&lt;&gt;"",M94&lt;&gt;"",N94&lt;&gt;"",O94&lt;&gt;""),"Yes","No")</f>
        <v>Yes</v>
      </c>
      <c r="AA94" s="10" t="s">
        <v>56</v>
      </c>
    </row>
    <row r="95" spans="1:27">
      <c r="A95" s="10" t="s">
        <v>1245</v>
      </c>
      <c r="B95" s="10" t="s">
        <v>1246</v>
      </c>
      <c r="C95" s="10" t="s">
        <v>12</v>
      </c>
      <c r="D95" s="10" t="s">
        <v>84</v>
      </c>
      <c r="E95" s="11" t="b">
        <v>1</v>
      </c>
      <c r="F95" s="12">
        <v>43804</v>
      </c>
      <c r="G95" s="12">
        <v>43804.999999988424</v>
      </c>
      <c r="H95" s="13">
        <f>IF(F95="","",(Summary!$B$5-F95)/365.25)</f>
        <v>6.6612251644611771</v>
      </c>
      <c r="I95" s="14">
        <v>6.8999999999999997E-5</v>
      </c>
      <c r="J95" s="15">
        <v>-0.23332999999999998</v>
      </c>
      <c r="K95" s="16">
        <v>1612739544</v>
      </c>
      <c r="L95" s="16">
        <v>144294.08224300001</v>
      </c>
      <c r="M95" s="17">
        <v>4001</v>
      </c>
      <c r="N95" s="14">
        <v>0</v>
      </c>
      <c r="O95" s="14">
        <v>0</v>
      </c>
      <c r="P95" s="18" t="str">
        <f>IF(OR(N95="",O95="",N95=0,O95=0),"",(O95-N95)/((O95+N95)/2))</f>
        <v/>
      </c>
      <c r="Q95" s="14">
        <v>8.9469999999999995E-5</v>
      </c>
      <c r="R95" s="14">
        <v>1.05E-4</v>
      </c>
      <c r="S95" s="14">
        <v>6.0999999999999999E-5</v>
      </c>
      <c r="T95" s="12">
        <v>46209.261123090277</v>
      </c>
      <c r="U95" s="12">
        <v>46210.261123090277</v>
      </c>
      <c r="V95" s="14">
        <v>5</v>
      </c>
      <c r="W95" s="14">
        <v>1</v>
      </c>
      <c r="X95" s="14">
        <v>1</v>
      </c>
      <c r="Y95" s="14">
        <v>9.9999999999999995E-7</v>
      </c>
      <c r="Z95" s="10" t="str">
        <f>IF(AND(D95="TRADING",I95&lt;&gt;"",L95&lt;&gt;"",M95&lt;&gt;"",N95&lt;&gt;"",O95&lt;&gt;""),"Yes","No")</f>
        <v>No</v>
      </c>
      <c r="AA95" s="10" t="s">
        <v>56</v>
      </c>
    </row>
    <row r="96" spans="1:27">
      <c r="A96" s="10" t="s">
        <v>1323</v>
      </c>
      <c r="B96" s="10" t="s">
        <v>1324</v>
      </c>
      <c r="C96" s="10" t="s">
        <v>12</v>
      </c>
      <c r="D96" s="10" t="s">
        <v>84</v>
      </c>
      <c r="E96" s="11" t="b">
        <v>1</v>
      </c>
      <c r="F96" s="12">
        <v>43812</v>
      </c>
      <c r="G96" s="12">
        <v>43812.999999988424</v>
      </c>
      <c r="H96" s="13">
        <f>IF(F96="","",(Summary!$B$5-F96)/365.25)</f>
        <v>6.6393223581641205</v>
      </c>
      <c r="I96" s="14">
        <v>8.5999999999999998E-4</v>
      </c>
      <c r="J96" s="15">
        <v>-0.24560999999999999</v>
      </c>
      <c r="K96" s="16">
        <v>236768977.40000001</v>
      </c>
      <c r="L96" s="16">
        <v>234222.03148400001</v>
      </c>
      <c r="M96" s="17">
        <v>4001</v>
      </c>
      <c r="N96" s="14">
        <v>0</v>
      </c>
      <c r="O96" s="14">
        <v>0</v>
      </c>
      <c r="P96" s="18" t="str">
        <f>IF(OR(N96="",O96="",N96=0,O96=0),"",(O96-N96)/((O96+N96)/2))</f>
        <v/>
      </c>
      <c r="Q96" s="14">
        <v>9.8923999999999995E-4</v>
      </c>
      <c r="R96" s="14">
        <v>1.16E-3</v>
      </c>
      <c r="S96" s="14">
        <v>8.0000000000000004E-4</v>
      </c>
      <c r="T96" s="12">
        <v>46209.261123090277</v>
      </c>
      <c r="U96" s="12">
        <v>46210.261123090277</v>
      </c>
      <c r="V96" s="14">
        <v>5</v>
      </c>
      <c r="W96" s="14">
        <v>0.1</v>
      </c>
      <c r="X96" s="14">
        <v>0.1</v>
      </c>
      <c r="Y96" s="14">
        <v>1.0000000000000001E-5</v>
      </c>
      <c r="Z96" s="10" t="str">
        <f>IF(AND(D96="TRADING",I96&lt;&gt;"",L96&lt;&gt;"",M96&lt;&gt;"",N96&lt;&gt;"",O96&lt;&gt;""),"Yes","No")</f>
        <v>No</v>
      </c>
      <c r="AA96" s="10" t="s">
        <v>56</v>
      </c>
    </row>
    <row r="97" spans="1:27">
      <c r="A97" s="10" t="s">
        <v>558</v>
      </c>
      <c r="B97" s="10" t="s">
        <v>559</v>
      </c>
      <c r="C97" s="10" t="s">
        <v>12</v>
      </c>
      <c r="D97" s="10" t="s">
        <v>55</v>
      </c>
      <c r="E97" s="11" t="b">
        <v>1</v>
      </c>
      <c r="F97" s="12">
        <v>43819</v>
      </c>
      <c r="G97" s="12">
        <v>43819.999999988424</v>
      </c>
      <c r="H97" s="13">
        <f>IF(F97="","",(Summary!$B$5-F97)/365.25)</f>
        <v>6.6201574026541961</v>
      </c>
      <c r="I97" s="14">
        <v>0.19750000000000001</v>
      </c>
      <c r="J97" s="15">
        <v>1.01E-3</v>
      </c>
      <c r="K97" s="16">
        <v>556012.63</v>
      </c>
      <c r="L97" s="16">
        <v>109779.05259000001</v>
      </c>
      <c r="M97" s="17">
        <v>2636</v>
      </c>
      <c r="N97" s="14">
        <v>0.19689999999999999</v>
      </c>
      <c r="O97" s="14">
        <v>0.19750000000000001</v>
      </c>
      <c r="P97" s="18">
        <f>IF(OR(N97="",O97="",N97=0,O97=0),"",(O97-N97)/((O97+N97)/2))</f>
        <v>3.0425963488844689E-3</v>
      </c>
      <c r="Q97" s="14">
        <v>0.19743985</v>
      </c>
      <c r="R97" s="14">
        <v>0.20019999999999999</v>
      </c>
      <c r="S97" s="14">
        <v>0.19470000000000001</v>
      </c>
      <c r="T97" s="12">
        <v>46236.012309027778</v>
      </c>
      <c r="U97" s="12">
        <v>46237.012309027778</v>
      </c>
      <c r="V97" s="14">
        <v>5</v>
      </c>
      <c r="W97" s="14">
        <v>0.01</v>
      </c>
      <c r="X97" s="14">
        <v>0.01</v>
      </c>
      <c r="Y97" s="14">
        <v>1E-4</v>
      </c>
      <c r="Z97" s="10" t="str">
        <f>IF(AND(D97="TRADING",I97&lt;&gt;"",L97&lt;&gt;"",M97&lt;&gt;"",N97&lt;&gt;"",O97&lt;&gt;""),"Yes","No")</f>
        <v>Yes</v>
      </c>
      <c r="AA97" s="10" t="s">
        <v>56</v>
      </c>
    </row>
    <row r="98" spans="1:27">
      <c r="A98" s="10" t="s">
        <v>512</v>
      </c>
      <c r="B98" s="10" t="s">
        <v>513</v>
      </c>
      <c r="C98" s="10" t="s">
        <v>12</v>
      </c>
      <c r="D98" s="10" t="s">
        <v>55</v>
      </c>
      <c r="E98" s="11" t="b">
        <v>1</v>
      </c>
      <c r="F98" s="12">
        <v>43833</v>
      </c>
      <c r="G98" s="12">
        <v>43833.999999988424</v>
      </c>
      <c r="H98" s="13">
        <f>IF(F98="","",(Summary!$B$5-F98)/365.25)</f>
        <v>6.5818274916343462</v>
      </c>
      <c r="I98" s="14">
        <v>1.1548</v>
      </c>
      <c r="J98" s="15">
        <v>1.47E-3</v>
      </c>
      <c r="K98" s="16">
        <v>32449239.399999999</v>
      </c>
      <c r="L98" s="16">
        <v>37490931.907030001</v>
      </c>
      <c r="M98" s="17">
        <v>23932</v>
      </c>
      <c r="N98" s="14">
        <v>1.1547000000000001</v>
      </c>
      <c r="O98" s="14">
        <v>1.1548</v>
      </c>
      <c r="P98" s="18">
        <f>IF(OR(N98="",O98="",N98=0,O98=0),"",(O98-N98)/((O98+N98)/2))</f>
        <v>8.6598830915773104E-5</v>
      </c>
      <c r="Q98" s="14">
        <v>1.1553716700000001</v>
      </c>
      <c r="R98" s="14">
        <v>1.1568000000000001</v>
      </c>
      <c r="S98" s="14">
        <v>1.1529</v>
      </c>
      <c r="T98" s="12">
        <v>46236.01248114583</v>
      </c>
      <c r="U98" s="12">
        <v>46237.01248114583</v>
      </c>
      <c r="V98" s="14">
        <v>5</v>
      </c>
      <c r="W98" s="14">
        <v>0.1</v>
      </c>
      <c r="X98" s="14">
        <v>0.1</v>
      </c>
      <c r="Y98" s="14">
        <v>1E-4</v>
      </c>
      <c r="Z98" s="10" t="str">
        <f>IF(AND(D98="TRADING",I98&lt;&gt;"",L98&lt;&gt;"",M98&lt;&gt;"",N98&lt;&gt;"",O98&lt;&gt;""),"Yes","No")</f>
        <v>Yes</v>
      </c>
      <c r="AA98" s="10" t="s">
        <v>56</v>
      </c>
    </row>
    <row r="99" spans="1:27">
      <c r="A99" s="10" t="s">
        <v>912</v>
      </c>
      <c r="B99" s="10" t="s">
        <v>913</v>
      </c>
      <c r="C99" s="10" t="s">
        <v>12</v>
      </c>
      <c r="D99" s="10" t="s">
        <v>55</v>
      </c>
      <c r="E99" s="11" t="b">
        <v>1</v>
      </c>
      <c r="F99" s="12">
        <v>43839</v>
      </c>
      <c r="G99" s="12">
        <v>43839.999999988424</v>
      </c>
      <c r="H99" s="13">
        <f>IF(F99="","",(Summary!$B$5-F99)/365.25)</f>
        <v>6.5654003869115538</v>
      </c>
      <c r="I99" s="14">
        <v>1.499E-2</v>
      </c>
      <c r="J99" s="15">
        <v>-2.2179999999999998E-2</v>
      </c>
      <c r="K99" s="16">
        <v>35408932</v>
      </c>
      <c r="L99" s="16">
        <v>533625.93524999998</v>
      </c>
      <c r="M99" s="17">
        <v>3816</v>
      </c>
      <c r="N99" s="14">
        <v>1.499E-2</v>
      </c>
      <c r="O99" s="14">
        <v>1.4999999999999999E-2</v>
      </c>
      <c r="P99" s="18">
        <f>IF(OR(N99="",O99="",N99=0,O99=0),"",(O99-N99)/((O99+N99)/2))</f>
        <v>6.6688896298763541E-4</v>
      </c>
      <c r="Q99" s="14">
        <v>1.507038E-2</v>
      </c>
      <c r="R99" s="14">
        <v>1.538E-2</v>
      </c>
      <c r="S99" s="14">
        <v>1.4789999999999999E-2</v>
      </c>
      <c r="T99" s="12">
        <v>46236.010901145833</v>
      </c>
      <c r="U99" s="12">
        <v>46237.010901145833</v>
      </c>
      <c r="V99" s="14">
        <v>5</v>
      </c>
      <c r="W99" s="14">
        <v>1</v>
      </c>
      <c r="X99" s="14">
        <v>1</v>
      </c>
      <c r="Y99" s="14">
        <v>1.0000000000000001E-5</v>
      </c>
      <c r="Z99" s="10" t="str">
        <f>IF(AND(D99="TRADING",I99&lt;&gt;"",L99&lt;&gt;"",M99&lt;&gt;"",N99&lt;&gt;"",O99&lt;&gt;""),"Yes","No")</f>
        <v>Yes</v>
      </c>
      <c r="AA99" s="10" t="s">
        <v>56</v>
      </c>
    </row>
    <row r="100" spans="1:27">
      <c r="A100" s="10" t="s">
        <v>451</v>
      </c>
      <c r="B100" s="10" t="s">
        <v>452</v>
      </c>
      <c r="C100" s="10" t="s">
        <v>12</v>
      </c>
      <c r="D100" s="10" t="s">
        <v>84</v>
      </c>
      <c r="E100" s="11" t="b">
        <v>1</v>
      </c>
      <c r="F100" s="12">
        <v>43846</v>
      </c>
      <c r="G100" s="12">
        <v>43846.999999988424</v>
      </c>
      <c r="H100" s="13">
        <f>IF(F100="","",(Summary!$B$5-F100)/365.25)</f>
        <v>6.5462354314016293</v>
      </c>
      <c r="I100" s="14">
        <v>2.5600000000000001E-2</v>
      </c>
      <c r="J100" s="15">
        <v>-0.18210999999999999</v>
      </c>
      <c r="K100" s="16">
        <v>13959700</v>
      </c>
      <c r="L100" s="16">
        <v>404593.40490000002</v>
      </c>
      <c r="M100" s="17">
        <v>4001</v>
      </c>
      <c r="N100" s="14">
        <v>0</v>
      </c>
      <c r="O100" s="14">
        <v>0</v>
      </c>
      <c r="P100" s="18" t="str">
        <f>IF(OR(N100="",O100="",N100=0,O100=0),"",(O100-N100)/((O100+N100)/2))</f>
        <v/>
      </c>
      <c r="Q100" s="14">
        <v>2.8982959999999999E-2</v>
      </c>
      <c r="R100" s="14">
        <v>3.3300000000000003E-2</v>
      </c>
      <c r="S100" s="14">
        <v>2.5000000000000001E-2</v>
      </c>
      <c r="T100" s="12">
        <v>46209.261123090277</v>
      </c>
      <c r="U100" s="12">
        <v>46210.261123090277</v>
      </c>
      <c r="V100" s="14">
        <v>5</v>
      </c>
      <c r="W100" s="14">
        <v>1</v>
      </c>
      <c r="X100" s="14">
        <v>1</v>
      </c>
      <c r="Y100" s="14">
        <v>1E-4</v>
      </c>
      <c r="Z100" s="10" t="str">
        <f>IF(AND(D100="TRADING",I100&lt;&gt;"",L100&lt;&gt;"",M100&lt;&gt;"",N100&lt;&gt;"",O100&lt;&gt;""),"Yes","No")</f>
        <v>No</v>
      </c>
      <c r="AA100" s="10" t="s">
        <v>56</v>
      </c>
    </row>
    <row r="101" spans="1:27">
      <c r="A101" s="10" t="s">
        <v>503</v>
      </c>
      <c r="B101" s="10" t="s">
        <v>504</v>
      </c>
      <c r="C101" s="10" t="s">
        <v>12</v>
      </c>
      <c r="D101" s="10" t="s">
        <v>84</v>
      </c>
      <c r="E101" s="11" t="b">
        <v>1</v>
      </c>
      <c r="F101" s="12">
        <v>43847</v>
      </c>
      <c r="G101" s="12">
        <v>43847.524653726854</v>
      </c>
      <c r="H101" s="13">
        <f>IF(F101="","",(Summary!$B$5-F101)/365.25)</f>
        <v>6.5434975806144964</v>
      </c>
      <c r="I101" s="14">
        <v>0</v>
      </c>
      <c r="J101" s="15">
        <v>0</v>
      </c>
      <c r="K101" s="16">
        <v>0</v>
      </c>
      <c r="L101" s="16">
        <v>0</v>
      </c>
      <c r="M101" s="17">
        <v>0</v>
      </c>
      <c r="N101" s="14">
        <v>0</v>
      </c>
      <c r="O101" s="14">
        <v>0</v>
      </c>
      <c r="P101" s="18" t="str">
        <f>IF(OR(N101="",O101="",N101=0,O101=0),"",(O101-N101)/((O101+N101)/2))</f>
        <v/>
      </c>
      <c r="Q101" s="14">
        <v>0</v>
      </c>
      <c r="R101" s="14">
        <v>0</v>
      </c>
      <c r="S101" s="14">
        <v>0</v>
      </c>
      <c r="T101" s="12">
        <v>46209.261123090277</v>
      </c>
      <c r="U101" s="12">
        <v>46210.261123090277</v>
      </c>
      <c r="V101" s="14">
        <v>10</v>
      </c>
      <c r="W101" s="14">
        <v>9.9999999999999995E-7</v>
      </c>
      <c r="X101" s="14">
        <v>9.9999999999999995E-7</v>
      </c>
      <c r="Y101" s="14">
        <v>0.01</v>
      </c>
      <c r="Z101" s="10" t="str">
        <f>IF(AND(D101="TRADING",I101&lt;&gt;"",L101&lt;&gt;"",M101&lt;&gt;"",N101&lt;&gt;"",O101&lt;&gt;""),"Yes","No")</f>
        <v>No</v>
      </c>
      <c r="AA101" s="10" t="s">
        <v>56</v>
      </c>
    </row>
    <row r="102" spans="1:27">
      <c r="A102" s="10" t="s">
        <v>501</v>
      </c>
      <c r="B102" s="10" t="s">
        <v>502</v>
      </c>
      <c r="C102" s="10" t="s">
        <v>12</v>
      </c>
      <c r="D102" s="10" t="s">
        <v>84</v>
      </c>
      <c r="E102" s="11" t="b">
        <v>1</v>
      </c>
      <c r="F102" s="12">
        <v>43847</v>
      </c>
      <c r="G102" s="12">
        <v>43847.524849305555</v>
      </c>
      <c r="H102" s="13">
        <f>IF(F102="","",(Summary!$B$5-F102)/365.25)</f>
        <v>6.5434975806144964</v>
      </c>
      <c r="I102" s="14">
        <v>0</v>
      </c>
      <c r="J102" s="15">
        <v>0</v>
      </c>
      <c r="K102" s="16">
        <v>0</v>
      </c>
      <c r="L102" s="16">
        <v>0</v>
      </c>
      <c r="M102" s="17">
        <v>0</v>
      </c>
      <c r="N102" s="14">
        <v>0</v>
      </c>
      <c r="O102" s="14">
        <v>0</v>
      </c>
      <c r="P102" s="18" t="str">
        <f>IF(OR(N102="",O102="",N102=0,O102=0),"",(O102-N102)/((O102+N102)/2))</f>
        <v/>
      </c>
      <c r="Q102" s="14">
        <v>0</v>
      </c>
      <c r="R102" s="14">
        <v>0</v>
      </c>
      <c r="S102" s="14">
        <v>0</v>
      </c>
      <c r="T102" s="12">
        <v>46209.261123090277</v>
      </c>
      <c r="U102" s="12">
        <v>46210.261123090277</v>
      </c>
      <c r="V102" s="14">
        <v>10</v>
      </c>
      <c r="W102" s="14">
        <v>1.0000000000000001E-5</v>
      </c>
      <c r="X102" s="14">
        <v>1.0000000000000001E-5</v>
      </c>
      <c r="Y102" s="14">
        <v>0.01</v>
      </c>
      <c r="Z102" s="10" t="str">
        <f>IF(AND(D102="TRADING",I102&lt;&gt;"",L102&lt;&gt;"",M102&lt;&gt;"",N102&lt;&gt;"",O102&lt;&gt;""),"Yes","No")</f>
        <v>No</v>
      </c>
      <c r="AA102" s="10" t="s">
        <v>56</v>
      </c>
    </row>
    <row r="103" spans="1:27">
      <c r="A103" s="10" t="s">
        <v>265</v>
      </c>
      <c r="B103" s="10" t="s">
        <v>266</v>
      </c>
      <c r="C103" s="10" t="s">
        <v>12</v>
      </c>
      <c r="D103" s="10" t="s">
        <v>84</v>
      </c>
      <c r="E103" s="11" t="b">
        <v>1</v>
      </c>
      <c r="F103" s="12">
        <v>43847</v>
      </c>
      <c r="G103" s="12">
        <v>43847.999999988424</v>
      </c>
      <c r="H103" s="13">
        <f>IF(F103="","",(Summary!$B$5-F103)/365.25)</f>
        <v>6.5434975806144964</v>
      </c>
      <c r="I103" s="14">
        <v>0</v>
      </c>
      <c r="J103" s="15">
        <v>0</v>
      </c>
      <c r="K103" s="16">
        <v>0</v>
      </c>
      <c r="L103" s="16">
        <v>0</v>
      </c>
      <c r="M103" s="17">
        <v>0</v>
      </c>
      <c r="N103" s="14">
        <v>0</v>
      </c>
      <c r="O103" s="14">
        <v>0</v>
      </c>
      <c r="P103" s="18" t="str">
        <f>IF(OR(N103="",O103="",N103=0,O103=0),"",(O103-N103)/((O103+N103)/2))</f>
        <v/>
      </c>
      <c r="Q103" s="14">
        <v>0</v>
      </c>
      <c r="R103" s="14">
        <v>0</v>
      </c>
      <c r="S103" s="14">
        <v>0</v>
      </c>
      <c r="T103" s="12">
        <v>46209.261123090277</v>
      </c>
      <c r="U103" s="12">
        <v>46210.261123090277</v>
      </c>
      <c r="V103" s="14">
        <v>10</v>
      </c>
      <c r="W103" s="14">
        <v>1.0000000000000001E-5</v>
      </c>
      <c r="X103" s="14">
        <v>1.0000000000000001E-5</v>
      </c>
      <c r="Y103" s="14">
        <v>0.01</v>
      </c>
      <c r="Z103" s="10" t="str">
        <f>IF(AND(D103="TRADING",I103&lt;&gt;"",L103&lt;&gt;"",M103&lt;&gt;"",N103&lt;&gt;"",O103&lt;&gt;""),"Yes","No")</f>
        <v>No</v>
      </c>
      <c r="AA103" s="10" t="s">
        <v>56</v>
      </c>
    </row>
    <row r="104" spans="1:27">
      <c r="A104" s="10" t="s">
        <v>329</v>
      </c>
      <c r="B104" s="10" t="s">
        <v>330</v>
      </c>
      <c r="C104" s="10" t="s">
        <v>12</v>
      </c>
      <c r="D104" s="10" t="s">
        <v>84</v>
      </c>
      <c r="E104" s="11" t="b">
        <v>1</v>
      </c>
      <c r="F104" s="12">
        <v>43847</v>
      </c>
      <c r="G104" s="12">
        <v>43847.999999988424</v>
      </c>
      <c r="H104" s="13">
        <f>IF(F104="","",(Summary!$B$5-F104)/365.25)</f>
        <v>6.5434975806144964</v>
      </c>
      <c r="I104" s="14">
        <v>0</v>
      </c>
      <c r="J104" s="15">
        <v>0</v>
      </c>
      <c r="K104" s="16">
        <v>0</v>
      </c>
      <c r="L104" s="16">
        <v>0</v>
      </c>
      <c r="M104" s="17">
        <v>0</v>
      </c>
      <c r="N104" s="14">
        <v>0</v>
      </c>
      <c r="O104" s="14">
        <v>0</v>
      </c>
      <c r="P104" s="18" t="str">
        <f>IF(OR(N104="",O104="",N104=0,O104=0),"",(O104-N104)/((O104+N104)/2))</f>
        <v/>
      </c>
      <c r="Q104" s="14">
        <v>0</v>
      </c>
      <c r="R104" s="14">
        <v>0</v>
      </c>
      <c r="S104" s="14">
        <v>0</v>
      </c>
      <c r="T104" s="12">
        <v>46209.261123090277</v>
      </c>
      <c r="U104" s="12">
        <v>46210.261123090277</v>
      </c>
      <c r="V104" s="14">
        <v>10</v>
      </c>
      <c r="W104" s="14">
        <v>9.9999999999999995E-7</v>
      </c>
      <c r="X104" s="14">
        <v>9.9999999999999995E-7</v>
      </c>
      <c r="Y104" s="14">
        <v>0.01</v>
      </c>
      <c r="Z104" s="10" t="str">
        <f>IF(AND(D104="TRADING",I104&lt;&gt;"",L104&lt;&gt;"",M104&lt;&gt;"",N104&lt;&gt;"",O104&lt;&gt;""),"Yes","No")</f>
        <v>No</v>
      </c>
      <c r="AA104" s="10" t="s">
        <v>56</v>
      </c>
    </row>
    <row r="105" spans="1:27">
      <c r="A105" s="10" t="s">
        <v>1213</v>
      </c>
      <c r="B105" s="10" t="s">
        <v>1214</v>
      </c>
      <c r="C105" s="10" t="s">
        <v>12</v>
      </c>
      <c r="D105" s="10" t="s">
        <v>84</v>
      </c>
      <c r="E105" s="11" t="b">
        <v>1</v>
      </c>
      <c r="F105" s="12">
        <v>43851</v>
      </c>
      <c r="G105" s="12">
        <v>43851.999999988424</v>
      </c>
      <c r="H105" s="13">
        <f>IF(F105="","",(Summary!$B$5-F105)/365.25)</f>
        <v>6.5325461774659681</v>
      </c>
      <c r="I105" s="14">
        <v>3.1199999999999999E-3</v>
      </c>
      <c r="J105" s="15">
        <v>-6.5869999999999998E-2</v>
      </c>
      <c r="K105" s="16">
        <v>152215525</v>
      </c>
      <c r="L105" s="16">
        <v>502387.03863000002</v>
      </c>
      <c r="M105" s="17">
        <v>4001</v>
      </c>
      <c r="N105" s="14">
        <v>0</v>
      </c>
      <c r="O105" s="14">
        <v>0</v>
      </c>
      <c r="P105" s="18" t="str">
        <f>IF(OR(N105="",O105="",N105=0,O105=0),"",(O105-N105)/((O105+N105)/2))</f>
        <v/>
      </c>
      <c r="Q105" s="14">
        <v>3.3005E-3</v>
      </c>
      <c r="R105" s="14">
        <v>3.46E-3</v>
      </c>
      <c r="S105" s="14">
        <v>3.0999999999999999E-3</v>
      </c>
      <c r="T105" s="12">
        <v>46209.261123090277</v>
      </c>
      <c r="U105" s="12">
        <v>46210.261123090277</v>
      </c>
      <c r="V105" s="14">
        <v>10</v>
      </c>
      <c r="W105" s="14">
        <v>1</v>
      </c>
      <c r="X105" s="14">
        <v>1</v>
      </c>
      <c r="Y105" s="14">
        <v>1.0000000000000001E-5</v>
      </c>
      <c r="Z105" s="10" t="str">
        <f>IF(AND(D105="TRADING",I105&lt;&gt;"",L105&lt;&gt;"",M105&lt;&gt;"",N105&lt;&gt;"",O105&lt;&gt;""),"Yes","No")</f>
        <v>No</v>
      </c>
      <c r="AA105" s="10" t="s">
        <v>56</v>
      </c>
    </row>
    <row r="106" spans="1:27">
      <c r="A106" s="10" t="s">
        <v>1359</v>
      </c>
      <c r="B106" s="10" t="s">
        <v>1360</v>
      </c>
      <c r="C106" s="10" t="s">
        <v>12</v>
      </c>
      <c r="D106" s="10" t="s">
        <v>84</v>
      </c>
      <c r="E106" s="11" t="b">
        <v>1</v>
      </c>
      <c r="F106" s="12">
        <v>43866</v>
      </c>
      <c r="G106" s="12">
        <v>43866.999999988424</v>
      </c>
      <c r="H106" s="13">
        <f>IF(F106="","",(Summary!$B$5-F106)/365.25)</f>
        <v>6.4914784156589871</v>
      </c>
      <c r="I106" s="14">
        <v>1.7299999999999999E-2</v>
      </c>
      <c r="J106" s="15">
        <v>-4.9450000000000001E-2</v>
      </c>
      <c r="K106" s="16">
        <v>25499366.399999999</v>
      </c>
      <c r="L106" s="16">
        <v>400903.64233</v>
      </c>
      <c r="M106" s="17">
        <v>4001</v>
      </c>
      <c r="N106" s="14">
        <v>0</v>
      </c>
      <c r="O106" s="14">
        <v>0</v>
      </c>
      <c r="P106" s="18" t="str">
        <f>IF(OR(N106="",O106="",N106=0,O106=0),"",(O106-N106)/((O106+N106)/2))</f>
        <v/>
      </c>
      <c r="Q106" s="14">
        <v>1.5722099999999999E-2</v>
      </c>
      <c r="R106" s="14">
        <v>1.83E-2</v>
      </c>
      <c r="S106" s="14">
        <v>1.44E-2</v>
      </c>
      <c r="T106" s="12">
        <v>46209.261123090277</v>
      </c>
      <c r="U106" s="12">
        <v>46210.261123090277</v>
      </c>
      <c r="V106" s="14">
        <v>5</v>
      </c>
      <c r="W106" s="14">
        <v>0.1</v>
      </c>
      <c r="X106" s="14">
        <v>0.1</v>
      </c>
      <c r="Y106" s="14">
        <v>1E-4</v>
      </c>
      <c r="Z106" s="10" t="str">
        <f>IF(AND(D106="TRADING",I106&lt;&gt;"",L106&lt;&gt;"",M106&lt;&gt;"",N106&lt;&gt;"",O106&lt;&gt;""),"Yes","No")</f>
        <v>No</v>
      </c>
      <c r="AA106" s="10" t="s">
        <v>56</v>
      </c>
    </row>
    <row r="107" spans="1:27">
      <c r="A107" s="10" t="s">
        <v>302</v>
      </c>
      <c r="B107" s="10" t="s">
        <v>303</v>
      </c>
      <c r="C107" s="10" t="s">
        <v>12</v>
      </c>
      <c r="D107" s="10" t="s">
        <v>55</v>
      </c>
      <c r="E107" s="11" t="b">
        <v>1</v>
      </c>
      <c r="F107" s="12">
        <v>43867</v>
      </c>
      <c r="G107" s="12">
        <v>43867.999999988424</v>
      </c>
      <c r="H107" s="13">
        <f>IF(F107="","",(Summary!$B$5-F107)/365.25)</f>
        <v>6.488740564871855</v>
      </c>
      <c r="I107" s="14">
        <v>0.26490000000000002</v>
      </c>
      <c r="J107" s="15">
        <v>4.5500000000000002E-3</v>
      </c>
      <c r="K107" s="16">
        <v>278673</v>
      </c>
      <c r="L107" s="16">
        <v>73552.157630000002</v>
      </c>
      <c r="M107" s="17">
        <v>1395</v>
      </c>
      <c r="N107" s="14">
        <v>0.26429999999999998</v>
      </c>
      <c r="O107" s="14">
        <v>0.2646</v>
      </c>
      <c r="P107" s="18">
        <f>IF(OR(N107="",O107="",N107=0,O107=0),"",(O107-N107)/((O107+N107)/2))</f>
        <v>1.1344299489507374E-3</v>
      </c>
      <c r="Q107" s="14">
        <v>0.26393715000000001</v>
      </c>
      <c r="R107" s="14">
        <v>0.26690000000000003</v>
      </c>
      <c r="S107" s="14">
        <v>0.26129999999999998</v>
      </c>
      <c r="T107" s="12">
        <v>46236.012456909724</v>
      </c>
      <c r="U107" s="12">
        <v>46237.012456909724</v>
      </c>
      <c r="V107" s="14">
        <v>5</v>
      </c>
      <c r="W107" s="14">
        <v>0.1</v>
      </c>
      <c r="X107" s="14">
        <v>0.1</v>
      </c>
      <c r="Y107" s="14">
        <v>1E-4</v>
      </c>
      <c r="Z107" s="10" t="str">
        <f>IF(AND(D107="TRADING",I107&lt;&gt;"",L107&lt;&gt;"",M107&lt;&gt;"",N107&lt;&gt;"",O107&lt;&gt;""),"Yes","No")</f>
        <v>Yes</v>
      </c>
      <c r="AA107" s="10" t="s">
        <v>56</v>
      </c>
    </row>
    <row r="108" spans="1:27">
      <c r="A108" s="10" t="s">
        <v>323</v>
      </c>
      <c r="B108" s="10" t="s">
        <v>324</v>
      </c>
      <c r="C108" s="10" t="s">
        <v>12</v>
      </c>
      <c r="D108" s="10" t="s">
        <v>84</v>
      </c>
      <c r="E108" s="11" t="b">
        <v>1</v>
      </c>
      <c r="F108" s="12">
        <v>43867</v>
      </c>
      <c r="G108" s="12">
        <v>43867.999999988424</v>
      </c>
      <c r="H108" s="13">
        <f>IF(F108="","",(Summary!$B$5-F108)/365.25)</f>
        <v>6.488740564871855</v>
      </c>
      <c r="I108" s="14">
        <v>5.4000000000000003E-3</v>
      </c>
      <c r="J108" s="15">
        <v>7.4599999999999996E-3</v>
      </c>
      <c r="K108" s="16">
        <v>49593414.799999997</v>
      </c>
      <c r="L108" s="16">
        <v>262741.66950800002</v>
      </c>
      <c r="M108" s="17">
        <v>4001</v>
      </c>
      <c r="N108" s="14">
        <v>0</v>
      </c>
      <c r="O108" s="14">
        <v>0</v>
      </c>
      <c r="P108" s="18" t="str">
        <f>IF(OR(N108="",O108="",N108=0,O108=0),"",(O108-N108)/((O108+N108)/2))</f>
        <v/>
      </c>
      <c r="Q108" s="14">
        <v>5.2979100000000003E-3</v>
      </c>
      <c r="R108" s="14">
        <v>5.4799999999999996E-3</v>
      </c>
      <c r="S108" s="14">
        <v>5.1200000000000004E-3</v>
      </c>
      <c r="T108" s="12">
        <v>46209.261123090277</v>
      </c>
      <c r="U108" s="12">
        <v>46210.261123090277</v>
      </c>
      <c r="V108" s="14">
        <v>5</v>
      </c>
      <c r="W108" s="14">
        <v>0.1</v>
      </c>
      <c r="X108" s="14">
        <v>0.1</v>
      </c>
      <c r="Y108" s="14">
        <v>1.0000000000000001E-5</v>
      </c>
      <c r="Z108" s="10" t="str">
        <f>IF(AND(D108="TRADING",I108&lt;&gt;"",L108&lt;&gt;"",M108&lt;&gt;"",N108&lt;&gt;"",O108&lt;&gt;""),"Yes","No")</f>
        <v>No</v>
      </c>
      <c r="AA108" s="10" t="s">
        <v>56</v>
      </c>
    </row>
    <row r="109" spans="1:27">
      <c r="A109" s="10" t="s">
        <v>768</v>
      </c>
      <c r="B109" s="10" t="s">
        <v>769</v>
      </c>
      <c r="C109" s="10" t="s">
        <v>12</v>
      </c>
      <c r="D109" s="10" t="s">
        <v>55</v>
      </c>
      <c r="E109" s="11" t="b">
        <v>1</v>
      </c>
      <c r="F109" s="12">
        <v>43867</v>
      </c>
      <c r="G109" s="12">
        <v>43867.999999988424</v>
      </c>
      <c r="H109" s="13">
        <f>IF(F109="","",(Summary!$B$5-F109)/365.25)</f>
        <v>6.488740564871855</v>
      </c>
      <c r="I109" s="14">
        <v>7.17E-2</v>
      </c>
      <c r="J109" s="15">
        <v>4.1999999999999997E-3</v>
      </c>
      <c r="K109" s="16">
        <v>255510.3</v>
      </c>
      <c r="L109" s="16">
        <v>18470.714100000001</v>
      </c>
      <c r="M109" s="17">
        <v>668</v>
      </c>
      <c r="N109" s="14">
        <v>7.1499999999999994E-2</v>
      </c>
      <c r="O109" s="14">
        <v>7.17E-2</v>
      </c>
      <c r="P109" s="18">
        <f>IF(OR(N109="",O109="",N109=0,O109=0),"",(O109-N109)/((O109+N109)/2))</f>
        <v>2.7932960893855552E-3</v>
      </c>
      <c r="Q109" s="14">
        <v>7.2289510000000001E-2</v>
      </c>
      <c r="R109" s="14">
        <v>7.2999999999999995E-2</v>
      </c>
      <c r="S109" s="14">
        <v>7.1300000000000002E-2</v>
      </c>
      <c r="T109" s="12">
        <v>46236.012345358795</v>
      </c>
      <c r="U109" s="12">
        <v>46237.012345358795</v>
      </c>
      <c r="V109" s="14">
        <v>5</v>
      </c>
      <c r="W109" s="14">
        <v>0.1</v>
      </c>
      <c r="X109" s="14">
        <v>0.1</v>
      </c>
      <c r="Y109" s="14">
        <v>1E-4</v>
      </c>
      <c r="Z109" s="10" t="str">
        <f>IF(AND(D109="TRADING",I109&lt;&gt;"",L109&lt;&gt;"",M109&lt;&gt;"",N109&lt;&gt;"",O109&lt;&gt;""),"Yes","No")</f>
        <v>Yes</v>
      </c>
      <c r="AA109" s="10" t="s">
        <v>56</v>
      </c>
    </row>
    <row r="110" spans="1:27">
      <c r="A110" s="10" t="s">
        <v>772</v>
      </c>
      <c r="B110" s="10" t="s">
        <v>773</v>
      </c>
      <c r="C110" s="10" t="s">
        <v>12</v>
      </c>
      <c r="D110" s="10" t="s">
        <v>84</v>
      </c>
      <c r="E110" s="11" t="b">
        <v>1</v>
      </c>
      <c r="F110" s="12">
        <v>43868</v>
      </c>
      <c r="G110" s="12">
        <v>43868.999999988424</v>
      </c>
      <c r="H110" s="13">
        <f>IF(F110="","",(Summary!$B$5-F110)/365.25)</f>
        <v>6.486002714084723</v>
      </c>
      <c r="I110" s="14">
        <v>3.8E-3</v>
      </c>
      <c r="J110" s="15">
        <v>2.7029999999999998E-2</v>
      </c>
      <c r="K110" s="16">
        <v>118743621</v>
      </c>
      <c r="L110" s="16">
        <v>410367.53029999998</v>
      </c>
      <c r="M110" s="17">
        <v>4001</v>
      </c>
      <c r="N110" s="14">
        <v>0</v>
      </c>
      <c r="O110" s="14">
        <v>0</v>
      </c>
      <c r="P110" s="18" t="str">
        <f>IF(OR(N110="",O110="",N110=0,O110=0),"",(O110-N110)/((O110+N110)/2))</f>
        <v/>
      </c>
      <c r="Q110" s="14">
        <v>3.45591E-3</v>
      </c>
      <c r="R110" s="14">
        <v>4.0000000000000001E-3</v>
      </c>
      <c r="S110" s="14">
        <v>2.8999999999999998E-3</v>
      </c>
      <c r="T110" s="12">
        <v>46209.261123090277</v>
      </c>
      <c r="U110" s="12">
        <v>46210.261123090277</v>
      </c>
      <c r="V110" s="14">
        <v>5</v>
      </c>
      <c r="W110" s="14">
        <v>1</v>
      </c>
      <c r="X110" s="14">
        <v>1</v>
      </c>
      <c r="Y110" s="14">
        <v>1E-4</v>
      </c>
      <c r="Z110" s="10" t="str">
        <f>IF(AND(D110="TRADING",I110&lt;&gt;"",L110&lt;&gt;"",M110&lt;&gt;"",N110&lt;&gt;"",O110&lt;&gt;""),"Yes","No")</f>
        <v>No</v>
      </c>
      <c r="AA110" s="10" t="s">
        <v>56</v>
      </c>
    </row>
    <row r="111" spans="1:27">
      <c r="A111" s="10" t="s">
        <v>479</v>
      </c>
      <c r="B111" s="10" t="s">
        <v>480</v>
      </c>
      <c r="C111" s="10" t="s">
        <v>12</v>
      </c>
      <c r="D111" s="10" t="s">
        <v>84</v>
      </c>
      <c r="E111" s="11" t="b">
        <v>1</v>
      </c>
      <c r="F111" s="12">
        <v>43873</v>
      </c>
      <c r="G111" s="12">
        <v>43873.999999988424</v>
      </c>
      <c r="H111" s="13">
        <f>IF(F111="","",(Summary!$B$5-F111)/365.25)</f>
        <v>6.4723134601490626</v>
      </c>
      <c r="I111" s="14">
        <v>0</v>
      </c>
      <c r="J111" s="15">
        <v>0</v>
      </c>
      <c r="K111" s="16">
        <v>0</v>
      </c>
      <c r="L111" s="16">
        <v>0</v>
      </c>
      <c r="M111" s="17">
        <v>0</v>
      </c>
      <c r="N111" s="14">
        <v>0</v>
      </c>
      <c r="O111" s="14">
        <v>0</v>
      </c>
      <c r="P111" s="18" t="str">
        <f>IF(OR(N111="",O111="",N111=0,O111=0),"",(O111-N111)/((O111+N111)/2))</f>
        <v/>
      </c>
      <c r="Q111" s="14">
        <v>0</v>
      </c>
      <c r="R111" s="14">
        <v>0</v>
      </c>
      <c r="S111" s="14">
        <v>0</v>
      </c>
      <c r="T111" s="12">
        <v>46209.261123090277</v>
      </c>
      <c r="U111" s="12">
        <v>46210.261123090277</v>
      </c>
      <c r="V111" s="14">
        <v>10</v>
      </c>
      <c r="W111" s="14">
        <v>1.0000000000000001E-5</v>
      </c>
      <c r="X111" s="14">
        <v>1.0000000000000001E-5</v>
      </c>
      <c r="Y111" s="14">
        <v>0.01</v>
      </c>
      <c r="Z111" s="10" t="str">
        <f>IF(AND(D111="TRADING",I111&lt;&gt;"",L111&lt;&gt;"",M111&lt;&gt;"",N111&lt;&gt;"",O111&lt;&gt;""),"Yes","No")</f>
        <v>No</v>
      </c>
      <c r="AA111" s="10" t="s">
        <v>56</v>
      </c>
    </row>
    <row r="112" spans="1:27">
      <c r="A112" s="10" t="s">
        <v>481</v>
      </c>
      <c r="B112" s="10" t="s">
        <v>482</v>
      </c>
      <c r="C112" s="10" t="s">
        <v>12</v>
      </c>
      <c r="D112" s="10" t="s">
        <v>84</v>
      </c>
      <c r="E112" s="11" t="b">
        <v>1</v>
      </c>
      <c r="F112" s="12">
        <v>43873</v>
      </c>
      <c r="G112" s="12">
        <v>43873.999999988424</v>
      </c>
      <c r="H112" s="13">
        <f>IF(F112="","",(Summary!$B$5-F112)/365.25)</f>
        <v>6.4723134601490626</v>
      </c>
      <c r="I112" s="14">
        <v>0</v>
      </c>
      <c r="J112" s="15">
        <v>0</v>
      </c>
      <c r="K112" s="16">
        <v>0</v>
      </c>
      <c r="L112" s="16">
        <v>0</v>
      </c>
      <c r="M112" s="17">
        <v>0</v>
      </c>
      <c r="N112" s="14">
        <v>0</v>
      </c>
      <c r="O112" s="14">
        <v>0</v>
      </c>
      <c r="P112" s="18" t="str">
        <f>IF(OR(N112="",O112="",N112=0,O112=0),"",(O112-N112)/((O112+N112)/2))</f>
        <v/>
      </c>
      <c r="Q112" s="14">
        <v>0</v>
      </c>
      <c r="R112" s="14">
        <v>0</v>
      </c>
      <c r="S112" s="14">
        <v>0</v>
      </c>
      <c r="T112" s="12">
        <v>46209.261123090277</v>
      </c>
      <c r="U112" s="12">
        <v>46210.261123090277</v>
      </c>
      <c r="V112" s="14">
        <v>10</v>
      </c>
      <c r="W112" s="14">
        <v>1.0000000000000001E-5</v>
      </c>
      <c r="X112" s="14">
        <v>1.0000000000000001E-5</v>
      </c>
      <c r="Y112" s="14">
        <v>0.01</v>
      </c>
      <c r="Z112" s="10" t="str">
        <f>IF(AND(D112="TRADING",I112&lt;&gt;"",L112&lt;&gt;"",M112&lt;&gt;"",N112&lt;&gt;"",O112&lt;&gt;""),"Yes","No")</f>
        <v>No</v>
      </c>
      <c r="AA112" s="10" t="s">
        <v>56</v>
      </c>
    </row>
    <row r="113" spans="1:27">
      <c r="A113" s="10" t="s">
        <v>1381</v>
      </c>
      <c r="B113" s="10" t="s">
        <v>1382</v>
      </c>
      <c r="C113" s="10" t="s">
        <v>12</v>
      </c>
      <c r="D113" s="10" t="s">
        <v>84</v>
      </c>
      <c r="E113" s="11" t="b">
        <v>1</v>
      </c>
      <c r="F113" s="12">
        <v>43873</v>
      </c>
      <c r="G113" s="12">
        <v>43873.999999988424</v>
      </c>
      <c r="H113" s="13">
        <f>IF(F113="","",(Summary!$B$5-F113)/365.25)</f>
        <v>6.4723134601490626</v>
      </c>
      <c r="I113" s="14">
        <v>0</v>
      </c>
      <c r="J113" s="15">
        <v>0</v>
      </c>
      <c r="K113" s="16">
        <v>0</v>
      </c>
      <c r="L113" s="16">
        <v>0</v>
      </c>
      <c r="M113" s="17">
        <v>0</v>
      </c>
      <c r="N113" s="14">
        <v>0</v>
      </c>
      <c r="O113" s="14">
        <v>0</v>
      </c>
      <c r="P113" s="18" t="str">
        <f>IF(OR(N113="",O113="",N113=0,O113=0),"",(O113-N113)/((O113+N113)/2))</f>
        <v/>
      </c>
      <c r="Q113" s="14">
        <v>0</v>
      </c>
      <c r="R113" s="14">
        <v>0</v>
      </c>
      <c r="S113" s="14">
        <v>0</v>
      </c>
      <c r="T113" s="12">
        <v>46209.261123090277</v>
      </c>
      <c r="U113" s="12">
        <v>46210.261123090277</v>
      </c>
      <c r="V113" s="14">
        <v>10</v>
      </c>
      <c r="W113" s="14">
        <v>1.0000000000000001E-5</v>
      </c>
      <c r="X113" s="14">
        <v>1.0000000000000001E-5</v>
      </c>
      <c r="Y113" s="14">
        <v>0.01</v>
      </c>
      <c r="Z113" s="10" t="str">
        <f>IF(AND(D113="TRADING",I113&lt;&gt;"",L113&lt;&gt;"",M113&lt;&gt;"",N113&lt;&gt;"",O113&lt;&gt;""),"Yes","No")</f>
        <v>No</v>
      </c>
      <c r="AA113" s="10" t="s">
        <v>56</v>
      </c>
    </row>
    <row r="114" spans="1:27">
      <c r="A114" s="10" t="s">
        <v>1383</v>
      </c>
      <c r="B114" s="10" t="s">
        <v>1384</v>
      </c>
      <c r="C114" s="10" t="s">
        <v>12</v>
      </c>
      <c r="D114" s="10" t="s">
        <v>84</v>
      </c>
      <c r="E114" s="11" t="b">
        <v>1</v>
      </c>
      <c r="F114" s="12">
        <v>43873</v>
      </c>
      <c r="G114" s="12">
        <v>43873.999999988424</v>
      </c>
      <c r="H114" s="13">
        <f>IF(F114="","",(Summary!$B$5-F114)/365.25)</f>
        <v>6.4723134601490626</v>
      </c>
      <c r="I114" s="14">
        <v>0</v>
      </c>
      <c r="J114" s="15">
        <v>0</v>
      </c>
      <c r="K114" s="16">
        <v>0</v>
      </c>
      <c r="L114" s="16">
        <v>0</v>
      </c>
      <c r="M114" s="17">
        <v>0</v>
      </c>
      <c r="N114" s="14">
        <v>0</v>
      </c>
      <c r="O114" s="14">
        <v>0</v>
      </c>
      <c r="P114" s="18" t="str">
        <f>IF(OR(N114="",O114="",N114=0,O114=0),"",(O114-N114)/((O114+N114)/2))</f>
        <v/>
      </c>
      <c r="Q114" s="14">
        <v>0</v>
      </c>
      <c r="R114" s="14">
        <v>0</v>
      </c>
      <c r="S114" s="14">
        <v>0</v>
      </c>
      <c r="T114" s="12">
        <v>46209.261123090277</v>
      </c>
      <c r="U114" s="12">
        <v>46210.261123090277</v>
      </c>
      <c r="V114" s="14">
        <v>10</v>
      </c>
      <c r="W114" s="14">
        <v>1.0000000000000001E-5</v>
      </c>
      <c r="X114" s="14">
        <v>1.0000000000000001E-5</v>
      </c>
      <c r="Y114" s="14">
        <v>0.01</v>
      </c>
      <c r="Z114" s="10" t="str">
        <f>IF(AND(D114="TRADING",I114&lt;&gt;"",L114&lt;&gt;"",M114&lt;&gt;"",N114&lt;&gt;"",O114&lt;&gt;""),"Yes","No")</f>
        <v>No</v>
      </c>
      <c r="AA114" s="10" t="s">
        <v>56</v>
      </c>
    </row>
    <row r="115" spans="1:27">
      <c r="A115" s="10" t="s">
        <v>121</v>
      </c>
      <c r="B115" s="10" t="s">
        <v>122</v>
      </c>
      <c r="C115" s="10" t="s">
        <v>12</v>
      </c>
      <c r="D115" s="10" t="s">
        <v>84</v>
      </c>
      <c r="E115" s="11" t="b">
        <v>1</v>
      </c>
      <c r="F115" s="12">
        <v>43880</v>
      </c>
      <c r="G115" s="12">
        <v>43880.999999988424</v>
      </c>
      <c r="H115" s="13">
        <f>IF(F115="","",(Summary!$B$5-F115)/365.25)</f>
        <v>6.4531485046391373</v>
      </c>
      <c r="I115" s="14">
        <v>9.4299999999999991E-3</v>
      </c>
      <c r="J115" s="15">
        <v>-0.10189999999999999</v>
      </c>
      <c r="K115" s="16">
        <v>55771436</v>
      </c>
      <c r="L115" s="16">
        <v>569915.46452000004</v>
      </c>
      <c r="M115" s="17">
        <v>4001</v>
      </c>
      <c r="N115" s="14">
        <v>0</v>
      </c>
      <c r="O115" s="14">
        <v>0</v>
      </c>
      <c r="P115" s="18" t="str">
        <f>IF(OR(N115="",O115="",N115=0,O115=0),"",(O115-N115)/((O115+N115)/2))</f>
        <v/>
      </c>
      <c r="Q115" s="14">
        <v>1.021877E-2</v>
      </c>
      <c r="R115" s="14">
        <v>1.0800000000000001E-2</v>
      </c>
      <c r="S115" s="14">
        <v>9.1900000000000003E-3</v>
      </c>
      <c r="T115" s="12">
        <v>46209.261123090277</v>
      </c>
      <c r="U115" s="12">
        <v>46210.261123090277</v>
      </c>
      <c r="V115" s="14">
        <v>10</v>
      </c>
      <c r="W115" s="14">
        <v>1</v>
      </c>
      <c r="X115" s="14">
        <v>1</v>
      </c>
      <c r="Y115" s="14">
        <v>1.0000000000000001E-5</v>
      </c>
      <c r="Z115" s="10" t="str">
        <f>IF(AND(D115="TRADING",I115&lt;&gt;"",L115&lt;&gt;"",M115&lt;&gt;"",N115&lt;&gt;"",O115&lt;&gt;""),"Yes","No")</f>
        <v>No</v>
      </c>
      <c r="AA115" s="10" t="s">
        <v>56</v>
      </c>
    </row>
    <row r="116" spans="1:27">
      <c r="A116" s="10" t="s">
        <v>1181</v>
      </c>
      <c r="B116" s="10" t="s">
        <v>1182</v>
      </c>
      <c r="C116" s="10" t="s">
        <v>12</v>
      </c>
      <c r="D116" s="10" t="s">
        <v>84</v>
      </c>
      <c r="E116" s="11" t="b">
        <v>1</v>
      </c>
      <c r="F116" s="12">
        <v>43880</v>
      </c>
      <c r="G116" s="12">
        <v>43880.999999988424</v>
      </c>
      <c r="H116" s="13">
        <f>IF(F116="","",(Summary!$B$5-F116)/365.25)</f>
        <v>6.4531485046391373</v>
      </c>
      <c r="I116" s="14">
        <v>0</v>
      </c>
      <c r="J116" s="15">
        <v>0</v>
      </c>
      <c r="K116" s="16">
        <v>0</v>
      </c>
      <c r="L116" s="16">
        <v>0</v>
      </c>
      <c r="M116" s="17">
        <v>0</v>
      </c>
      <c r="N116" s="14">
        <v>0</v>
      </c>
      <c r="O116" s="14">
        <v>0</v>
      </c>
      <c r="P116" s="18" t="str">
        <f>IF(OR(N116="",O116="",N116=0,O116=0),"",(O116-N116)/((O116+N116)/2))</f>
        <v/>
      </c>
      <c r="Q116" s="14">
        <v>0</v>
      </c>
      <c r="R116" s="14">
        <v>0</v>
      </c>
      <c r="S116" s="14">
        <v>0</v>
      </c>
      <c r="T116" s="12">
        <v>46209.261123090277</v>
      </c>
      <c r="U116" s="12">
        <v>46210.261123090277</v>
      </c>
      <c r="V116" s="14">
        <v>10</v>
      </c>
      <c r="W116" s="14">
        <v>0.01</v>
      </c>
      <c r="X116" s="14">
        <v>0.01</v>
      </c>
      <c r="Y116" s="14">
        <v>1E-4</v>
      </c>
      <c r="Z116" s="10" t="str">
        <f>IF(AND(D116="TRADING",I116&lt;&gt;"",L116&lt;&gt;"",M116&lt;&gt;"",N116&lt;&gt;"",O116&lt;&gt;""),"Yes","No")</f>
        <v>No</v>
      </c>
      <c r="AA116" s="10" t="s">
        <v>56</v>
      </c>
    </row>
    <row r="117" spans="1:27">
      <c r="A117" s="10" t="s">
        <v>794</v>
      </c>
      <c r="B117" s="10" t="s">
        <v>795</v>
      </c>
      <c r="C117" s="10" t="s">
        <v>12</v>
      </c>
      <c r="D117" s="10" t="s">
        <v>55</v>
      </c>
      <c r="E117" s="11" t="b">
        <v>1</v>
      </c>
      <c r="F117" s="12">
        <v>43882</v>
      </c>
      <c r="G117" s="12">
        <v>43882.999999988424</v>
      </c>
      <c r="H117" s="13">
        <f>IF(F117="","",(Summary!$B$5-F117)/365.25)</f>
        <v>6.4476728030648731</v>
      </c>
      <c r="I117" s="14">
        <v>6.4400000000000004E-4</v>
      </c>
      <c r="J117" s="15">
        <v>-2.128E-2</v>
      </c>
      <c r="K117" s="16">
        <v>296514202</v>
      </c>
      <c r="L117" s="16">
        <v>192009.624129</v>
      </c>
      <c r="M117" s="17">
        <v>14263</v>
      </c>
      <c r="N117" s="14">
        <v>6.4400000000000004E-4</v>
      </c>
      <c r="O117" s="14">
        <v>6.4499999999999996E-4</v>
      </c>
      <c r="P117" s="18">
        <f>IF(OR(N117="",O117="",N117=0,O117=0),"",(O117-N117)/((O117+N117)/2))</f>
        <v>1.5515903801395126E-3</v>
      </c>
      <c r="Q117" s="14">
        <v>6.4756000000000004E-4</v>
      </c>
      <c r="R117" s="14">
        <v>6.6299999999999996E-4</v>
      </c>
      <c r="S117" s="14">
        <v>6.3500000000000004E-4</v>
      </c>
      <c r="T117" s="12">
        <v>46236.0124621875</v>
      </c>
      <c r="U117" s="12">
        <v>46237.0124621875</v>
      </c>
      <c r="V117" s="14">
        <v>5</v>
      </c>
      <c r="W117" s="14">
        <v>1</v>
      </c>
      <c r="X117" s="14">
        <v>1</v>
      </c>
      <c r="Y117" s="14">
        <v>9.9999999999999995E-7</v>
      </c>
      <c r="Z117" s="10" t="str">
        <f>IF(AND(D117="TRADING",I117&lt;&gt;"",L117&lt;&gt;"",M117&lt;&gt;"",N117&lt;&gt;"",O117&lt;&gt;""),"Yes","No")</f>
        <v>Yes</v>
      </c>
      <c r="AA117" s="10" t="s">
        <v>56</v>
      </c>
    </row>
    <row r="118" spans="1:27">
      <c r="A118" s="10" t="s">
        <v>383</v>
      </c>
      <c r="B118" s="10" t="s">
        <v>384</v>
      </c>
      <c r="C118" s="10" t="s">
        <v>12</v>
      </c>
      <c r="D118" s="10" t="s">
        <v>55</v>
      </c>
      <c r="E118" s="11" t="b">
        <v>1</v>
      </c>
      <c r="F118" s="12">
        <v>43887</v>
      </c>
      <c r="G118" s="12">
        <v>43887.999999988424</v>
      </c>
      <c r="H118" s="13">
        <f>IF(F118="","",(Summary!$B$5-F118)/365.25)</f>
        <v>6.4339835491292128</v>
      </c>
      <c r="I118" s="14">
        <v>1.247E-2</v>
      </c>
      <c r="J118" s="15">
        <v>-0.16477</v>
      </c>
      <c r="K118" s="16">
        <v>375416860</v>
      </c>
      <c r="L118" s="16">
        <v>5118261.9201499997</v>
      </c>
      <c r="M118" s="17">
        <v>70158</v>
      </c>
      <c r="N118" s="14">
        <v>1.247E-2</v>
      </c>
      <c r="O118" s="14">
        <v>1.248E-2</v>
      </c>
      <c r="P118" s="18">
        <f>IF(OR(N118="",O118="",N118=0,O118=0),"",(O118-N118)/((O118+N118)/2))</f>
        <v>8.0160320641279302E-4</v>
      </c>
      <c r="Q118" s="14">
        <v>1.363354E-2</v>
      </c>
      <c r="R118" s="14">
        <v>1.4970000000000001E-2</v>
      </c>
      <c r="S118" s="14">
        <v>1.247E-2</v>
      </c>
      <c r="T118" s="12">
        <v>46236.012481967591</v>
      </c>
      <c r="U118" s="12">
        <v>46237.012481967591</v>
      </c>
      <c r="V118" s="14">
        <v>5</v>
      </c>
      <c r="W118" s="14">
        <v>1</v>
      </c>
      <c r="X118" s="14">
        <v>1</v>
      </c>
      <c r="Y118" s="14">
        <v>1.0000000000000001E-5</v>
      </c>
      <c r="Z118" s="10" t="str">
        <f>IF(AND(D118="TRADING",I118&lt;&gt;"",L118&lt;&gt;"",M118&lt;&gt;"",N118&lt;&gt;"",O118&lt;&gt;""),"Yes","No")</f>
        <v>Yes</v>
      </c>
      <c r="AA118" s="10" t="s">
        <v>56</v>
      </c>
    </row>
    <row r="119" spans="1:27">
      <c r="A119" s="10" t="s">
        <v>295</v>
      </c>
      <c r="B119" s="10" t="s">
        <v>296</v>
      </c>
      <c r="C119" s="10" t="s">
        <v>12</v>
      </c>
      <c r="D119" s="10" t="s">
        <v>84</v>
      </c>
      <c r="E119" s="11" t="b">
        <v>1</v>
      </c>
      <c r="F119" s="12">
        <v>43901</v>
      </c>
      <c r="G119" s="12">
        <v>43901.999999988424</v>
      </c>
      <c r="H119" s="13">
        <f>IF(F119="","",(Summary!$B$5-F119)/365.25)</f>
        <v>6.3956536381093629</v>
      </c>
      <c r="I119" s="14">
        <v>0</v>
      </c>
      <c r="J119" s="15">
        <v>0</v>
      </c>
      <c r="K119" s="16">
        <v>0</v>
      </c>
      <c r="L119" s="16">
        <v>0</v>
      </c>
      <c r="M119" s="17">
        <v>0</v>
      </c>
      <c r="N119" s="14">
        <v>0</v>
      </c>
      <c r="O119" s="14">
        <v>0</v>
      </c>
      <c r="P119" s="18" t="str">
        <f>IF(OR(N119="",O119="",N119=0,O119=0),"",(O119-N119)/((O119+N119)/2))</f>
        <v/>
      </c>
      <c r="Q119" s="14">
        <v>0</v>
      </c>
      <c r="R119" s="14">
        <v>0</v>
      </c>
      <c r="S119" s="14">
        <v>0</v>
      </c>
      <c r="T119" s="12">
        <v>46209.261123090277</v>
      </c>
      <c r="U119" s="12">
        <v>46210.261123090277</v>
      </c>
      <c r="V119" s="14">
        <v>10</v>
      </c>
      <c r="W119" s="14">
        <v>1.0000000000000001E-5</v>
      </c>
      <c r="X119" s="14">
        <v>1.0000000000000001E-5</v>
      </c>
      <c r="Y119" s="14">
        <v>0.01</v>
      </c>
      <c r="Z119" s="10" t="str">
        <f>IF(AND(D119="TRADING",I119&lt;&gt;"",L119&lt;&gt;"",M119&lt;&gt;"",N119&lt;&gt;"",O119&lt;&gt;""),"Yes","No")</f>
        <v>No</v>
      </c>
      <c r="AA119" s="10" t="s">
        <v>56</v>
      </c>
    </row>
    <row r="120" spans="1:27">
      <c r="A120" s="10" t="s">
        <v>297</v>
      </c>
      <c r="B120" s="10" t="s">
        <v>298</v>
      </c>
      <c r="C120" s="10" t="s">
        <v>12</v>
      </c>
      <c r="D120" s="10" t="s">
        <v>84</v>
      </c>
      <c r="E120" s="11" t="b">
        <v>1</v>
      </c>
      <c r="F120" s="12">
        <v>43901</v>
      </c>
      <c r="G120" s="12">
        <v>43901.999999988424</v>
      </c>
      <c r="H120" s="13">
        <f>IF(F120="","",(Summary!$B$5-F120)/365.25)</f>
        <v>6.3956536381093629</v>
      </c>
      <c r="I120" s="14">
        <v>0</v>
      </c>
      <c r="J120" s="15">
        <v>0</v>
      </c>
      <c r="K120" s="16">
        <v>0</v>
      </c>
      <c r="L120" s="16">
        <v>0</v>
      </c>
      <c r="M120" s="17">
        <v>0</v>
      </c>
      <c r="N120" s="14">
        <v>0</v>
      </c>
      <c r="O120" s="14">
        <v>0</v>
      </c>
      <c r="P120" s="18" t="str">
        <f>IF(OR(N120="",O120="",N120=0,O120=0),"",(O120-N120)/((O120+N120)/2))</f>
        <v/>
      </c>
      <c r="Q120" s="14">
        <v>0</v>
      </c>
      <c r="R120" s="14">
        <v>0</v>
      </c>
      <c r="S120" s="14">
        <v>0</v>
      </c>
      <c r="T120" s="12">
        <v>46209.261123090277</v>
      </c>
      <c r="U120" s="12">
        <v>46210.261123090277</v>
      </c>
      <c r="V120" s="14">
        <v>10</v>
      </c>
      <c r="W120" s="14">
        <v>1.0000000000000001E-5</v>
      </c>
      <c r="X120" s="14">
        <v>1.0000000000000001E-5</v>
      </c>
      <c r="Y120" s="14">
        <v>0.01</v>
      </c>
      <c r="Z120" s="10" t="str">
        <f>IF(AND(D120="TRADING",I120&lt;&gt;"",L120&lt;&gt;"",M120&lt;&gt;"",N120&lt;&gt;"",O120&lt;&gt;""),"Yes","No")</f>
        <v>No</v>
      </c>
      <c r="AA120" s="10" t="s">
        <v>56</v>
      </c>
    </row>
    <row r="121" spans="1:27">
      <c r="A121" s="10" t="s">
        <v>1179</v>
      </c>
      <c r="B121" s="10" t="s">
        <v>1180</v>
      </c>
      <c r="C121" s="10" t="s">
        <v>12</v>
      </c>
      <c r="D121" s="10" t="s">
        <v>84</v>
      </c>
      <c r="E121" s="11" t="b">
        <v>1</v>
      </c>
      <c r="F121" s="12">
        <v>43915</v>
      </c>
      <c r="G121" s="12">
        <v>43915.999999988424</v>
      </c>
      <c r="H121" s="13">
        <f>IF(F121="","",(Summary!$B$5-F121)/365.25)</f>
        <v>6.357323727089514</v>
      </c>
      <c r="I121" s="14">
        <v>7.0419999999999996E-2</v>
      </c>
      <c r="J121" s="15">
        <v>2.206E-2</v>
      </c>
      <c r="K121" s="16">
        <v>6539537.4000000004</v>
      </c>
      <c r="L121" s="16">
        <v>463191.94258799998</v>
      </c>
      <c r="M121" s="17">
        <v>4001</v>
      </c>
      <c r="N121" s="14">
        <v>0</v>
      </c>
      <c r="O121" s="14">
        <v>0</v>
      </c>
      <c r="P121" s="18" t="str">
        <f>IF(OR(N121="",O121="",N121=0,O121=0),"",(O121-N121)/((O121+N121)/2))</f>
        <v/>
      </c>
      <c r="Q121" s="14">
        <v>7.0829470000000005E-2</v>
      </c>
      <c r="R121" s="14">
        <v>7.4550000000000005E-2</v>
      </c>
      <c r="S121" s="14">
        <v>6.8360000000000004E-2</v>
      </c>
      <c r="T121" s="12">
        <v>46209.261123090277</v>
      </c>
      <c r="U121" s="12">
        <v>46210.261123090277</v>
      </c>
      <c r="V121" s="14">
        <v>5</v>
      </c>
      <c r="W121" s="14">
        <v>0.1</v>
      </c>
      <c r="X121" s="14">
        <v>0.1</v>
      </c>
      <c r="Y121" s="14">
        <v>1.0000000000000001E-5</v>
      </c>
      <c r="Z121" s="10" t="str">
        <f>IF(AND(D121="TRADING",I121&lt;&gt;"",L121&lt;&gt;"",M121&lt;&gt;"",N121&lt;&gt;"",O121&lt;&gt;""),"Yes","No")</f>
        <v>No</v>
      </c>
      <c r="AA121" s="10" t="s">
        <v>56</v>
      </c>
    </row>
    <row r="122" spans="1:27">
      <c r="A122" s="10" t="s">
        <v>417</v>
      </c>
      <c r="B122" s="10" t="s">
        <v>418</v>
      </c>
      <c r="C122" s="10" t="s">
        <v>12</v>
      </c>
      <c r="D122" s="10" t="s">
        <v>84</v>
      </c>
      <c r="E122" s="11" t="b">
        <v>1</v>
      </c>
      <c r="F122" s="12">
        <v>43928</v>
      </c>
      <c r="G122" s="12">
        <v>43928.999999988424</v>
      </c>
      <c r="H122" s="13">
        <f>IF(F122="","",(Summary!$B$5-F122)/365.25)</f>
        <v>6.3217316668567962</v>
      </c>
      <c r="I122" s="14">
        <v>8.8000000000000003E-4</v>
      </c>
      <c r="J122" s="15">
        <v>-0.3125</v>
      </c>
      <c r="K122" s="16">
        <v>109741867.2</v>
      </c>
      <c r="L122" s="16">
        <v>111558.29681</v>
      </c>
      <c r="M122" s="17">
        <v>4001</v>
      </c>
      <c r="N122" s="14">
        <v>0</v>
      </c>
      <c r="O122" s="14">
        <v>0</v>
      </c>
      <c r="P122" s="18" t="str">
        <f>IF(OR(N122="",O122="",N122=0,O122=0),"",(O122-N122)/((O122+N122)/2))</f>
        <v/>
      </c>
      <c r="Q122" s="14">
        <v>1.01655E-3</v>
      </c>
      <c r="R122" s="14">
        <v>1.2899999999999999E-3</v>
      </c>
      <c r="S122" s="14">
        <v>8.0999999999999996E-4</v>
      </c>
      <c r="T122" s="12">
        <v>46209.261123090277</v>
      </c>
      <c r="U122" s="12">
        <v>46210.261123090277</v>
      </c>
      <c r="V122" s="14">
        <v>5</v>
      </c>
      <c r="W122" s="14">
        <v>0.1</v>
      </c>
      <c r="X122" s="14">
        <v>0.1</v>
      </c>
      <c r="Y122" s="14">
        <v>1.0000000000000001E-5</v>
      </c>
      <c r="Z122" s="10" t="str">
        <f>IF(AND(D122="TRADING",I122&lt;&gt;"",L122&lt;&gt;"",M122&lt;&gt;"",N122&lt;&gt;"",O122&lt;&gt;""),"Yes","No")</f>
        <v>No</v>
      </c>
      <c r="AA122" s="10" t="s">
        <v>56</v>
      </c>
    </row>
    <row r="123" spans="1:27">
      <c r="A123" s="10" t="s">
        <v>1361</v>
      </c>
      <c r="B123" s="10" t="s">
        <v>1362</v>
      </c>
      <c r="C123" s="10" t="s">
        <v>12</v>
      </c>
      <c r="D123" s="10" t="s">
        <v>84</v>
      </c>
      <c r="E123" s="11" t="b">
        <v>1</v>
      </c>
      <c r="F123" s="12">
        <v>43928</v>
      </c>
      <c r="G123" s="12">
        <v>43928.999999988424</v>
      </c>
      <c r="H123" s="13">
        <f>IF(F123="","",(Summary!$B$5-F123)/365.25)</f>
        <v>6.3217316668567962</v>
      </c>
      <c r="I123" s="14">
        <v>1.03E-2</v>
      </c>
      <c r="J123" s="15">
        <v>-0.56540000000000001</v>
      </c>
      <c r="K123" s="16">
        <v>28831218</v>
      </c>
      <c r="L123" s="16">
        <v>485356.12469999999</v>
      </c>
      <c r="M123" s="17">
        <v>4001</v>
      </c>
      <c r="N123" s="14">
        <v>0</v>
      </c>
      <c r="O123" s="14">
        <v>0</v>
      </c>
      <c r="P123" s="18" t="str">
        <f>IF(OR(N123="",O123="",N123=0,O123=0),"",(O123-N123)/((O123+N123)/2))</f>
        <v/>
      </c>
      <c r="Q123" s="14">
        <v>1.6834399999999999E-2</v>
      </c>
      <c r="R123" s="14">
        <v>2.4E-2</v>
      </c>
      <c r="S123" s="14">
        <v>0.01</v>
      </c>
      <c r="T123" s="12">
        <v>46209.261123090277</v>
      </c>
      <c r="U123" s="12">
        <v>46210.261123090277</v>
      </c>
      <c r="V123" s="14">
        <v>5</v>
      </c>
      <c r="W123" s="14">
        <v>1</v>
      </c>
      <c r="X123" s="14">
        <v>1</v>
      </c>
      <c r="Y123" s="14">
        <v>1E-4</v>
      </c>
      <c r="Z123" s="10" t="str">
        <f>IF(AND(D123="TRADING",I123&lt;&gt;"",L123&lt;&gt;"",M123&lt;&gt;"",N123&lt;&gt;"",O123&lt;&gt;""),"Yes","No")</f>
        <v>No</v>
      </c>
      <c r="AA123" s="10" t="s">
        <v>56</v>
      </c>
    </row>
    <row r="124" spans="1:27">
      <c r="A124" s="10" t="s">
        <v>1395</v>
      </c>
      <c r="B124" s="10" t="s">
        <v>1396</v>
      </c>
      <c r="C124" s="10" t="s">
        <v>12</v>
      </c>
      <c r="D124" s="10" t="s">
        <v>84</v>
      </c>
      <c r="E124" s="11" t="b">
        <v>1</v>
      </c>
      <c r="F124" s="12">
        <v>43928</v>
      </c>
      <c r="G124" s="12">
        <v>43928.999999988424</v>
      </c>
      <c r="H124" s="13">
        <f>IF(F124="","",(Summary!$B$5-F124)/365.25)</f>
        <v>6.3217316668567962</v>
      </c>
      <c r="I124" s="14">
        <v>0</v>
      </c>
      <c r="J124" s="15">
        <v>0</v>
      </c>
      <c r="K124" s="16">
        <v>0</v>
      </c>
      <c r="L124" s="16">
        <v>0</v>
      </c>
      <c r="M124" s="17">
        <v>0</v>
      </c>
      <c r="N124" s="14">
        <v>0</v>
      </c>
      <c r="O124" s="14">
        <v>0</v>
      </c>
      <c r="P124" s="18" t="str">
        <f>IF(OR(N124="",O124="",N124=0,O124=0),"",(O124-N124)/((O124+N124)/2))</f>
        <v/>
      </c>
      <c r="Q124" s="14">
        <v>0</v>
      </c>
      <c r="R124" s="14">
        <v>0</v>
      </c>
      <c r="S124" s="14">
        <v>0</v>
      </c>
      <c r="T124" s="12">
        <v>46209.261123090277</v>
      </c>
      <c r="U124" s="12">
        <v>46210.261123090277</v>
      </c>
      <c r="V124" s="14">
        <v>10</v>
      </c>
      <c r="W124" s="14">
        <v>1E-3</v>
      </c>
      <c r="X124" s="14">
        <v>1E-3</v>
      </c>
      <c r="Y124" s="14">
        <v>1E-3</v>
      </c>
      <c r="Z124" s="10" t="str">
        <f>IF(AND(D124="TRADING",I124&lt;&gt;"",L124&lt;&gt;"",M124&lt;&gt;"",N124&lt;&gt;"",O124&lt;&gt;""),"Yes","No")</f>
        <v>No</v>
      </c>
      <c r="AA124" s="10" t="s">
        <v>56</v>
      </c>
    </row>
    <row r="125" spans="1:27">
      <c r="A125" s="10" t="s">
        <v>397</v>
      </c>
      <c r="B125" s="10" t="s">
        <v>398</v>
      </c>
      <c r="C125" s="10" t="s">
        <v>12</v>
      </c>
      <c r="D125" s="10" t="s">
        <v>55</v>
      </c>
      <c r="E125" s="11" t="b">
        <v>1</v>
      </c>
      <c r="F125" s="12">
        <v>43944</v>
      </c>
      <c r="G125" s="12">
        <v>43944.999999988424</v>
      </c>
      <c r="H125" s="13">
        <f>IF(F125="","",(Summary!$B$5-F125)/365.25)</f>
        <v>6.2779260542626831</v>
      </c>
      <c r="I125" s="14">
        <v>2.1270000000000001E-2</v>
      </c>
      <c r="J125" s="15">
        <v>7.5799999999999999E-3</v>
      </c>
      <c r="K125" s="16">
        <v>2158849</v>
      </c>
      <c r="L125" s="16">
        <v>45749.161180000003</v>
      </c>
      <c r="M125" s="17">
        <v>837</v>
      </c>
      <c r="N125" s="14">
        <v>2.1270000000000001E-2</v>
      </c>
      <c r="O125" s="14">
        <v>2.129E-2</v>
      </c>
      <c r="P125" s="18">
        <f>IF(OR(N125="",O125="",N125=0,O125=0),"",(O125-N125)/((O125+N125)/2))</f>
        <v>9.3984962406011205E-4</v>
      </c>
      <c r="Q125" s="14">
        <v>2.1191459999999999E-2</v>
      </c>
      <c r="R125" s="14">
        <v>2.1479999999999999E-2</v>
      </c>
      <c r="S125" s="14">
        <v>2.1010000000000001E-2</v>
      </c>
      <c r="T125" s="12">
        <v>46236.012379050924</v>
      </c>
      <c r="U125" s="12">
        <v>46237.012379050924</v>
      </c>
      <c r="V125" s="14">
        <v>5</v>
      </c>
      <c r="W125" s="14">
        <v>1</v>
      </c>
      <c r="X125" s="14">
        <v>1</v>
      </c>
      <c r="Y125" s="14">
        <v>1.0000000000000001E-5</v>
      </c>
      <c r="Z125" s="10" t="str">
        <f>IF(AND(D125="TRADING",I125&lt;&gt;"",L125&lt;&gt;"",M125&lt;&gt;"",N125&lt;&gt;"",O125&lt;&gt;""),"Yes","No")</f>
        <v>Yes</v>
      </c>
      <c r="AA125" s="10" t="s">
        <v>56</v>
      </c>
    </row>
    <row r="126" spans="1:27">
      <c r="A126" s="10" t="s">
        <v>634</v>
      </c>
      <c r="B126" s="10" t="s">
        <v>635</v>
      </c>
      <c r="C126" s="10" t="s">
        <v>12</v>
      </c>
      <c r="D126" s="10" t="s">
        <v>55</v>
      </c>
      <c r="E126" s="11" t="b">
        <v>1</v>
      </c>
      <c r="F126" s="12">
        <v>43948</v>
      </c>
      <c r="G126" s="12">
        <v>43948.999999988424</v>
      </c>
      <c r="H126" s="13">
        <f>IF(F126="","",(Summary!$B$5-F126)/365.25)</f>
        <v>6.2669746511141549</v>
      </c>
      <c r="I126" s="14">
        <v>4.2200000000000001E-2</v>
      </c>
      <c r="J126" s="15">
        <v>9.5700000000000004E-3</v>
      </c>
      <c r="K126" s="16">
        <v>1554056</v>
      </c>
      <c r="L126" s="16">
        <v>65677.801999999996</v>
      </c>
      <c r="M126" s="17">
        <v>1325</v>
      </c>
      <c r="N126" s="14">
        <v>4.2099999999999999E-2</v>
      </c>
      <c r="O126" s="14">
        <v>4.2200000000000001E-2</v>
      </c>
      <c r="P126" s="18">
        <f>IF(OR(N126="",O126="",N126=0,O126=0),"",(O126-N126)/((O126+N126)/2))</f>
        <v>2.3724792408067108E-3</v>
      </c>
      <c r="Q126" s="14">
        <v>4.2262180000000003E-2</v>
      </c>
      <c r="R126" s="14">
        <v>4.2599999999999999E-2</v>
      </c>
      <c r="S126" s="14">
        <v>4.1799999999999997E-2</v>
      </c>
      <c r="T126" s="12">
        <v>46236.012476122683</v>
      </c>
      <c r="U126" s="12">
        <v>46237.012476122683</v>
      </c>
      <c r="V126" s="14">
        <v>5</v>
      </c>
      <c r="W126" s="14">
        <v>1</v>
      </c>
      <c r="X126" s="14">
        <v>1</v>
      </c>
      <c r="Y126" s="14">
        <v>1E-4</v>
      </c>
      <c r="Z126" s="10" t="str">
        <f>IF(AND(D126="TRADING",I126&lt;&gt;"",L126&lt;&gt;"",M126&lt;&gt;"",N126&lt;&gt;"",O126&lt;&gt;""),"Yes","No")</f>
        <v>Yes</v>
      </c>
      <c r="AA126" s="10" t="s">
        <v>56</v>
      </c>
    </row>
    <row r="127" spans="1:27">
      <c r="A127" s="10" t="s">
        <v>361</v>
      </c>
      <c r="B127" s="10" t="s">
        <v>362</v>
      </c>
      <c r="C127" s="10" t="s">
        <v>12</v>
      </c>
      <c r="D127" s="10" t="s">
        <v>55</v>
      </c>
      <c r="E127" s="11" t="b">
        <v>1</v>
      </c>
      <c r="F127" s="12">
        <v>43958</v>
      </c>
      <c r="G127" s="12">
        <v>43958.999999988424</v>
      </c>
      <c r="H127" s="13">
        <f>IF(F127="","",(Summary!$B$5-F127)/365.25)</f>
        <v>6.2395961432428333</v>
      </c>
      <c r="I127" s="14">
        <v>1.319E-2</v>
      </c>
      <c r="J127" s="15">
        <v>4.7660000000000001E-2</v>
      </c>
      <c r="K127" s="16">
        <v>10613468</v>
      </c>
      <c r="L127" s="16">
        <v>136580.01209999999</v>
      </c>
      <c r="M127" s="17">
        <v>1474</v>
      </c>
      <c r="N127" s="14">
        <v>1.316E-2</v>
      </c>
      <c r="O127" s="14">
        <v>1.319E-2</v>
      </c>
      <c r="P127" s="18">
        <f>IF(OR(N127="",O127="",N127=0,O127=0),"",(O127-N127)/((O127+N127)/2))</f>
        <v>2.2770398481973824E-3</v>
      </c>
      <c r="Q127" s="14">
        <v>1.2868559999999999E-2</v>
      </c>
      <c r="R127" s="14">
        <v>1.337E-2</v>
      </c>
      <c r="S127" s="14">
        <v>1.2460000000000001E-2</v>
      </c>
      <c r="T127" s="12">
        <v>46236.011888252317</v>
      </c>
      <c r="U127" s="12">
        <v>46237.011888252317</v>
      </c>
      <c r="V127" s="14">
        <v>5</v>
      </c>
      <c r="W127" s="14">
        <v>1</v>
      </c>
      <c r="X127" s="14">
        <v>1</v>
      </c>
      <c r="Y127" s="14">
        <v>1.0000000000000001E-5</v>
      </c>
      <c r="Z127" s="10" t="str">
        <f>IF(AND(D127="TRADING",I127&lt;&gt;"",L127&lt;&gt;"",M127&lt;&gt;"",N127&lt;&gt;"",O127&lt;&gt;""),"Yes","No")</f>
        <v>Yes</v>
      </c>
      <c r="AA127" s="10" t="s">
        <v>56</v>
      </c>
    </row>
    <row r="128" spans="1:27">
      <c r="A128" s="10" t="s">
        <v>614</v>
      </c>
      <c r="B128" s="10" t="s">
        <v>615</v>
      </c>
      <c r="C128" s="10" t="s">
        <v>12</v>
      </c>
      <c r="D128" s="10" t="s">
        <v>84</v>
      </c>
      <c r="E128" s="11" t="b">
        <v>1</v>
      </c>
      <c r="F128" s="12">
        <v>43964</v>
      </c>
      <c r="G128" s="12">
        <v>43964.999999988424</v>
      </c>
      <c r="H128" s="13">
        <f>IF(F128="","",(Summary!$B$5-F128)/365.25)</f>
        <v>6.2231690385200409</v>
      </c>
      <c r="I128" s="14">
        <v>0</v>
      </c>
      <c r="J128" s="15">
        <v>0</v>
      </c>
      <c r="K128" s="16">
        <v>0</v>
      </c>
      <c r="L128" s="16">
        <v>0</v>
      </c>
      <c r="M128" s="17">
        <v>0</v>
      </c>
      <c r="N128" s="14">
        <v>0</v>
      </c>
      <c r="O128" s="14">
        <v>0</v>
      </c>
      <c r="P128" s="18" t="str">
        <f>IF(OR(N128="",O128="",N128=0,O128=0),"",(O128-N128)/((O128+N128)/2))</f>
        <v/>
      </c>
      <c r="Q128" s="14">
        <v>0</v>
      </c>
      <c r="R128" s="14">
        <v>0</v>
      </c>
      <c r="S128" s="14">
        <v>0</v>
      </c>
      <c r="T128" s="12">
        <v>46209.261123090277</v>
      </c>
      <c r="U128" s="12">
        <v>46210.261123090277</v>
      </c>
      <c r="V128" s="14">
        <v>10</v>
      </c>
      <c r="W128" s="14">
        <v>1</v>
      </c>
      <c r="X128" s="14">
        <v>1</v>
      </c>
      <c r="Y128" s="14">
        <v>1E-4</v>
      </c>
      <c r="Z128" s="10" t="str">
        <f>IF(AND(D128="TRADING",I128&lt;&gt;"",L128&lt;&gt;"",M128&lt;&gt;"",N128&lt;&gt;"",O128&lt;&gt;""),"Yes","No")</f>
        <v>No</v>
      </c>
      <c r="AA128" s="10" t="s">
        <v>56</v>
      </c>
    </row>
    <row r="129" spans="1:27">
      <c r="A129" s="10" t="s">
        <v>173</v>
      </c>
      <c r="B129" s="10" t="s">
        <v>174</v>
      </c>
      <c r="C129" s="10" t="s">
        <v>12</v>
      </c>
      <c r="D129" s="10" t="s">
        <v>84</v>
      </c>
      <c r="E129" s="11" t="b">
        <v>1</v>
      </c>
      <c r="F129" s="12">
        <v>43966</v>
      </c>
      <c r="G129" s="12">
        <v>43966.999999988424</v>
      </c>
      <c r="H129" s="13">
        <f>IF(F129="","",(Summary!$B$5-F129)/365.25)</f>
        <v>6.2176933369457767</v>
      </c>
      <c r="I129" s="14">
        <v>2.0959999999999999E-2</v>
      </c>
      <c r="J129" s="15">
        <v>-5.2199999999999998E-3</v>
      </c>
      <c r="K129" s="16">
        <v>11927697</v>
      </c>
      <c r="L129" s="16">
        <v>247854.18449000001</v>
      </c>
      <c r="M129" s="17">
        <v>10138</v>
      </c>
      <c r="N129" s="14">
        <v>0</v>
      </c>
      <c r="O129" s="14">
        <v>0</v>
      </c>
      <c r="P129" s="18" t="str">
        <f>IF(OR(N129="",O129="",N129=0,O129=0),"",(O129-N129)/((O129+N129)/2))</f>
        <v/>
      </c>
      <c r="Q129" s="14">
        <v>2.0779720000000002E-2</v>
      </c>
      <c r="R129" s="14">
        <v>2.2790000000000001E-2</v>
      </c>
      <c r="S129" s="14">
        <v>1.9290000000000002E-2</v>
      </c>
      <c r="T129" s="12">
        <v>46212.125053634256</v>
      </c>
      <c r="U129" s="12">
        <v>46213.125053634256</v>
      </c>
      <c r="V129" s="14">
        <v>5</v>
      </c>
      <c r="W129" s="14">
        <v>1</v>
      </c>
      <c r="X129" s="14">
        <v>1</v>
      </c>
      <c r="Y129" s="14">
        <v>1.0000000000000001E-5</v>
      </c>
      <c r="Z129" s="10" t="str">
        <f>IF(AND(D129="TRADING",I129&lt;&gt;"",L129&lt;&gt;"",M129&lt;&gt;"",N129&lt;&gt;"",O129&lt;&gt;""),"Yes","No")</f>
        <v>No</v>
      </c>
      <c r="AA129" s="10" t="s">
        <v>56</v>
      </c>
    </row>
    <row r="130" spans="1:27">
      <c r="A130" s="10" t="s">
        <v>742</v>
      </c>
      <c r="B130" s="10" t="s">
        <v>743</v>
      </c>
      <c r="C130" s="10" t="s">
        <v>12</v>
      </c>
      <c r="D130" s="10" t="s">
        <v>84</v>
      </c>
      <c r="E130" s="11" t="b">
        <v>1</v>
      </c>
      <c r="F130" s="12">
        <v>43966</v>
      </c>
      <c r="G130" s="12">
        <v>43966.999999988424</v>
      </c>
      <c r="H130" s="13">
        <f>IF(F130="","",(Summary!$B$5-F130)/365.25)</f>
        <v>6.2176933369457767</v>
      </c>
      <c r="I130" s="14">
        <v>0</v>
      </c>
      <c r="J130" s="15">
        <v>0</v>
      </c>
      <c r="K130" s="16">
        <v>0</v>
      </c>
      <c r="L130" s="16">
        <v>0</v>
      </c>
      <c r="M130" s="17">
        <v>0</v>
      </c>
      <c r="N130" s="14">
        <v>0</v>
      </c>
      <c r="O130" s="14">
        <v>0</v>
      </c>
      <c r="P130" s="18" t="str">
        <f>IF(OR(N130="",O130="",N130=0,O130=0),"",(O130-N130)/((O130+N130)/2))</f>
        <v/>
      </c>
      <c r="Q130" s="14">
        <v>0</v>
      </c>
      <c r="R130" s="14">
        <v>0</v>
      </c>
      <c r="S130" s="14">
        <v>0</v>
      </c>
      <c r="T130" s="12">
        <v>46209.261123090277</v>
      </c>
      <c r="U130" s="12">
        <v>46210.261123090277</v>
      </c>
      <c r="V130" s="14">
        <v>10</v>
      </c>
      <c r="W130" s="14">
        <v>0.1</v>
      </c>
      <c r="X130" s="14">
        <v>0.1</v>
      </c>
      <c r="Y130" s="14">
        <v>1.0000000000000001E-5</v>
      </c>
      <c r="Z130" s="10" t="str">
        <f>IF(AND(D130="TRADING",I130&lt;&gt;"",L130&lt;&gt;"",M130&lt;&gt;"",N130&lt;&gt;"",O130&lt;&gt;""),"Yes","No")</f>
        <v>No</v>
      </c>
      <c r="AA130" s="10" t="s">
        <v>56</v>
      </c>
    </row>
    <row r="131" spans="1:27">
      <c r="A131" s="10" t="s">
        <v>802</v>
      </c>
      <c r="B131" s="10" t="s">
        <v>803</v>
      </c>
      <c r="C131" s="10" t="s">
        <v>12</v>
      </c>
      <c r="D131" s="10" t="s">
        <v>84</v>
      </c>
      <c r="E131" s="11" t="b">
        <v>1</v>
      </c>
      <c r="F131" s="12">
        <v>43987</v>
      </c>
      <c r="G131" s="12">
        <v>43987.999999988424</v>
      </c>
      <c r="H131" s="13">
        <f>IF(F131="","",(Summary!$B$5-F131)/365.25)</f>
        <v>6.1601984704160024</v>
      </c>
      <c r="I131" s="14">
        <v>4.0299999999999997E-3</v>
      </c>
      <c r="J131" s="15">
        <v>-9.4380000000000006E-2</v>
      </c>
      <c r="K131" s="16">
        <v>94397742.200000003</v>
      </c>
      <c r="L131" s="16">
        <v>414613.09911000001</v>
      </c>
      <c r="M131" s="17">
        <v>13090</v>
      </c>
      <c r="N131" s="14">
        <v>0</v>
      </c>
      <c r="O131" s="14">
        <v>0</v>
      </c>
      <c r="P131" s="18" t="str">
        <f>IF(OR(N131="",O131="",N131=0,O131=0),"",(O131-N131)/((O131+N131)/2))</f>
        <v/>
      </c>
      <c r="Q131" s="14">
        <v>4.3921899999999998E-3</v>
      </c>
      <c r="R131" s="14">
        <v>5.0099999999999997E-3</v>
      </c>
      <c r="S131" s="14">
        <v>3.6700000000000001E-3</v>
      </c>
      <c r="T131" s="12">
        <v>46209.261123090277</v>
      </c>
      <c r="U131" s="12">
        <v>46210.261123090277</v>
      </c>
      <c r="V131" s="14">
        <v>5</v>
      </c>
      <c r="W131" s="14">
        <v>0.1</v>
      </c>
      <c r="X131" s="14">
        <v>0.1</v>
      </c>
      <c r="Y131" s="14">
        <v>1.0000000000000001E-5</v>
      </c>
      <c r="Z131" s="10" t="str">
        <f>IF(AND(D131="TRADING",I131&lt;&gt;"",L131&lt;&gt;"",M131&lt;&gt;"",N131&lt;&gt;"",O131&lt;&gt;""),"Yes","No")</f>
        <v>No</v>
      </c>
      <c r="AA131" s="10" t="s">
        <v>56</v>
      </c>
    </row>
    <row r="132" spans="1:27">
      <c r="A132" s="10" t="s">
        <v>1171</v>
      </c>
      <c r="B132" s="10" t="s">
        <v>1172</v>
      </c>
      <c r="C132" s="10" t="s">
        <v>12</v>
      </c>
      <c r="D132" s="10" t="s">
        <v>84</v>
      </c>
      <c r="E132" s="11" t="b">
        <v>1</v>
      </c>
      <c r="F132" s="12">
        <v>43993</v>
      </c>
      <c r="G132" s="12">
        <v>43993.999999988424</v>
      </c>
      <c r="H132" s="13">
        <f>IF(F132="","",(Summary!$B$5-F132)/365.25)</f>
        <v>6.14377136569321</v>
      </c>
      <c r="I132" s="14">
        <v>4.5649999999999996E-3</v>
      </c>
      <c r="J132" s="15">
        <v>-1.9970000000000002E-2</v>
      </c>
      <c r="K132" s="16">
        <v>62904741</v>
      </c>
      <c r="L132" s="16">
        <v>290032.91153400001</v>
      </c>
      <c r="M132" s="17">
        <v>4001</v>
      </c>
      <c r="N132" s="14">
        <v>0</v>
      </c>
      <c r="O132" s="14">
        <v>0</v>
      </c>
      <c r="P132" s="18" t="str">
        <f>IF(OR(N132="",O132="",N132=0,O132=0),"",(O132-N132)/((O132+N132)/2))</f>
        <v/>
      </c>
      <c r="Q132" s="14">
        <v>4.6106699999999999E-3</v>
      </c>
      <c r="R132" s="14">
        <v>4.7670000000000004E-3</v>
      </c>
      <c r="S132" s="14">
        <v>4.3680000000000004E-3</v>
      </c>
      <c r="T132" s="12">
        <v>46209.261123090277</v>
      </c>
      <c r="U132" s="12">
        <v>46210.261123090277</v>
      </c>
      <c r="V132" s="14">
        <v>5</v>
      </c>
      <c r="W132" s="14">
        <v>1</v>
      </c>
      <c r="X132" s="14">
        <v>1</v>
      </c>
      <c r="Y132" s="14">
        <v>9.9999999999999995E-7</v>
      </c>
      <c r="Z132" s="10" t="str">
        <f>IF(AND(D132="TRADING",I132&lt;&gt;"",L132&lt;&gt;"",M132&lt;&gt;"",N132&lt;&gt;"",O132&lt;&gt;""),"Yes","No")</f>
        <v>No</v>
      </c>
      <c r="AA132" s="10" t="s">
        <v>56</v>
      </c>
    </row>
    <row r="133" spans="1:27">
      <c r="A133" s="10" t="s">
        <v>726</v>
      </c>
      <c r="B133" s="10" t="s">
        <v>727</v>
      </c>
      <c r="C133" s="10" t="s">
        <v>12</v>
      </c>
      <c r="D133" s="10" t="s">
        <v>55</v>
      </c>
      <c r="E133" s="11" t="b">
        <v>1</v>
      </c>
      <c r="F133" s="12">
        <v>43994</v>
      </c>
      <c r="G133" s="12">
        <v>43994.999999988424</v>
      </c>
      <c r="H133" s="13">
        <f>IF(F133="","",(Summary!$B$5-F133)/365.25)</f>
        <v>6.141033514906078</v>
      </c>
      <c r="I133" s="14">
        <v>0.1031</v>
      </c>
      <c r="J133" s="15">
        <v>0</v>
      </c>
      <c r="K133" s="16">
        <v>263747.09999999998</v>
      </c>
      <c r="L133" s="16">
        <v>27286.072240000001</v>
      </c>
      <c r="M133" s="17">
        <v>298</v>
      </c>
      <c r="N133" s="14">
        <v>0.1027</v>
      </c>
      <c r="O133" s="14">
        <v>0.10290000000000001</v>
      </c>
      <c r="P133" s="18">
        <f>IF(OR(N133="",O133="",N133=0,O133=0),"",(O133-N133)/((O133+N133)/2))</f>
        <v>1.9455252918288495E-3</v>
      </c>
      <c r="Q133" s="14">
        <v>0.10345544</v>
      </c>
      <c r="R133" s="14">
        <v>0.10440000000000001</v>
      </c>
      <c r="S133" s="14">
        <v>0.1023</v>
      </c>
      <c r="T133" s="12">
        <v>46236.012018148147</v>
      </c>
      <c r="U133" s="12">
        <v>46237.012018148147</v>
      </c>
      <c r="V133" s="14">
        <v>5</v>
      </c>
      <c r="W133" s="14">
        <v>0.1</v>
      </c>
      <c r="X133" s="14">
        <v>0.1</v>
      </c>
      <c r="Y133" s="14">
        <v>1E-4</v>
      </c>
      <c r="Z133" s="10" t="str">
        <f>IF(AND(D133="TRADING",I133&lt;&gt;"",L133&lt;&gt;"",M133&lt;&gt;"",N133&lt;&gt;"",O133&lt;&gt;""),"Yes","No")</f>
        <v>Yes</v>
      </c>
      <c r="AA133" s="10" t="s">
        <v>56</v>
      </c>
    </row>
    <row r="134" spans="1:27">
      <c r="A134" s="10" t="s">
        <v>766</v>
      </c>
      <c r="B134" s="10" t="s">
        <v>767</v>
      </c>
      <c r="C134" s="10" t="s">
        <v>12</v>
      </c>
      <c r="D134" s="10" t="s">
        <v>84</v>
      </c>
      <c r="E134" s="11" t="b">
        <v>1</v>
      </c>
      <c r="F134" s="12">
        <v>43994</v>
      </c>
      <c r="G134" s="12">
        <v>43994.999999988424</v>
      </c>
      <c r="H134" s="13">
        <f>IF(F134="","",(Summary!$B$5-F134)/365.25)</f>
        <v>6.141033514906078</v>
      </c>
      <c r="I134" s="14">
        <v>1.8790000000000001E-2</v>
      </c>
      <c r="J134" s="15">
        <v>-6.2380000000000005E-2</v>
      </c>
      <c r="K134" s="16">
        <v>145220144</v>
      </c>
      <c r="L134" s="16">
        <v>2891184.21049</v>
      </c>
      <c r="M134" s="17">
        <v>64006</v>
      </c>
      <c r="N134" s="14">
        <v>0</v>
      </c>
      <c r="O134" s="14">
        <v>0</v>
      </c>
      <c r="P134" s="18" t="str">
        <f>IF(OR(N134="",O134="",N134=0,O134=0),"",(O134-N134)/((O134+N134)/2))</f>
        <v/>
      </c>
      <c r="Q134" s="14">
        <v>1.9908970000000002E-2</v>
      </c>
      <c r="R134" s="14">
        <v>2.1999999999999999E-2</v>
      </c>
      <c r="S134" s="14">
        <v>1.83E-2</v>
      </c>
      <c r="T134" s="12">
        <v>46209.261123090277</v>
      </c>
      <c r="U134" s="12">
        <v>46210.261123090277</v>
      </c>
      <c r="V134" s="14">
        <v>5</v>
      </c>
      <c r="W134" s="14">
        <v>1</v>
      </c>
      <c r="X134" s="14">
        <v>1</v>
      </c>
      <c r="Y134" s="14">
        <v>1.0000000000000001E-5</v>
      </c>
      <c r="Z134" s="10" t="str">
        <f>IF(AND(D134="TRADING",I134&lt;&gt;"",L134&lt;&gt;"",M134&lt;&gt;"",N134&lt;&gt;"",O134&lt;&gt;""),"Yes","No")</f>
        <v>No</v>
      </c>
      <c r="AA134" s="10" t="s">
        <v>56</v>
      </c>
    </row>
    <row r="135" spans="1:27">
      <c r="A135" s="10" t="s">
        <v>1060</v>
      </c>
      <c r="B135" s="10" t="s">
        <v>1061</v>
      </c>
      <c r="C135" s="10" t="s">
        <v>12</v>
      </c>
      <c r="D135" s="10" t="s">
        <v>84</v>
      </c>
      <c r="E135" s="11" t="b">
        <v>1</v>
      </c>
      <c r="F135" s="12">
        <v>43994</v>
      </c>
      <c r="G135" s="12">
        <v>43994.999999988424</v>
      </c>
      <c r="H135" s="13">
        <f>IF(F135="","",(Summary!$B$5-F135)/365.25)</f>
        <v>6.141033514906078</v>
      </c>
      <c r="I135" s="14">
        <v>4.7300000000000004</v>
      </c>
      <c r="J135" s="15">
        <v>-8.3899999999999999E-3</v>
      </c>
      <c r="K135" s="16">
        <v>99565.06</v>
      </c>
      <c r="L135" s="16">
        <v>473556.1177</v>
      </c>
      <c r="M135" s="17">
        <v>4000</v>
      </c>
      <c r="N135" s="14">
        <v>0</v>
      </c>
      <c r="O135" s="14">
        <v>0</v>
      </c>
      <c r="P135" s="18" t="str">
        <f>IF(OR(N135="",O135="",N135=0,O135=0),"",(O135-N135)/((O135+N135)/2))</f>
        <v/>
      </c>
      <c r="Q135" s="14">
        <v>4.7562480000000003</v>
      </c>
      <c r="R135" s="14">
        <v>4.93</v>
      </c>
      <c r="S135" s="14">
        <v>4.45</v>
      </c>
      <c r="T135" s="12">
        <v>46209.261123090277</v>
      </c>
      <c r="U135" s="12">
        <v>46210.261123090277</v>
      </c>
      <c r="V135" s="14">
        <v>10</v>
      </c>
      <c r="W135" s="14">
        <v>0.01</v>
      </c>
      <c r="X135" s="14">
        <v>0.01</v>
      </c>
      <c r="Y135" s="14">
        <v>0.01</v>
      </c>
      <c r="Z135" s="10" t="str">
        <f>IF(AND(D135="TRADING",I135&lt;&gt;"",L135&lt;&gt;"",M135&lt;&gt;"",N135&lt;&gt;"",O135&lt;&gt;""),"Yes","No")</f>
        <v>No</v>
      </c>
      <c r="AA135" s="10" t="s">
        <v>56</v>
      </c>
    </row>
    <row r="136" spans="1:27">
      <c r="A136" s="10" t="s">
        <v>986</v>
      </c>
      <c r="B136" s="10" t="s">
        <v>987</v>
      </c>
      <c r="C136" s="10" t="s">
        <v>12</v>
      </c>
      <c r="D136" s="10" t="s">
        <v>84</v>
      </c>
      <c r="E136" s="11" t="b">
        <v>1</v>
      </c>
      <c r="F136" s="12">
        <v>44004</v>
      </c>
      <c r="G136" s="12">
        <v>44004.999999988424</v>
      </c>
      <c r="H136" s="13">
        <f>IF(F136="","",(Summary!$B$5-F136)/365.25)</f>
        <v>6.1136550070347573</v>
      </c>
      <c r="I136" s="14">
        <v>3.5000000000000003E-2</v>
      </c>
      <c r="J136" s="15">
        <v>0.45228000000000002</v>
      </c>
      <c r="K136" s="16">
        <v>10778397</v>
      </c>
      <c r="L136" s="16">
        <v>261845.06210000001</v>
      </c>
      <c r="M136" s="17">
        <v>4001</v>
      </c>
      <c r="N136" s="14">
        <v>0</v>
      </c>
      <c r="O136" s="14">
        <v>0</v>
      </c>
      <c r="P136" s="18" t="str">
        <f>IF(OR(N136="",O136="",N136=0,O136=0),"",(O136-N136)/((O136+N136)/2))</f>
        <v/>
      </c>
      <c r="Q136" s="14">
        <v>2.4293510000000001E-2</v>
      </c>
      <c r="R136" s="14">
        <v>3.5000000000000003E-2</v>
      </c>
      <c r="S136" s="14">
        <v>2.1499999999999998E-2</v>
      </c>
      <c r="T136" s="12">
        <v>46209.261123090277</v>
      </c>
      <c r="U136" s="12">
        <v>46210.261123090277</v>
      </c>
      <c r="V136" s="14">
        <v>5</v>
      </c>
      <c r="W136" s="14">
        <v>1</v>
      </c>
      <c r="X136" s="14">
        <v>1</v>
      </c>
      <c r="Y136" s="14">
        <v>1E-4</v>
      </c>
      <c r="Z136" s="10" t="str">
        <f>IF(AND(D136="TRADING",I136&lt;&gt;"",L136&lt;&gt;"",M136&lt;&gt;"",N136&lt;&gt;"",O136&lt;&gt;""),"Yes","No")</f>
        <v>No</v>
      </c>
      <c r="AA136" s="10" t="s">
        <v>56</v>
      </c>
    </row>
    <row r="137" spans="1:27">
      <c r="A137" s="10" t="s">
        <v>377</v>
      </c>
      <c r="B137" s="10" t="s">
        <v>378</v>
      </c>
      <c r="C137" s="10" t="s">
        <v>12</v>
      </c>
      <c r="D137" s="10" t="s">
        <v>55</v>
      </c>
      <c r="E137" s="11" t="b">
        <v>1</v>
      </c>
      <c r="F137" s="12">
        <v>44007</v>
      </c>
      <c r="G137" s="12">
        <v>44007.999999988424</v>
      </c>
      <c r="H137" s="13">
        <f>IF(F137="","",(Summary!$B$5-F137)/365.25)</f>
        <v>6.1054414546733602</v>
      </c>
      <c r="I137" s="14">
        <v>16.440000000000001</v>
      </c>
      <c r="J137" s="15">
        <v>-4.2399999999999998E-3</v>
      </c>
      <c r="K137" s="16">
        <v>11692.284</v>
      </c>
      <c r="L137" s="16">
        <v>193066.75292</v>
      </c>
      <c r="M137" s="17">
        <v>1797</v>
      </c>
      <c r="N137" s="14">
        <v>16.440000000000001</v>
      </c>
      <c r="O137" s="14">
        <v>16.45</v>
      </c>
      <c r="P137" s="18">
        <f>IF(OR(N137="",O137="",N137=0,O137=0),"",(O137-N137)/((O137+N137)/2))</f>
        <v>6.0808756460918275E-4</v>
      </c>
      <c r="Q137" s="14">
        <v>16.512321539999999</v>
      </c>
      <c r="R137" s="14">
        <v>16.670000000000002</v>
      </c>
      <c r="S137" s="14">
        <v>16.34</v>
      </c>
      <c r="T137" s="12">
        <v>46236.011053182869</v>
      </c>
      <c r="U137" s="12">
        <v>46237.011053182869</v>
      </c>
      <c r="V137" s="14">
        <v>5</v>
      </c>
      <c r="W137" s="14">
        <v>1E-3</v>
      </c>
      <c r="X137" s="14">
        <v>1E-3</v>
      </c>
      <c r="Y137" s="14">
        <v>0.01</v>
      </c>
      <c r="Z137" s="10" t="str">
        <f>IF(AND(D137="TRADING",I137&lt;&gt;"",L137&lt;&gt;"",M137&lt;&gt;"",N137&lt;&gt;"",O137&lt;&gt;""),"Yes","No")</f>
        <v>Yes</v>
      </c>
      <c r="AA137" s="10" t="s">
        <v>56</v>
      </c>
    </row>
    <row r="138" spans="1:27">
      <c r="A138" s="10" t="s">
        <v>287</v>
      </c>
      <c r="B138" s="10" t="s">
        <v>288</v>
      </c>
      <c r="C138" s="10" t="s">
        <v>12</v>
      </c>
      <c r="D138" s="10" t="s">
        <v>84</v>
      </c>
      <c r="E138" s="11" t="b">
        <v>1</v>
      </c>
      <c r="F138" s="12">
        <v>44018</v>
      </c>
      <c r="G138" s="12">
        <v>44018.999999988424</v>
      </c>
      <c r="H138" s="13">
        <f>IF(F138="","",(Summary!$B$5-F138)/365.25)</f>
        <v>6.0753250960149074</v>
      </c>
      <c r="I138" s="14">
        <v>0</v>
      </c>
      <c r="J138" s="15">
        <v>0</v>
      </c>
      <c r="K138" s="16">
        <v>0</v>
      </c>
      <c r="L138" s="16">
        <v>0</v>
      </c>
      <c r="M138" s="17">
        <v>0</v>
      </c>
      <c r="N138" s="14">
        <v>0</v>
      </c>
      <c r="O138" s="14">
        <v>0</v>
      </c>
      <c r="P138" s="18" t="str">
        <f>IF(OR(N138="",O138="",N138=0,O138=0),"",(O138-N138)/((O138+N138)/2))</f>
        <v/>
      </c>
      <c r="Q138" s="14">
        <v>0</v>
      </c>
      <c r="R138" s="14">
        <v>0</v>
      </c>
      <c r="S138" s="14">
        <v>0</v>
      </c>
      <c r="T138" s="12">
        <v>46209.261123090277</v>
      </c>
      <c r="U138" s="12">
        <v>46210.261123090277</v>
      </c>
      <c r="V138" s="14">
        <v>10</v>
      </c>
      <c r="W138" s="14">
        <v>1</v>
      </c>
      <c r="X138" s="14">
        <v>1</v>
      </c>
      <c r="Y138" s="14">
        <v>9.9999999999999995E-8</v>
      </c>
      <c r="Z138" s="10" t="str">
        <f>IF(AND(D138="TRADING",I138&lt;&gt;"",L138&lt;&gt;"",M138&lt;&gt;"",N138&lt;&gt;"",O138&lt;&gt;""),"Yes","No")</f>
        <v>No</v>
      </c>
      <c r="AA138" s="10" t="s">
        <v>56</v>
      </c>
    </row>
    <row r="139" spans="1:27">
      <c r="A139" s="10" t="s">
        <v>1110</v>
      </c>
      <c r="B139" s="10" t="s">
        <v>1111</v>
      </c>
      <c r="C139" s="10" t="s">
        <v>12</v>
      </c>
      <c r="D139" s="10" t="s">
        <v>55</v>
      </c>
      <c r="E139" s="11" t="b">
        <v>1</v>
      </c>
      <c r="F139" s="12">
        <v>44018</v>
      </c>
      <c r="G139" s="12">
        <v>44018.999999988424</v>
      </c>
      <c r="H139" s="13">
        <f>IF(F139="","",(Summary!$B$5-F139)/365.25)</f>
        <v>6.0753250960149074</v>
      </c>
      <c r="I139" s="14">
        <v>5.0699999999999996E-4</v>
      </c>
      <c r="J139" s="15">
        <v>1.1979999999999999E-2</v>
      </c>
      <c r="K139" s="16">
        <v>117032569</v>
      </c>
      <c r="L139" s="16">
        <v>59019.782477000001</v>
      </c>
      <c r="M139" s="17">
        <v>1872</v>
      </c>
      <c r="N139" s="14">
        <v>5.0600000000000005E-4</v>
      </c>
      <c r="O139" s="14">
        <v>5.0699999999999996E-4</v>
      </c>
      <c r="P139" s="18">
        <f>IF(OR(N139="",O139="",N139=0,O139=0),"",(O139-N139)/((O139+N139)/2))</f>
        <v>1.9743336623887775E-3</v>
      </c>
      <c r="Q139" s="14">
        <v>5.0429999999999995E-4</v>
      </c>
      <c r="R139" s="14">
        <v>5.13E-4</v>
      </c>
      <c r="S139" s="14">
        <v>4.9899999999999999E-4</v>
      </c>
      <c r="T139" s="12">
        <v>46236.012480486112</v>
      </c>
      <c r="U139" s="12">
        <v>46237.012480486112</v>
      </c>
      <c r="V139" s="14">
        <v>5</v>
      </c>
      <c r="W139" s="14">
        <v>1</v>
      </c>
      <c r="X139" s="14">
        <v>1</v>
      </c>
      <c r="Y139" s="14">
        <v>9.9999999999999995E-7</v>
      </c>
      <c r="Z139" s="10" t="str">
        <f>IF(AND(D139="TRADING",I139&lt;&gt;"",L139&lt;&gt;"",M139&lt;&gt;"",N139&lt;&gt;"",O139&lt;&gt;""),"Yes","No")</f>
        <v>Yes</v>
      </c>
      <c r="AA139" s="10" t="s">
        <v>56</v>
      </c>
    </row>
    <row r="140" spans="1:27">
      <c r="A140" s="10" t="s">
        <v>1411</v>
      </c>
      <c r="B140" s="10" t="s">
        <v>1412</v>
      </c>
      <c r="C140" s="10" t="s">
        <v>12</v>
      </c>
      <c r="D140" s="10" t="s">
        <v>55</v>
      </c>
      <c r="E140" s="11" t="b">
        <v>1</v>
      </c>
      <c r="F140" s="12">
        <v>44018</v>
      </c>
      <c r="G140" s="12">
        <v>44018.999999988424</v>
      </c>
      <c r="H140" s="13">
        <f>IF(F140="","",(Summary!$B$5-F140)/365.25)</f>
        <v>6.0753250960149074</v>
      </c>
      <c r="I140" s="14">
        <v>4.1609999999999996</v>
      </c>
      <c r="J140" s="15">
        <v>4.233E-2</v>
      </c>
      <c r="K140" s="16">
        <v>336072.15</v>
      </c>
      <c r="L140" s="16">
        <v>1378865.85589</v>
      </c>
      <c r="M140" s="17">
        <v>20819</v>
      </c>
      <c r="N140" s="14">
        <v>4.1639999999999997</v>
      </c>
      <c r="O140" s="14">
        <v>4.1660000000000004</v>
      </c>
      <c r="P140" s="18">
        <f>IF(OR(N140="",O140="",N140=0,O140=0),"",(O140-N140)/((O140+N140)/2))</f>
        <v>4.8019207683089267E-4</v>
      </c>
      <c r="Q140" s="14">
        <v>4.10288641</v>
      </c>
      <c r="R140" s="14">
        <v>4.21</v>
      </c>
      <c r="S140" s="14">
        <v>3.9630000000000001</v>
      </c>
      <c r="T140" s="12">
        <v>46236.01248135417</v>
      </c>
      <c r="U140" s="12">
        <v>46237.01248135417</v>
      </c>
      <c r="V140" s="14">
        <v>5</v>
      </c>
      <c r="W140" s="14">
        <v>0.01</v>
      </c>
      <c r="X140" s="14">
        <v>0.01</v>
      </c>
      <c r="Y140" s="14">
        <v>1E-3</v>
      </c>
      <c r="Z140" s="10" t="str">
        <f>IF(AND(D140="TRADING",I140&lt;&gt;"",L140&lt;&gt;"",M140&lt;&gt;"",N140&lt;&gt;"",O140&lt;&gt;""),"Yes","No")</f>
        <v>Yes</v>
      </c>
      <c r="AA140" s="10" t="s">
        <v>56</v>
      </c>
    </row>
    <row r="141" spans="1:27">
      <c r="A141" s="10" t="s">
        <v>1140</v>
      </c>
      <c r="B141" s="10" t="s">
        <v>1141</v>
      </c>
      <c r="C141" s="10" t="s">
        <v>12</v>
      </c>
      <c r="D141" s="10" t="s">
        <v>55</v>
      </c>
      <c r="E141" s="11" t="b">
        <v>1</v>
      </c>
      <c r="F141" s="12">
        <v>44021</v>
      </c>
      <c r="G141" s="12">
        <v>44021.999999988424</v>
      </c>
      <c r="H141" s="13">
        <f>IF(F141="","",(Summary!$B$5-F141)/365.25)</f>
        <v>6.0671115436535112</v>
      </c>
      <c r="I141" s="14">
        <v>0.21099999999999999</v>
      </c>
      <c r="J141" s="15">
        <v>-4.7199999999999994E-3</v>
      </c>
      <c r="K141" s="16">
        <v>2297358.5</v>
      </c>
      <c r="L141" s="16">
        <v>488563.03490000003</v>
      </c>
      <c r="M141" s="17">
        <v>2827</v>
      </c>
      <c r="N141" s="14">
        <v>0.21</v>
      </c>
      <c r="O141" s="14">
        <v>0.21099999999999999</v>
      </c>
      <c r="P141" s="18">
        <f>IF(OR(N141="",O141="",N141=0,O141=0),"",(O141-N141)/((O141+N141)/2))</f>
        <v>4.7505938242280331E-3</v>
      </c>
      <c r="Q141" s="14">
        <v>0.21266294999999999</v>
      </c>
      <c r="R141" s="14">
        <v>0.216</v>
      </c>
      <c r="S141" s="14">
        <v>0.20899999999999999</v>
      </c>
      <c r="T141" s="12">
        <v>46236.012478842589</v>
      </c>
      <c r="U141" s="12">
        <v>46237.012478842589</v>
      </c>
      <c r="V141" s="14">
        <v>5</v>
      </c>
      <c r="W141" s="14">
        <v>0.1</v>
      </c>
      <c r="X141" s="14">
        <v>0.1</v>
      </c>
      <c r="Y141" s="14">
        <v>1E-3</v>
      </c>
      <c r="Z141" s="10" t="str">
        <f>IF(AND(D141="TRADING",I141&lt;&gt;"",L141&lt;&gt;"",M141&lt;&gt;"",N141&lt;&gt;"",O141&lt;&gt;""),"Yes","No")</f>
        <v>Yes</v>
      </c>
      <c r="AA141" s="10" t="s">
        <v>56</v>
      </c>
    </row>
    <row r="142" spans="1:27">
      <c r="A142" s="10" t="s">
        <v>1327</v>
      </c>
      <c r="B142" s="10" t="s">
        <v>1328</v>
      </c>
      <c r="C142" s="10" t="s">
        <v>12</v>
      </c>
      <c r="D142" s="10" t="s">
        <v>55</v>
      </c>
      <c r="E142" s="11" t="b">
        <v>1</v>
      </c>
      <c r="F142" s="12">
        <v>44029</v>
      </c>
      <c r="G142" s="12">
        <v>44029.999999988424</v>
      </c>
      <c r="H142" s="13">
        <f>IF(F142="","",(Summary!$B$5-F142)/365.25)</f>
        <v>6.0452087373564547</v>
      </c>
      <c r="I142" s="14">
        <v>3.3199999999999999E-4</v>
      </c>
      <c r="J142" s="15">
        <v>3.0200000000000001E-3</v>
      </c>
      <c r="K142" s="16">
        <v>114832367</v>
      </c>
      <c r="L142" s="16">
        <v>38184.700402000002</v>
      </c>
      <c r="M142" s="17">
        <v>780</v>
      </c>
      <c r="N142" s="14">
        <v>3.3100000000000002E-4</v>
      </c>
      <c r="O142" s="14">
        <v>3.3199999999999999E-4</v>
      </c>
      <c r="P142" s="18">
        <f>IF(OR(N142="",O142="",N142=0,O142=0),"",(O142-N142)/((O142+N142)/2))</f>
        <v>3.0165912518852795E-3</v>
      </c>
      <c r="Q142" s="14">
        <v>3.3252999999999999E-4</v>
      </c>
      <c r="R142" s="14">
        <v>3.3599999999999998E-4</v>
      </c>
      <c r="S142" s="14">
        <v>3.3100000000000002E-4</v>
      </c>
      <c r="T142" s="12">
        <v>46236.011831956021</v>
      </c>
      <c r="U142" s="12">
        <v>46237.011831956021</v>
      </c>
      <c r="V142" s="14">
        <v>1</v>
      </c>
      <c r="W142" s="14">
        <v>1</v>
      </c>
      <c r="X142" s="14">
        <v>1</v>
      </c>
      <c r="Y142" s="14">
        <v>9.9999999999999995E-7</v>
      </c>
      <c r="Z142" s="10" t="str">
        <f>IF(AND(D142="TRADING",I142&lt;&gt;"",L142&lt;&gt;"",M142&lt;&gt;"",N142&lt;&gt;"",O142&lt;&gt;""),"Yes","No")</f>
        <v>Yes</v>
      </c>
      <c r="AA142" s="10" t="s">
        <v>56</v>
      </c>
    </row>
    <row r="143" spans="1:27">
      <c r="A143" s="10" t="s">
        <v>431</v>
      </c>
      <c r="B143" s="10" t="s">
        <v>432</v>
      </c>
      <c r="C143" s="10" t="s">
        <v>12</v>
      </c>
      <c r="D143" s="10" t="s">
        <v>55</v>
      </c>
      <c r="E143" s="11" t="b">
        <v>1</v>
      </c>
      <c r="F143" s="12">
        <v>44032</v>
      </c>
      <c r="G143" s="12">
        <v>44032.999999988424</v>
      </c>
      <c r="H143" s="13">
        <f>IF(F143="","",(Summary!$B$5-F143)/365.25)</f>
        <v>6.0369951849950585</v>
      </c>
      <c r="I143" s="14">
        <v>3.8E-3</v>
      </c>
      <c r="J143" s="15">
        <v>-2.0619999999999999E-2</v>
      </c>
      <c r="K143" s="16">
        <v>35845941.5</v>
      </c>
      <c r="L143" s="16">
        <v>135183.58212400001</v>
      </c>
      <c r="M143" s="17">
        <v>2665</v>
      </c>
      <c r="N143" s="14">
        <v>3.7799999999999999E-3</v>
      </c>
      <c r="O143" s="14">
        <v>3.79E-3</v>
      </c>
      <c r="P143" s="18">
        <f>IF(OR(N143="",O143="",N143=0,O143=0),"",(O143-N143)/((O143+N143)/2))</f>
        <v>2.642007926023785E-3</v>
      </c>
      <c r="Q143" s="14">
        <v>3.7712399999999999E-3</v>
      </c>
      <c r="R143" s="14">
        <v>3.8899999999999998E-3</v>
      </c>
      <c r="S143" s="14">
        <v>3.7000000000000002E-3</v>
      </c>
      <c r="T143" s="12">
        <v>46236.011664131947</v>
      </c>
      <c r="U143" s="12">
        <v>46237.011664131947</v>
      </c>
      <c r="V143" s="14">
        <v>5</v>
      </c>
      <c r="W143" s="14">
        <v>0.1</v>
      </c>
      <c r="X143" s="14">
        <v>0.1</v>
      </c>
      <c r="Y143" s="14">
        <v>1.0000000000000001E-5</v>
      </c>
      <c r="Z143" s="10" t="str">
        <f>IF(AND(D143="TRADING",I143&lt;&gt;"",L143&lt;&gt;"",M143&lt;&gt;"",N143&lt;&gt;"",O143&lt;&gt;""),"Yes","No")</f>
        <v>Yes</v>
      </c>
      <c r="AA143" s="10" t="s">
        <v>56</v>
      </c>
    </row>
    <row r="144" spans="1:27">
      <c r="A144" s="10" t="s">
        <v>572</v>
      </c>
      <c r="B144" s="10" t="s">
        <v>573</v>
      </c>
      <c r="C144" s="10" t="s">
        <v>12</v>
      </c>
      <c r="D144" s="10" t="s">
        <v>84</v>
      </c>
      <c r="E144" s="11" t="b">
        <v>1</v>
      </c>
      <c r="F144" s="12">
        <v>44032</v>
      </c>
      <c r="G144" s="12">
        <v>44032.999999988424</v>
      </c>
      <c r="H144" s="13">
        <f>IF(F144="","",(Summary!$B$5-F144)/365.25)</f>
        <v>6.0369951849950585</v>
      </c>
      <c r="I144" s="14">
        <v>1.18</v>
      </c>
      <c r="J144" s="15">
        <v>-5.8999999999999999E-3</v>
      </c>
      <c r="K144" s="16">
        <v>180121</v>
      </c>
      <c r="L144" s="16">
        <v>213136.96660000001</v>
      </c>
      <c r="M144" s="17">
        <v>4001</v>
      </c>
      <c r="N144" s="14">
        <v>0</v>
      </c>
      <c r="O144" s="14">
        <v>0</v>
      </c>
      <c r="P144" s="18" t="str">
        <f>IF(OR(N144="",O144="",N144=0,O144=0),"",(O144-N144)/((O144+N144)/2))</f>
        <v/>
      </c>
      <c r="Q144" s="14">
        <v>1.1832988200000001</v>
      </c>
      <c r="R144" s="14">
        <v>1.208</v>
      </c>
      <c r="S144" s="14">
        <v>1.1619999999999999</v>
      </c>
      <c r="T144" s="12">
        <v>46209.261123090277</v>
      </c>
      <c r="U144" s="12">
        <v>46210.261123090277</v>
      </c>
      <c r="V144" s="14">
        <v>5</v>
      </c>
      <c r="W144" s="14">
        <v>0.1</v>
      </c>
      <c r="X144" s="14">
        <v>0.1</v>
      </c>
      <c r="Y144" s="14">
        <v>1E-3</v>
      </c>
      <c r="Z144" s="10" t="str">
        <f>IF(AND(D144="TRADING",I144&lt;&gt;"",L144&lt;&gt;"",M144&lt;&gt;"",N144&lt;&gt;"",O144&lt;&gt;""),"Yes","No")</f>
        <v>No</v>
      </c>
      <c r="AA144" s="10" t="s">
        <v>56</v>
      </c>
    </row>
    <row r="145" spans="1:27">
      <c r="A145" s="10" t="s">
        <v>1201</v>
      </c>
      <c r="B145" s="10" t="s">
        <v>1202</v>
      </c>
      <c r="C145" s="10" t="s">
        <v>12</v>
      </c>
      <c r="D145" s="10" t="s">
        <v>84</v>
      </c>
      <c r="E145" s="11" t="b">
        <v>1</v>
      </c>
      <c r="F145" s="12">
        <v>44032</v>
      </c>
      <c r="G145" s="12">
        <v>44032.999999988424</v>
      </c>
      <c r="H145" s="13">
        <f>IF(F145="","",(Summary!$B$5-F145)/365.25)</f>
        <v>6.0369951849950585</v>
      </c>
      <c r="I145" s="14">
        <v>2.2000000000000001E-3</v>
      </c>
      <c r="J145" s="15">
        <v>-0.45</v>
      </c>
      <c r="K145" s="16">
        <v>260225225.69999999</v>
      </c>
      <c r="L145" s="16">
        <v>829784.86163000006</v>
      </c>
      <c r="M145" s="17">
        <v>8496</v>
      </c>
      <c r="N145" s="14">
        <v>0</v>
      </c>
      <c r="O145" s="14">
        <v>0</v>
      </c>
      <c r="P145" s="18" t="str">
        <f>IF(OR(N145="",O145="",N145=0,O145=0),"",(O145-N145)/((O145+N145)/2))</f>
        <v/>
      </c>
      <c r="Q145" s="14">
        <v>3.1887199999999999E-3</v>
      </c>
      <c r="R145" s="14">
        <v>4.1999999999999997E-3</v>
      </c>
      <c r="S145" s="14">
        <v>1.9E-3</v>
      </c>
      <c r="T145" s="12">
        <v>46209.261123090277</v>
      </c>
      <c r="U145" s="12">
        <v>46210.261123090277</v>
      </c>
      <c r="V145" s="14">
        <v>5</v>
      </c>
      <c r="W145" s="14">
        <v>0.1</v>
      </c>
      <c r="X145" s="14">
        <v>0.1</v>
      </c>
      <c r="Y145" s="14">
        <v>1E-4</v>
      </c>
      <c r="Z145" s="10" t="str">
        <f>IF(AND(D145="TRADING",I145&lt;&gt;"",L145&lt;&gt;"",M145&lt;&gt;"",N145&lt;&gt;"",O145&lt;&gt;""),"Yes","No")</f>
        <v>No</v>
      </c>
      <c r="AA145" s="10" t="s">
        <v>56</v>
      </c>
    </row>
    <row r="146" spans="1:27">
      <c r="A146" s="10" t="s">
        <v>411</v>
      </c>
      <c r="B146" s="10" t="s">
        <v>412</v>
      </c>
      <c r="C146" s="10" t="s">
        <v>12</v>
      </c>
      <c r="D146" s="10" t="s">
        <v>84</v>
      </c>
      <c r="E146" s="11" t="b">
        <v>1</v>
      </c>
      <c r="F146" s="12">
        <v>44035</v>
      </c>
      <c r="G146" s="12">
        <v>44035.999999988424</v>
      </c>
      <c r="H146" s="13">
        <f>IF(F146="","",(Summary!$B$5-F146)/365.25)</f>
        <v>6.0287816326336614</v>
      </c>
      <c r="I146" s="14">
        <v>0</v>
      </c>
      <c r="J146" s="15">
        <v>0</v>
      </c>
      <c r="K146" s="16">
        <v>0</v>
      </c>
      <c r="L146" s="16">
        <v>0</v>
      </c>
      <c r="M146" s="17">
        <v>0</v>
      </c>
      <c r="N146" s="14">
        <v>0</v>
      </c>
      <c r="O146" s="14">
        <v>0</v>
      </c>
      <c r="P146" s="18" t="str">
        <f>IF(OR(N146="",O146="",N146=0,O146=0),"",(O146-N146)/((O146+N146)/2))</f>
        <v/>
      </c>
      <c r="Q146" s="14">
        <v>0</v>
      </c>
      <c r="R146" s="14">
        <v>0</v>
      </c>
      <c r="S146" s="14">
        <v>0</v>
      </c>
      <c r="T146" s="12">
        <v>46209.261123090277</v>
      </c>
      <c r="U146" s="12">
        <v>46210.261123090277</v>
      </c>
      <c r="V146" s="14">
        <v>10</v>
      </c>
      <c r="W146" s="14">
        <v>0.01</v>
      </c>
      <c r="X146" s="14">
        <v>0.01</v>
      </c>
      <c r="Y146" s="14">
        <v>1E-4</v>
      </c>
      <c r="Z146" s="10" t="str">
        <f>IF(AND(D146="TRADING",I146&lt;&gt;"",L146&lt;&gt;"",M146&lt;&gt;"",N146&lt;&gt;"",O146&lt;&gt;""),"Yes","No")</f>
        <v>No</v>
      </c>
      <c r="AA146" s="10" t="s">
        <v>56</v>
      </c>
    </row>
    <row r="147" spans="1:27">
      <c r="A147" s="10" t="s">
        <v>830</v>
      </c>
      <c r="B147" s="10" t="s">
        <v>831</v>
      </c>
      <c r="C147" s="10" t="s">
        <v>12</v>
      </c>
      <c r="D147" s="10" t="s">
        <v>84</v>
      </c>
      <c r="E147" s="11" t="b">
        <v>1</v>
      </c>
      <c r="F147" s="12">
        <v>44035</v>
      </c>
      <c r="G147" s="12">
        <v>44035.999999988424</v>
      </c>
      <c r="H147" s="13">
        <f>IF(F147="","",(Summary!$B$5-F147)/365.25)</f>
        <v>6.0287816326336614</v>
      </c>
      <c r="I147" s="14">
        <v>1813.7</v>
      </c>
      <c r="J147" s="15">
        <v>7.6100000000000004E-3</v>
      </c>
      <c r="K147" s="16">
        <v>244.1798</v>
      </c>
      <c r="L147" s="16">
        <v>440708.83626000001</v>
      </c>
      <c r="M147" s="17">
        <v>4001</v>
      </c>
      <c r="N147" s="14">
        <v>0</v>
      </c>
      <c r="O147" s="14">
        <v>0</v>
      </c>
      <c r="P147" s="18" t="str">
        <f>IF(OR(N147="",O147="",N147=0,O147=0),"",(O147-N147)/((O147+N147)/2))</f>
        <v/>
      </c>
      <c r="Q147" s="14">
        <v>1804.85378504</v>
      </c>
      <c r="R147" s="14">
        <v>1830</v>
      </c>
      <c r="S147" s="14">
        <v>1780.6</v>
      </c>
      <c r="T147" s="12">
        <v>46209.261123090277</v>
      </c>
      <c r="U147" s="12">
        <v>46210.261123090277</v>
      </c>
      <c r="V147" s="14">
        <v>5</v>
      </c>
      <c r="W147" s="14">
        <v>1E-4</v>
      </c>
      <c r="X147" s="14">
        <v>1E-4</v>
      </c>
      <c r="Y147" s="14">
        <v>0.1</v>
      </c>
      <c r="Z147" s="10" t="str">
        <f>IF(AND(D147="TRADING",I147&lt;&gt;"",L147&lt;&gt;"",M147&lt;&gt;"",N147&lt;&gt;"",O147&lt;&gt;""),"Yes","No")</f>
        <v>No</v>
      </c>
      <c r="AA147" s="10" t="s">
        <v>56</v>
      </c>
    </row>
    <row r="148" spans="1:27">
      <c r="A148" s="10" t="s">
        <v>419</v>
      </c>
      <c r="B148" s="10" t="s">
        <v>420</v>
      </c>
      <c r="C148" s="10" t="s">
        <v>12</v>
      </c>
      <c r="D148" s="10" t="s">
        <v>55</v>
      </c>
      <c r="E148" s="11" t="b">
        <v>1</v>
      </c>
      <c r="F148" s="12">
        <v>44042</v>
      </c>
      <c r="G148" s="12">
        <v>44042.999999988424</v>
      </c>
      <c r="H148" s="13">
        <f>IF(F148="","",(Summary!$B$5-F148)/365.25)</f>
        <v>6.0096166771237369</v>
      </c>
      <c r="I148" s="14">
        <v>13.32</v>
      </c>
      <c r="J148" s="15">
        <v>8.3299999999999989E-3</v>
      </c>
      <c r="K148" s="16">
        <v>12034.978999999999</v>
      </c>
      <c r="L148" s="16">
        <v>159603.68908000001</v>
      </c>
      <c r="M148" s="17">
        <v>2345</v>
      </c>
      <c r="N148" s="14">
        <v>13.29</v>
      </c>
      <c r="O148" s="14">
        <v>13.32</v>
      </c>
      <c r="P148" s="18">
        <f>IF(OR(N148="",O148="",N148=0,O148=0),"",(O148-N148)/((O148+N148)/2))</f>
        <v>2.2547914317926445E-3</v>
      </c>
      <c r="Q148" s="14">
        <v>13.26165082</v>
      </c>
      <c r="R148" s="14">
        <v>13.51</v>
      </c>
      <c r="S148" s="14">
        <v>13</v>
      </c>
      <c r="T148" s="12">
        <v>46236.011117789349</v>
      </c>
      <c r="U148" s="12">
        <v>46237.011117789349</v>
      </c>
      <c r="V148" s="14">
        <v>5</v>
      </c>
      <c r="W148" s="14">
        <v>1E-3</v>
      </c>
      <c r="X148" s="14">
        <v>1E-3</v>
      </c>
      <c r="Y148" s="14">
        <v>0.01</v>
      </c>
      <c r="Z148" s="10" t="str">
        <f>IF(AND(D148="TRADING",I148&lt;&gt;"",L148&lt;&gt;"",M148&lt;&gt;"",N148&lt;&gt;"",O148&lt;&gt;""),"Yes","No")</f>
        <v>Yes</v>
      </c>
      <c r="AA148" s="10" t="s">
        <v>56</v>
      </c>
    </row>
    <row r="149" spans="1:27">
      <c r="A149" s="10" t="s">
        <v>1173</v>
      </c>
      <c r="B149" s="10" t="s">
        <v>1174</v>
      </c>
      <c r="C149" s="10" t="s">
        <v>12</v>
      </c>
      <c r="D149" s="10" t="s">
        <v>55</v>
      </c>
      <c r="E149" s="11" t="b">
        <v>1</v>
      </c>
      <c r="F149" s="12">
        <v>44042</v>
      </c>
      <c r="G149" s="12">
        <v>44042.999999988424</v>
      </c>
      <c r="H149" s="13">
        <f>IF(F149="","",(Summary!$B$5-F149)/365.25)</f>
        <v>6.0096166771237369</v>
      </c>
      <c r="I149" s="14">
        <v>4.5100000000000001E-2</v>
      </c>
      <c r="J149" s="15">
        <v>-2.3809999999999998E-2</v>
      </c>
      <c r="K149" s="16">
        <v>6173257</v>
      </c>
      <c r="L149" s="16">
        <v>285916.99440000003</v>
      </c>
      <c r="M149" s="17">
        <v>3701</v>
      </c>
      <c r="N149" s="14">
        <v>4.5100000000000001E-2</v>
      </c>
      <c r="O149" s="14">
        <v>4.5199999999999997E-2</v>
      </c>
      <c r="P149" s="18">
        <f>IF(OR(N149="",O149="",N149=0,O149=0),"",(O149-N149)/((O149+N149)/2))</f>
        <v>2.2148394241416599E-3</v>
      </c>
      <c r="Q149" s="14">
        <v>4.6315420000000003E-2</v>
      </c>
      <c r="R149" s="14">
        <v>4.82E-2</v>
      </c>
      <c r="S149" s="14">
        <v>4.4900000000000002E-2</v>
      </c>
      <c r="T149" s="12">
        <v>46236.012417511571</v>
      </c>
      <c r="U149" s="12">
        <v>46237.012417511571</v>
      </c>
      <c r="V149" s="14">
        <v>5</v>
      </c>
      <c r="W149" s="14">
        <v>1</v>
      </c>
      <c r="X149" s="14">
        <v>1</v>
      </c>
      <c r="Y149" s="14">
        <v>1E-4</v>
      </c>
      <c r="Z149" s="10" t="str">
        <f>IF(AND(D149="TRADING",I149&lt;&gt;"",L149&lt;&gt;"",M149&lt;&gt;"",N149&lt;&gt;"",O149&lt;&gt;""),"Yes","No")</f>
        <v>Yes</v>
      </c>
      <c r="AA149" s="10" t="s">
        <v>56</v>
      </c>
    </row>
    <row r="150" spans="1:27">
      <c r="A150" s="10" t="s">
        <v>782</v>
      </c>
      <c r="B150" s="10" t="s">
        <v>783</v>
      </c>
      <c r="C150" s="10" t="s">
        <v>12</v>
      </c>
      <c r="D150" s="10" t="s">
        <v>55</v>
      </c>
      <c r="E150" s="11" t="b">
        <v>1</v>
      </c>
      <c r="F150" s="12">
        <v>44049</v>
      </c>
      <c r="G150" s="12">
        <v>44049.999999988424</v>
      </c>
      <c r="H150" s="13">
        <f>IF(F150="","",(Summary!$B$5-F150)/365.25)</f>
        <v>5.9904517216138125</v>
      </c>
      <c r="I150" s="14">
        <v>6.7199999999999996E-2</v>
      </c>
      <c r="J150" s="15">
        <v>1.0529999999999999E-2</v>
      </c>
      <c r="K150" s="16">
        <v>3493331</v>
      </c>
      <c r="L150" s="16">
        <v>233198.478</v>
      </c>
      <c r="M150" s="17">
        <v>3222</v>
      </c>
      <c r="N150" s="14">
        <v>6.7199999999999996E-2</v>
      </c>
      <c r="O150" s="14">
        <v>6.7299999999999999E-2</v>
      </c>
      <c r="P150" s="18">
        <f>IF(OR(N150="",O150="",N150=0,O150=0),"",(O150-N150)/((O150+N150)/2))</f>
        <v>1.4869888475836856E-3</v>
      </c>
      <c r="Q150" s="14">
        <v>6.6755330000000002E-2</v>
      </c>
      <c r="R150" s="14">
        <v>6.7799999999999999E-2</v>
      </c>
      <c r="S150" s="14">
        <v>6.5699999999999995E-2</v>
      </c>
      <c r="T150" s="12">
        <v>46236.012398356484</v>
      </c>
      <c r="U150" s="12">
        <v>46237.012398356484</v>
      </c>
      <c r="V150" s="14">
        <v>5</v>
      </c>
      <c r="W150" s="14">
        <v>1</v>
      </c>
      <c r="X150" s="14">
        <v>1</v>
      </c>
      <c r="Y150" s="14">
        <v>1E-4</v>
      </c>
      <c r="Z150" s="10" t="str">
        <f>IF(AND(D150="TRADING",I150&lt;&gt;"",L150&lt;&gt;"",M150&lt;&gt;"",N150&lt;&gt;"",O150&lt;&gt;""),"Yes","No")</f>
        <v>Yes</v>
      </c>
      <c r="AA150" s="10" t="s">
        <v>56</v>
      </c>
    </row>
    <row r="151" spans="1:27">
      <c r="A151" s="10" t="s">
        <v>205</v>
      </c>
      <c r="B151" s="10" t="s">
        <v>206</v>
      </c>
      <c r="C151" s="10" t="s">
        <v>12</v>
      </c>
      <c r="D151" s="10" t="s">
        <v>84</v>
      </c>
      <c r="E151" s="11" t="b">
        <v>1</v>
      </c>
      <c r="F151" s="12">
        <v>44050</v>
      </c>
      <c r="G151" s="12">
        <v>44050.999999988424</v>
      </c>
      <c r="H151" s="13">
        <f>IF(F151="","",(Summary!$B$5-F151)/365.25)</f>
        <v>5.9877138708266804</v>
      </c>
      <c r="I151" s="14">
        <v>0.72519999999999996</v>
      </c>
      <c r="J151" s="15">
        <v>-5.7450000000000001E-2</v>
      </c>
      <c r="K151" s="16">
        <v>607479</v>
      </c>
      <c r="L151" s="16">
        <v>454709.78720000002</v>
      </c>
      <c r="M151" s="17">
        <v>4001</v>
      </c>
      <c r="N151" s="14">
        <v>0</v>
      </c>
      <c r="O151" s="14">
        <v>0</v>
      </c>
      <c r="P151" s="18" t="str">
        <f>IF(OR(N151="",O151="",N151=0,O151=0),"",(O151-N151)/((O151+N151)/2))</f>
        <v/>
      </c>
      <c r="Q151" s="14">
        <v>0.74851935000000003</v>
      </c>
      <c r="R151" s="14">
        <v>0.77200000000000002</v>
      </c>
      <c r="S151" s="14">
        <v>0.72</v>
      </c>
      <c r="T151" s="12">
        <v>46209.261123090277</v>
      </c>
      <c r="U151" s="12">
        <v>46210.261123090277</v>
      </c>
      <c r="V151" s="14">
        <v>10</v>
      </c>
      <c r="W151" s="14">
        <v>1</v>
      </c>
      <c r="X151" s="14">
        <v>1</v>
      </c>
      <c r="Y151" s="14">
        <v>1E-4</v>
      </c>
      <c r="Z151" s="10" t="str">
        <f>IF(AND(D151="TRADING",I151&lt;&gt;"",L151&lt;&gt;"",M151&lt;&gt;"",N151&lt;&gt;"",O151&lt;&gt;""),"Yes","No")</f>
        <v>No</v>
      </c>
      <c r="AA151" s="10" t="s">
        <v>56</v>
      </c>
    </row>
    <row r="152" spans="1:27">
      <c r="A152" s="10" t="s">
        <v>1401</v>
      </c>
      <c r="B152" s="10" t="s">
        <v>1402</v>
      </c>
      <c r="C152" s="10" t="s">
        <v>12</v>
      </c>
      <c r="D152" s="10" t="s">
        <v>55</v>
      </c>
      <c r="E152" s="11" t="b">
        <v>1</v>
      </c>
      <c r="F152" s="12">
        <v>44053</v>
      </c>
      <c r="G152" s="12">
        <v>44053.999999988424</v>
      </c>
      <c r="H152" s="13">
        <f>IF(F152="","",(Summary!$B$5-F152)/365.25)</f>
        <v>5.9795003184652842</v>
      </c>
      <c r="I152" s="14">
        <v>2101</v>
      </c>
      <c r="J152" s="15">
        <v>3.0910000000000003E-2</v>
      </c>
      <c r="K152" s="16">
        <v>153.19549000000001</v>
      </c>
      <c r="L152" s="16">
        <v>325649.87803000002</v>
      </c>
      <c r="M152" s="17">
        <v>3867</v>
      </c>
      <c r="N152" s="14">
        <v>2099</v>
      </c>
      <c r="O152" s="14">
        <v>2100</v>
      </c>
      <c r="P152" s="18">
        <f>IF(OR(N152="",O152="",N152=0,O152=0),"",(O152-N152)/((O152+N152)/2))</f>
        <v>4.7630388187663728E-4</v>
      </c>
      <c r="Q152" s="14">
        <v>2125.7145235200001</v>
      </c>
      <c r="R152" s="14">
        <v>2164</v>
      </c>
      <c r="S152" s="14">
        <v>2038</v>
      </c>
      <c r="T152" s="12">
        <v>46236.01227417824</v>
      </c>
      <c r="U152" s="12">
        <v>46237.01227417824</v>
      </c>
      <c r="V152" s="14">
        <v>5</v>
      </c>
      <c r="W152" s="14">
        <v>1.0000000000000001E-5</v>
      </c>
      <c r="X152" s="14">
        <v>1.0000000000000001E-5</v>
      </c>
      <c r="Y152" s="14">
        <v>1</v>
      </c>
      <c r="Z152" s="10" t="str">
        <f>IF(AND(D152="TRADING",I152&lt;&gt;"",L152&lt;&gt;"",M152&lt;&gt;"",N152&lt;&gt;"",O152&lt;&gt;""),"Yes","No")</f>
        <v>Yes</v>
      </c>
      <c r="AA152" s="10" t="s">
        <v>56</v>
      </c>
    </row>
    <row r="153" spans="1:27">
      <c r="A153" s="10" t="s">
        <v>235</v>
      </c>
      <c r="B153" s="10" t="s">
        <v>236</v>
      </c>
      <c r="C153" s="10" t="s">
        <v>12</v>
      </c>
      <c r="D153" s="10" t="s">
        <v>84</v>
      </c>
      <c r="E153" s="11" t="b">
        <v>1</v>
      </c>
      <c r="F153" s="12">
        <v>44054</v>
      </c>
      <c r="G153" s="12">
        <v>44054.999999988424</v>
      </c>
      <c r="H153" s="13">
        <f>IF(F153="","",(Summary!$B$5-F153)/365.25)</f>
        <v>5.9767624676781521</v>
      </c>
      <c r="I153" s="14">
        <v>0.96699999999999997</v>
      </c>
      <c r="J153" s="15">
        <v>-3.6850000000000001E-2</v>
      </c>
      <c r="K153" s="16">
        <v>239235.66</v>
      </c>
      <c r="L153" s="16">
        <v>231043.32076</v>
      </c>
      <c r="M153" s="17">
        <v>4001</v>
      </c>
      <c r="N153" s="14">
        <v>0</v>
      </c>
      <c r="O153" s="14">
        <v>0</v>
      </c>
      <c r="P153" s="18" t="str">
        <f>IF(OR(N153="",O153="",N153=0,O153=0),"",(O153-N153)/((O153+N153)/2))</f>
        <v/>
      </c>
      <c r="Q153" s="14">
        <v>0.96575619999999995</v>
      </c>
      <c r="R153" s="14">
        <v>1.004</v>
      </c>
      <c r="S153" s="14">
        <v>0.92100000000000004</v>
      </c>
      <c r="T153" s="12">
        <v>46209.261123090277</v>
      </c>
      <c r="U153" s="12">
        <v>46210.261123090277</v>
      </c>
      <c r="V153" s="14">
        <v>5</v>
      </c>
      <c r="W153" s="14">
        <v>0.01</v>
      </c>
      <c r="X153" s="14">
        <v>0.01</v>
      </c>
      <c r="Y153" s="14">
        <v>1E-3</v>
      </c>
      <c r="Z153" s="10" t="str">
        <f>IF(AND(D153="TRADING",I153&lt;&gt;"",L153&lt;&gt;"",M153&lt;&gt;"",N153&lt;&gt;"",O153&lt;&gt;""),"Yes","No")</f>
        <v>No</v>
      </c>
      <c r="AA153" s="10" t="s">
        <v>56</v>
      </c>
    </row>
    <row r="154" spans="1:27">
      <c r="A154" s="10" t="s">
        <v>291</v>
      </c>
      <c r="B154" s="10" t="s">
        <v>292</v>
      </c>
      <c r="C154" s="10" t="s">
        <v>12</v>
      </c>
      <c r="D154" s="10" t="s">
        <v>84</v>
      </c>
      <c r="E154" s="11" t="b">
        <v>1</v>
      </c>
      <c r="F154" s="12">
        <v>44054</v>
      </c>
      <c r="G154" s="12">
        <v>44054.999999988424</v>
      </c>
      <c r="H154" s="13">
        <f>IF(F154="","",(Summary!$B$5-F154)/365.25)</f>
        <v>5.9767624676781521</v>
      </c>
      <c r="I154" s="14">
        <v>5.8200000000000002E-2</v>
      </c>
      <c r="J154" s="15">
        <v>1.72E-3</v>
      </c>
      <c r="K154" s="16">
        <v>15047472</v>
      </c>
      <c r="L154" s="16">
        <v>881426.13069999998</v>
      </c>
      <c r="M154" s="17">
        <v>4001</v>
      </c>
      <c r="N154" s="14">
        <v>0</v>
      </c>
      <c r="O154" s="14">
        <v>0</v>
      </c>
      <c r="P154" s="18" t="str">
        <f>IF(OR(N154="",O154="",N154=0,O154=0),"",(O154-N154)/((O154+N154)/2))</f>
        <v/>
      </c>
      <c r="Q154" s="14">
        <v>5.8576360000000001E-2</v>
      </c>
      <c r="R154" s="14">
        <v>6.2E-2</v>
      </c>
      <c r="S154" s="14">
        <v>5.6000000000000001E-2</v>
      </c>
      <c r="T154" s="12">
        <v>46209.261123090277</v>
      </c>
      <c r="U154" s="12">
        <v>46210.261123090277</v>
      </c>
      <c r="V154" s="14">
        <v>5</v>
      </c>
      <c r="W154" s="14">
        <v>1</v>
      </c>
      <c r="X154" s="14">
        <v>1</v>
      </c>
      <c r="Y154" s="14">
        <v>1E-4</v>
      </c>
      <c r="Z154" s="10" t="str">
        <f>IF(AND(D154="TRADING",I154&lt;&gt;"",L154&lt;&gt;"",M154&lt;&gt;"",N154&lt;&gt;"",O154&lt;&gt;""),"Yes","No")</f>
        <v>No</v>
      </c>
      <c r="AA154" s="10" t="s">
        <v>56</v>
      </c>
    </row>
    <row r="155" spans="1:27">
      <c r="A155" s="10" t="s">
        <v>686</v>
      </c>
      <c r="B155" s="10" t="s">
        <v>687</v>
      </c>
      <c r="C155" s="10" t="s">
        <v>12</v>
      </c>
      <c r="D155" s="10" t="s">
        <v>84</v>
      </c>
      <c r="E155" s="11" t="b">
        <v>1</v>
      </c>
      <c r="F155" s="12">
        <v>44054</v>
      </c>
      <c r="G155" s="12">
        <v>44054.999999988424</v>
      </c>
      <c r="H155" s="13">
        <f>IF(F155="","",(Summary!$B$5-F155)/365.25)</f>
        <v>5.9767624676781521</v>
      </c>
      <c r="I155" s="14">
        <v>5.2100000000000002E-3</v>
      </c>
      <c r="J155" s="15">
        <v>-6.4630000000000007E-2</v>
      </c>
      <c r="K155" s="16">
        <v>67787369.099999994</v>
      </c>
      <c r="L155" s="16">
        <v>379455.50186000002</v>
      </c>
      <c r="M155" s="17">
        <v>4001</v>
      </c>
      <c r="N155" s="14">
        <v>0</v>
      </c>
      <c r="O155" s="14">
        <v>0</v>
      </c>
      <c r="P155" s="18" t="str">
        <f>IF(OR(N155="",O155="",N155=0,O155=0),"",(O155-N155)/((O155+N155)/2))</f>
        <v/>
      </c>
      <c r="Q155" s="14">
        <v>5.5977300000000004E-3</v>
      </c>
      <c r="R155" s="14">
        <v>6.2500000000000003E-3</v>
      </c>
      <c r="S155" s="14">
        <v>5.0000000000000001E-3</v>
      </c>
      <c r="T155" s="12">
        <v>46209.261123090277</v>
      </c>
      <c r="U155" s="12">
        <v>46210.261123090277</v>
      </c>
      <c r="V155" s="14">
        <v>5</v>
      </c>
      <c r="W155" s="14">
        <v>0.1</v>
      </c>
      <c r="X155" s="14">
        <v>0.1</v>
      </c>
      <c r="Y155" s="14">
        <v>1.0000000000000001E-5</v>
      </c>
      <c r="Z155" s="10" t="str">
        <f>IF(AND(D155="TRADING",I155&lt;&gt;"",L155&lt;&gt;"",M155&lt;&gt;"",N155&lt;&gt;"",O155&lt;&gt;""),"Yes","No")</f>
        <v>No</v>
      </c>
      <c r="AA155" s="10" t="s">
        <v>56</v>
      </c>
    </row>
    <row r="156" spans="1:27">
      <c r="A156" s="10" t="s">
        <v>692</v>
      </c>
      <c r="B156" s="10" t="s">
        <v>693</v>
      </c>
      <c r="C156" s="10" t="s">
        <v>12</v>
      </c>
      <c r="D156" s="10" t="s">
        <v>55</v>
      </c>
      <c r="E156" s="11" t="b">
        <v>1</v>
      </c>
      <c r="F156" s="12">
        <v>44054</v>
      </c>
      <c r="G156" s="12">
        <v>44054.999999988424</v>
      </c>
      <c r="H156" s="13">
        <f>IF(F156="","",(Summary!$B$5-F156)/365.25)</f>
        <v>5.9767624676781521</v>
      </c>
      <c r="I156" s="14">
        <v>0.10618</v>
      </c>
      <c r="J156" s="15">
        <v>1.472E-2</v>
      </c>
      <c r="K156" s="16">
        <v>15008058</v>
      </c>
      <c r="L156" s="16">
        <v>1586593.776209</v>
      </c>
      <c r="M156" s="17">
        <v>33297</v>
      </c>
      <c r="N156" s="14">
        <v>0.10614999999999999</v>
      </c>
      <c r="O156" s="14">
        <v>0.10618</v>
      </c>
      <c r="P156" s="18">
        <f>IF(OR(N156="",O156="",N156=0,O156=0),"",(O156-N156)/((O156+N156)/2))</f>
        <v>2.8257900437999575E-4</v>
      </c>
      <c r="Q156" s="14">
        <v>0.10571613000000001</v>
      </c>
      <c r="R156" s="14">
        <v>0.10685</v>
      </c>
      <c r="S156" s="14">
        <v>0.10457</v>
      </c>
      <c r="T156" s="12">
        <v>46236.012466481479</v>
      </c>
      <c r="U156" s="12">
        <v>46237.012466481479</v>
      </c>
      <c r="V156" s="14">
        <v>5</v>
      </c>
      <c r="W156" s="14">
        <v>0.1</v>
      </c>
      <c r="X156" s="14">
        <v>0.1</v>
      </c>
      <c r="Y156" s="14">
        <v>1.0000000000000001E-5</v>
      </c>
      <c r="Z156" s="10" t="str">
        <f>IF(AND(D156="TRADING",I156&lt;&gt;"",L156&lt;&gt;"",M156&lt;&gt;"",N156&lt;&gt;"",O156&lt;&gt;""),"Yes","No")</f>
        <v>Yes</v>
      </c>
      <c r="AA156" s="10" t="s">
        <v>56</v>
      </c>
    </row>
    <row r="157" spans="1:27">
      <c r="A157" s="10" t="s">
        <v>722</v>
      </c>
      <c r="B157" s="10" t="s">
        <v>723</v>
      </c>
      <c r="C157" s="10" t="s">
        <v>12</v>
      </c>
      <c r="D157" s="10" t="s">
        <v>84</v>
      </c>
      <c r="E157" s="11" t="b">
        <v>1</v>
      </c>
      <c r="F157" s="12">
        <v>44054</v>
      </c>
      <c r="G157" s="12">
        <v>44054.999999988424</v>
      </c>
      <c r="H157" s="13">
        <f>IF(F157="","",(Summary!$B$5-F157)/365.25)</f>
        <v>5.9767624676781521</v>
      </c>
      <c r="I157" s="14">
        <v>1.6299999999999999E-2</v>
      </c>
      <c r="J157" s="15">
        <v>1.8749999999999999E-2</v>
      </c>
      <c r="K157" s="16">
        <v>12791695</v>
      </c>
      <c r="L157" s="16">
        <v>215280.2414</v>
      </c>
      <c r="M157" s="17">
        <v>4001</v>
      </c>
      <c r="N157" s="14">
        <v>0</v>
      </c>
      <c r="O157" s="14">
        <v>0</v>
      </c>
      <c r="P157" s="18" t="str">
        <f>IF(OR(N157="",O157="",N157=0,O157=0),"",(O157-N157)/((O157+N157)/2))</f>
        <v/>
      </c>
      <c r="Q157" s="14">
        <v>1.6829690000000001E-2</v>
      </c>
      <c r="R157" s="14">
        <v>2.0500000000000001E-2</v>
      </c>
      <c r="S157" s="14">
        <v>1.4999999999999999E-2</v>
      </c>
      <c r="T157" s="12">
        <v>46209.261123090277</v>
      </c>
      <c r="U157" s="12">
        <v>46210.261123090277</v>
      </c>
      <c r="V157" s="14">
        <v>5</v>
      </c>
      <c r="W157" s="14">
        <v>1</v>
      </c>
      <c r="X157" s="14">
        <v>1</v>
      </c>
      <c r="Y157" s="14">
        <v>1E-4</v>
      </c>
      <c r="Z157" s="10" t="str">
        <f>IF(AND(D157="TRADING",I157&lt;&gt;"",L157&lt;&gt;"",M157&lt;&gt;"",N157&lt;&gt;"",O157&lt;&gt;""),"Yes","No")</f>
        <v>No</v>
      </c>
      <c r="AA157" s="10" t="s">
        <v>56</v>
      </c>
    </row>
    <row r="158" spans="1:27">
      <c r="A158" s="10" t="s">
        <v>1144</v>
      </c>
      <c r="B158" s="10" t="s">
        <v>62</v>
      </c>
      <c r="C158" s="10" t="s">
        <v>12</v>
      </c>
      <c r="D158" s="10" t="s">
        <v>55</v>
      </c>
      <c r="E158" s="11" t="b">
        <v>1</v>
      </c>
      <c r="F158" s="12">
        <v>44054</v>
      </c>
      <c r="G158" s="12">
        <v>44054.999999988424</v>
      </c>
      <c r="H158" s="13">
        <f>IF(F158="","",(Summary!$B$5-F158)/365.25)</f>
        <v>5.9767624676781521</v>
      </c>
      <c r="I158" s="14">
        <v>73.47</v>
      </c>
      <c r="J158" s="15">
        <v>1.83E-2</v>
      </c>
      <c r="K158" s="16">
        <v>844625.03700000001</v>
      </c>
      <c r="L158" s="16">
        <v>61924242.071450002</v>
      </c>
      <c r="M158" s="17">
        <v>251355</v>
      </c>
      <c r="N158" s="14">
        <v>73.47</v>
      </c>
      <c r="O158" s="14">
        <v>73.48</v>
      </c>
      <c r="P158" s="18">
        <f>IF(OR(N158="",O158="",N158=0,O158=0),"",(O158-N158)/((O158+N158)/2))</f>
        <v>1.3610071452882091E-4</v>
      </c>
      <c r="Q158" s="14">
        <v>73.315660039999997</v>
      </c>
      <c r="R158" s="14">
        <v>74.33</v>
      </c>
      <c r="S158" s="14">
        <v>72</v>
      </c>
      <c r="T158" s="12">
        <v>46236.012484629631</v>
      </c>
      <c r="U158" s="12">
        <v>46237.012484629631</v>
      </c>
      <c r="V158" s="14">
        <v>5</v>
      </c>
      <c r="W158" s="14">
        <v>1E-3</v>
      </c>
      <c r="X158" s="14">
        <v>1E-3</v>
      </c>
      <c r="Y158" s="14">
        <v>0.01</v>
      </c>
      <c r="Z158" s="10" t="str">
        <f>IF(AND(D158="TRADING",I158&lt;&gt;"",L158&lt;&gt;"",M158&lt;&gt;"",N158&lt;&gt;"",O158&lt;&gt;""),"Yes","No")</f>
        <v>Yes</v>
      </c>
      <c r="AA158" s="10" t="s">
        <v>56</v>
      </c>
    </row>
    <row r="159" spans="1:27">
      <c r="A159" s="10" t="s">
        <v>1163</v>
      </c>
      <c r="B159" s="10" t="s">
        <v>1164</v>
      </c>
      <c r="C159" s="10" t="s">
        <v>12</v>
      </c>
      <c r="D159" s="10" t="s">
        <v>84</v>
      </c>
      <c r="E159" s="11" t="b">
        <v>1</v>
      </c>
      <c r="F159" s="12">
        <v>44054</v>
      </c>
      <c r="G159" s="12">
        <v>44054.999999988424</v>
      </c>
      <c r="H159" s="13">
        <f>IF(F159="","",(Summary!$B$5-F159)/365.25)</f>
        <v>5.9767624676781521</v>
      </c>
      <c r="I159" s="14">
        <v>0.24442</v>
      </c>
      <c r="J159" s="15">
        <v>-5.4610000000000006E-2</v>
      </c>
      <c r="K159" s="16">
        <v>1875814</v>
      </c>
      <c r="L159" s="16">
        <v>472900.20585500001</v>
      </c>
      <c r="M159" s="17">
        <v>4001</v>
      </c>
      <c r="N159" s="14">
        <v>0</v>
      </c>
      <c r="O159" s="14">
        <v>0</v>
      </c>
      <c r="P159" s="18" t="str">
        <f>IF(OR(N159="",O159="",N159=0,O159=0),"",(O159-N159)/((O159+N159)/2))</f>
        <v/>
      </c>
      <c r="Q159" s="14">
        <v>0.25210399999999999</v>
      </c>
      <c r="R159" s="14">
        <v>0.26478000000000002</v>
      </c>
      <c r="S159" s="14">
        <v>0.23855000000000001</v>
      </c>
      <c r="T159" s="12">
        <v>46209.261123090277</v>
      </c>
      <c r="U159" s="12">
        <v>46210.261123090277</v>
      </c>
      <c r="V159" s="14">
        <v>10</v>
      </c>
      <c r="W159" s="14">
        <v>0.1</v>
      </c>
      <c r="X159" s="14">
        <v>0.1</v>
      </c>
      <c r="Y159" s="14">
        <v>1.0000000000000001E-5</v>
      </c>
      <c r="Z159" s="10" t="str">
        <f>IF(AND(D159="TRADING",I159&lt;&gt;"",L159&lt;&gt;"",M159&lt;&gt;"",N159&lt;&gt;"",O159&lt;&gt;""),"Yes","No")</f>
        <v>No</v>
      </c>
      <c r="AA159" s="10" t="s">
        <v>56</v>
      </c>
    </row>
    <row r="160" spans="1:27">
      <c r="A160" s="10" t="s">
        <v>161</v>
      </c>
      <c r="B160" s="10" t="s">
        <v>162</v>
      </c>
      <c r="C160" s="10" t="s">
        <v>12</v>
      </c>
      <c r="D160" s="10" t="s">
        <v>84</v>
      </c>
      <c r="E160" s="11" t="b">
        <v>1</v>
      </c>
      <c r="F160" s="12">
        <v>44056</v>
      </c>
      <c r="G160" s="12">
        <v>44056.999999988424</v>
      </c>
      <c r="H160" s="13">
        <f>IF(F160="","",(Summary!$B$5-F160)/365.25)</f>
        <v>5.971286766103888</v>
      </c>
      <c r="I160" s="14">
        <v>7.407</v>
      </c>
      <c r="J160" s="15">
        <v>-3.7699999999999999E-3</v>
      </c>
      <c r="K160" s="16">
        <v>74121.7</v>
      </c>
      <c r="L160" s="16">
        <v>549957.87170000002</v>
      </c>
      <c r="M160" s="17">
        <v>4001</v>
      </c>
      <c r="N160" s="14">
        <v>0</v>
      </c>
      <c r="O160" s="14">
        <v>0</v>
      </c>
      <c r="P160" s="18" t="str">
        <f>IF(OR(N160="",O160="",N160=0,O160=0),"",(O160-N160)/((O160+N160)/2))</f>
        <v/>
      </c>
      <c r="Q160" s="14">
        <v>7.4196607999999999</v>
      </c>
      <c r="R160" s="14">
        <v>7.5890000000000004</v>
      </c>
      <c r="S160" s="14">
        <v>7.1619999999999999</v>
      </c>
      <c r="T160" s="12">
        <v>46209.261123090277</v>
      </c>
      <c r="U160" s="12">
        <v>46210.261123090277</v>
      </c>
      <c r="V160" s="14">
        <v>5</v>
      </c>
      <c r="W160" s="14">
        <v>0.1</v>
      </c>
      <c r="X160" s="14">
        <v>0.1</v>
      </c>
      <c r="Y160" s="14">
        <v>1E-3</v>
      </c>
      <c r="Z160" s="10" t="str">
        <f>IF(AND(D160="TRADING",I160&lt;&gt;"",L160&lt;&gt;"",M160&lt;&gt;"",N160&lt;&gt;"",O160&lt;&gt;""),"Yes","No")</f>
        <v>No</v>
      </c>
      <c r="AA160" s="10" t="s">
        <v>56</v>
      </c>
    </row>
    <row r="161" spans="1:27">
      <c r="A161" s="10" t="s">
        <v>1100</v>
      </c>
      <c r="B161" s="10" t="s">
        <v>1101</v>
      </c>
      <c r="C161" s="10" t="s">
        <v>12</v>
      </c>
      <c r="D161" s="10" t="s">
        <v>55</v>
      </c>
      <c r="E161" s="11" t="b">
        <v>1</v>
      </c>
      <c r="F161" s="12">
        <v>44057</v>
      </c>
      <c r="G161" s="12">
        <v>44057.999999988424</v>
      </c>
      <c r="H161" s="13">
        <f>IF(F161="","",(Summary!$B$5-F161)/365.25)</f>
        <v>5.9685489153167559</v>
      </c>
      <c r="I161" s="14">
        <v>4.2889999999999998E-2</v>
      </c>
      <c r="J161" s="15">
        <v>3.7740000000000003E-2</v>
      </c>
      <c r="K161" s="16">
        <v>12174166</v>
      </c>
      <c r="L161" s="16">
        <v>521927.96451000002</v>
      </c>
      <c r="M161" s="17">
        <v>11165</v>
      </c>
      <c r="N161" s="14">
        <v>4.2880000000000001E-2</v>
      </c>
      <c r="O161" s="14">
        <v>4.2900000000000001E-2</v>
      </c>
      <c r="P161" s="18">
        <f>IF(OR(N161="",O161="",N161=0,O161=0),"",(O161-N161)/((O161+N161)/2))</f>
        <v>4.6630916297503346E-4</v>
      </c>
      <c r="Q161" s="14">
        <v>4.2871760000000002E-2</v>
      </c>
      <c r="R161" s="14">
        <v>4.3839999999999997E-2</v>
      </c>
      <c r="S161" s="14">
        <v>4.1270000000000001E-2</v>
      </c>
      <c r="T161" s="12">
        <v>46236.012340613423</v>
      </c>
      <c r="U161" s="12">
        <v>46237.012340613423</v>
      </c>
      <c r="V161" s="14">
        <v>5</v>
      </c>
      <c r="W161" s="14">
        <v>1</v>
      </c>
      <c r="X161" s="14">
        <v>1</v>
      </c>
      <c r="Y161" s="14">
        <v>1.0000000000000001E-5</v>
      </c>
      <c r="Z161" s="10" t="str">
        <f>IF(AND(D161="TRADING",I161&lt;&gt;"",L161&lt;&gt;"",M161&lt;&gt;"",N161&lt;&gt;"",O161&lt;&gt;""),"Yes","No")</f>
        <v>Yes</v>
      </c>
      <c r="AA161" s="10" t="s">
        <v>56</v>
      </c>
    </row>
    <row r="162" spans="1:27">
      <c r="A162" s="10" t="s">
        <v>391</v>
      </c>
      <c r="B162" s="10" t="s">
        <v>392</v>
      </c>
      <c r="C162" s="10" t="s">
        <v>12</v>
      </c>
      <c r="D162" s="10" t="s">
        <v>55</v>
      </c>
      <c r="E162" s="11" t="b">
        <v>1</v>
      </c>
      <c r="F162" s="12">
        <v>44058</v>
      </c>
      <c r="G162" s="12">
        <v>44058.999999988424</v>
      </c>
      <c r="H162" s="13">
        <f>IF(F162="","",(Summary!$B$5-F162)/365.25)</f>
        <v>5.9658110645296238</v>
      </c>
      <c r="I162" s="14">
        <v>0.2026</v>
      </c>
      <c r="J162" s="15">
        <v>1.098E-2</v>
      </c>
      <c r="K162" s="16">
        <v>5003404.9000000004</v>
      </c>
      <c r="L162" s="16">
        <v>1022638.18585</v>
      </c>
      <c r="M162" s="17">
        <v>8461</v>
      </c>
      <c r="N162" s="14">
        <v>0.2026</v>
      </c>
      <c r="O162" s="14">
        <v>0.20269999999999999</v>
      </c>
      <c r="P162" s="18">
        <f>IF(OR(N162="",O162="",N162=0,O162=0),"",(O162-N162)/((O162+N162)/2))</f>
        <v>4.9346163335795207E-4</v>
      </c>
      <c r="Q162" s="14">
        <v>0.20438845</v>
      </c>
      <c r="R162" s="14">
        <v>0.20730000000000001</v>
      </c>
      <c r="S162" s="14">
        <v>0.2</v>
      </c>
      <c r="T162" s="12">
        <v>46236.012480081015</v>
      </c>
      <c r="U162" s="12">
        <v>46237.012480081015</v>
      </c>
      <c r="V162" s="14">
        <v>5</v>
      </c>
      <c r="W162" s="14">
        <v>0.1</v>
      </c>
      <c r="X162" s="14">
        <v>0.1</v>
      </c>
      <c r="Y162" s="14">
        <v>1E-4</v>
      </c>
      <c r="Z162" s="10" t="str">
        <f>IF(AND(D162="TRADING",I162&lt;&gt;"",L162&lt;&gt;"",M162&lt;&gt;"",N162&lt;&gt;"",O162&lt;&gt;""),"Yes","No")</f>
        <v>Yes</v>
      </c>
      <c r="AA162" s="10" t="s">
        <v>56</v>
      </c>
    </row>
    <row r="163" spans="1:27">
      <c r="A163" s="10" t="s">
        <v>447</v>
      </c>
      <c r="B163" s="10" t="s">
        <v>448</v>
      </c>
      <c r="C163" s="10" t="s">
        <v>12</v>
      </c>
      <c r="D163" s="10" t="s">
        <v>55</v>
      </c>
      <c r="E163" s="11" t="b">
        <v>1</v>
      </c>
      <c r="F163" s="12">
        <v>44061</v>
      </c>
      <c r="G163" s="12">
        <v>44061.999999988424</v>
      </c>
      <c r="H163" s="13">
        <f>IF(F163="","",(Summary!$B$5-F163)/365.25)</f>
        <v>5.9575975121682267</v>
      </c>
      <c r="I163" s="14">
        <v>0.79600000000000004</v>
      </c>
      <c r="J163" s="15">
        <v>1.401E-2</v>
      </c>
      <c r="K163" s="16">
        <v>4906794.33</v>
      </c>
      <c r="L163" s="16">
        <v>3896743.5344400001</v>
      </c>
      <c r="M163" s="17">
        <v>23483</v>
      </c>
      <c r="N163" s="14">
        <v>0.79600000000000004</v>
      </c>
      <c r="O163" s="14">
        <v>0.79700000000000004</v>
      </c>
      <c r="P163" s="18">
        <f>IF(OR(N163="",O163="",N163=0,O163=0),"",(O163-N163)/((O163+N163)/2))</f>
        <v>1.2554927809165109E-3</v>
      </c>
      <c r="Q163" s="14">
        <v>0.79415261000000004</v>
      </c>
      <c r="R163" s="14">
        <v>0.80200000000000005</v>
      </c>
      <c r="S163" s="14">
        <v>0.78100000000000003</v>
      </c>
      <c r="T163" s="12">
        <v>46236.012486921296</v>
      </c>
      <c r="U163" s="12">
        <v>46237.012486921296</v>
      </c>
      <c r="V163" s="14">
        <v>5</v>
      </c>
      <c r="W163" s="14">
        <v>0.01</v>
      </c>
      <c r="X163" s="14">
        <v>0.01</v>
      </c>
      <c r="Y163" s="14">
        <v>1E-3</v>
      </c>
      <c r="Z163" s="10" t="str">
        <f>IF(AND(D163="TRADING",I163&lt;&gt;"",L163&lt;&gt;"",M163&lt;&gt;"",N163&lt;&gt;"",O163&lt;&gt;""),"Yes","No")</f>
        <v>Yes</v>
      </c>
      <c r="AA163" s="10" t="s">
        <v>56</v>
      </c>
    </row>
    <row r="164" spans="1:27">
      <c r="A164" s="10" t="s">
        <v>888</v>
      </c>
      <c r="B164" s="10" t="s">
        <v>889</v>
      </c>
      <c r="C164" s="10" t="s">
        <v>12</v>
      </c>
      <c r="D164" s="10" t="s">
        <v>55</v>
      </c>
      <c r="E164" s="11" t="b">
        <v>1</v>
      </c>
      <c r="F164" s="12">
        <v>44062</v>
      </c>
      <c r="G164" s="12">
        <v>44062.999999988424</v>
      </c>
      <c r="H164" s="13">
        <f>IF(F164="","",(Summary!$B$5-F164)/365.25)</f>
        <v>5.9548596613810947</v>
      </c>
      <c r="I164" s="14">
        <v>8.59</v>
      </c>
      <c r="J164" s="15">
        <v>4.6800000000000001E-3</v>
      </c>
      <c r="K164" s="16">
        <v>4257.5200000000004</v>
      </c>
      <c r="L164" s="16">
        <v>36439.248800000001</v>
      </c>
      <c r="M164" s="17">
        <v>421</v>
      </c>
      <c r="N164" s="14">
        <v>8.59</v>
      </c>
      <c r="O164" s="14">
        <v>8.6</v>
      </c>
      <c r="P164" s="18">
        <f>IF(OR(N164="",O164="",N164=0,O164=0),"",(O164-N164)/((O164+N164)/2))</f>
        <v>1.1634671320534949E-3</v>
      </c>
      <c r="Q164" s="14">
        <v>8.5587968599999993</v>
      </c>
      <c r="R164" s="14">
        <v>8.6300000000000008</v>
      </c>
      <c r="S164" s="14">
        <v>8.51</v>
      </c>
      <c r="T164" s="12">
        <v>46236.011545949077</v>
      </c>
      <c r="U164" s="12">
        <v>46237.011545949077</v>
      </c>
      <c r="V164" s="14">
        <v>5</v>
      </c>
      <c r="W164" s="14">
        <v>0.01</v>
      </c>
      <c r="X164" s="14">
        <v>0.01</v>
      </c>
      <c r="Y164" s="14">
        <v>0.01</v>
      </c>
      <c r="Z164" s="10" t="str">
        <f>IF(AND(D164="TRADING",I164&lt;&gt;"",L164&lt;&gt;"",M164&lt;&gt;"",N164&lt;&gt;"",O164&lt;&gt;""),"Yes","No")</f>
        <v>Yes</v>
      </c>
      <c r="AA164" s="10" t="s">
        <v>56</v>
      </c>
    </row>
    <row r="165" spans="1:27">
      <c r="A165" s="10" t="s">
        <v>910</v>
      </c>
      <c r="B165" s="10" t="s">
        <v>911</v>
      </c>
      <c r="C165" s="10" t="s">
        <v>12</v>
      </c>
      <c r="D165" s="10" t="s">
        <v>84</v>
      </c>
      <c r="E165" s="11" t="b">
        <v>1</v>
      </c>
      <c r="F165" s="12">
        <v>44062</v>
      </c>
      <c r="G165" s="12">
        <v>44062.999999988424</v>
      </c>
      <c r="H165" s="13">
        <f>IF(F165="","",(Summary!$B$5-F165)/365.25)</f>
        <v>5.9548596613810947</v>
      </c>
      <c r="I165" s="14">
        <v>0.61229999999999996</v>
      </c>
      <c r="J165" s="15">
        <v>-1.1939999999999999E-2</v>
      </c>
      <c r="K165" s="16">
        <v>646661</v>
      </c>
      <c r="L165" s="16">
        <v>397142.02970000001</v>
      </c>
      <c r="M165" s="17">
        <v>4001</v>
      </c>
      <c r="N165" s="14">
        <v>0</v>
      </c>
      <c r="O165" s="14">
        <v>0</v>
      </c>
      <c r="P165" s="18" t="str">
        <f>IF(OR(N165="",O165="",N165=0,O165=0),"",(O165-N165)/((O165+N165)/2))</f>
        <v/>
      </c>
      <c r="Q165" s="14">
        <v>0.61414254000000001</v>
      </c>
      <c r="R165" s="14">
        <v>0.62190000000000001</v>
      </c>
      <c r="S165" s="14">
        <v>0.61029999999999995</v>
      </c>
      <c r="T165" s="12">
        <v>46209.261123090277</v>
      </c>
      <c r="U165" s="12">
        <v>46210.261123090277</v>
      </c>
      <c r="V165" s="14">
        <v>5</v>
      </c>
      <c r="W165" s="14">
        <v>1</v>
      </c>
      <c r="X165" s="14">
        <v>1</v>
      </c>
      <c r="Y165" s="14">
        <v>1E-4</v>
      </c>
      <c r="Z165" s="10" t="str">
        <f>IF(AND(D165="TRADING",I165&lt;&gt;"",L165&lt;&gt;"",M165&lt;&gt;"",N165&lt;&gt;"",O165&lt;&gt;""),"Yes","No")</f>
        <v>No</v>
      </c>
      <c r="AA165" s="10" t="s">
        <v>56</v>
      </c>
    </row>
    <row r="166" spans="1:27">
      <c r="A166" s="10" t="s">
        <v>776</v>
      </c>
      <c r="B166" s="10" t="s">
        <v>777</v>
      </c>
      <c r="C166" s="10" t="s">
        <v>12</v>
      </c>
      <c r="D166" s="10" t="s">
        <v>55</v>
      </c>
      <c r="E166" s="11" t="b">
        <v>1</v>
      </c>
      <c r="F166" s="12">
        <v>44064</v>
      </c>
      <c r="G166" s="12">
        <v>44064.999999988424</v>
      </c>
      <c r="H166" s="13">
        <f>IF(F166="","",(Summary!$B$5-F166)/365.25)</f>
        <v>5.9493839598068305</v>
      </c>
      <c r="I166" s="14">
        <v>4.1500000000000002E-2</v>
      </c>
      <c r="J166" s="15">
        <v>2.4199999999999998E-3</v>
      </c>
      <c r="K166" s="16">
        <v>8254077.3700000001</v>
      </c>
      <c r="L166" s="16">
        <v>342621.59553599998</v>
      </c>
      <c r="M166" s="17">
        <v>2472</v>
      </c>
      <c r="N166" s="14">
        <v>4.1399999999999999E-2</v>
      </c>
      <c r="O166" s="14">
        <v>4.1500000000000002E-2</v>
      </c>
      <c r="P166" s="18">
        <f>IF(OR(N166="",O166="",N166=0,O166=0),"",(O166-N166)/((O166+N166)/2))</f>
        <v>2.4125452352232297E-3</v>
      </c>
      <c r="Q166" s="14">
        <v>4.1509379999999999E-2</v>
      </c>
      <c r="R166" s="14">
        <v>4.2299999999999997E-2</v>
      </c>
      <c r="S166" s="14">
        <v>4.0800000000000003E-2</v>
      </c>
      <c r="T166" s="12">
        <v>46236.012472060182</v>
      </c>
      <c r="U166" s="12">
        <v>46237.012472060182</v>
      </c>
      <c r="V166" s="14">
        <v>5</v>
      </c>
      <c r="W166" s="14">
        <v>0.01</v>
      </c>
      <c r="X166" s="14">
        <v>0.01</v>
      </c>
      <c r="Y166" s="14">
        <v>1E-4</v>
      </c>
      <c r="Z166" s="10" t="str">
        <f>IF(AND(D166="TRADING",I166&lt;&gt;"",L166&lt;&gt;"",M166&lt;&gt;"",N166&lt;&gt;"",O166&lt;&gt;""),"Yes","No")</f>
        <v>Yes</v>
      </c>
      <c r="AA166" s="10" t="s">
        <v>56</v>
      </c>
    </row>
    <row r="167" spans="1:27">
      <c r="A167" s="10" t="s">
        <v>1090</v>
      </c>
      <c r="B167" s="10" t="s">
        <v>1091</v>
      </c>
      <c r="C167" s="10" t="s">
        <v>12</v>
      </c>
      <c r="D167" s="10" t="s">
        <v>55</v>
      </c>
      <c r="E167" s="11" t="b">
        <v>1</v>
      </c>
      <c r="F167" s="12">
        <v>44070</v>
      </c>
      <c r="G167" s="12">
        <v>44070.999999988424</v>
      </c>
      <c r="H167" s="13">
        <f>IF(F167="","",(Summary!$B$5-F167)/365.25)</f>
        <v>5.9329568550840381</v>
      </c>
      <c r="I167" s="14">
        <v>1.2780000000000001E-3</v>
      </c>
      <c r="J167" s="15">
        <v>2.3220000000000001E-2</v>
      </c>
      <c r="K167" s="16">
        <v>391136278.10000002</v>
      </c>
      <c r="L167" s="16">
        <v>505970.47825699998</v>
      </c>
      <c r="M167" s="17">
        <v>6900</v>
      </c>
      <c r="N167" s="14">
        <v>1.2780000000000001E-3</v>
      </c>
      <c r="O167" s="14">
        <v>1.279E-3</v>
      </c>
      <c r="P167" s="18">
        <f>IF(OR(N167="",O167="",N167=0,O167=0),"",(O167-N167)/((O167+N167)/2))</f>
        <v>7.8216660148605068E-4</v>
      </c>
      <c r="Q167" s="14">
        <v>1.2935900000000001E-3</v>
      </c>
      <c r="R167" s="14">
        <v>1.3320000000000001E-3</v>
      </c>
      <c r="S167" s="14">
        <v>1.245E-3</v>
      </c>
      <c r="T167" s="12">
        <v>46236.012455717595</v>
      </c>
      <c r="U167" s="12">
        <v>46237.012455717595</v>
      </c>
      <c r="V167" s="14">
        <v>5</v>
      </c>
      <c r="W167" s="14">
        <v>0.1</v>
      </c>
      <c r="X167" s="14">
        <v>0.1</v>
      </c>
      <c r="Y167" s="14">
        <v>9.9999999999999995E-7</v>
      </c>
      <c r="Z167" s="10" t="str">
        <f>IF(AND(D167="TRADING",I167&lt;&gt;"",L167&lt;&gt;"",M167&lt;&gt;"",N167&lt;&gt;"",O167&lt;&gt;""),"Yes","No")</f>
        <v>Yes</v>
      </c>
      <c r="AA167" s="10" t="s">
        <v>56</v>
      </c>
    </row>
    <row r="168" spans="1:27">
      <c r="A168" s="10" t="s">
        <v>954</v>
      </c>
      <c r="B168" s="10" t="s">
        <v>955</v>
      </c>
      <c r="C168" s="10" t="s">
        <v>12</v>
      </c>
      <c r="D168" s="10" t="s">
        <v>55</v>
      </c>
      <c r="E168" s="11" t="b">
        <v>1</v>
      </c>
      <c r="F168" s="12">
        <v>44071</v>
      </c>
      <c r="G168" s="12">
        <v>44071.999999988424</v>
      </c>
      <c r="H168" s="13">
        <f>IF(F168="","",(Summary!$B$5-F168)/365.25)</f>
        <v>5.9302190042969061</v>
      </c>
      <c r="I168" s="14">
        <v>4067.95</v>
      </c>
      <c r="J168" s="15">
        <v>4.64E-3</v>
      </c>
      <c r="K168" s="16">
        <v>1412.3895</v>
      </c>
      <c r="L168" s="16">
        <v>5739751.1188740004</v>
      </c>
      <c r="M168" s="17">
        <v>12180</v>
      </c>
      <c r="N168" s="14">
        <v>4067.94</v>
      </c>
      <c r="O168" s="14">
        <v>4067.95</v>
      </c>
      <c r="P168" s="18">
        <f>IF(OR(N168="",O168="",N168=0,O168=0),"",(O168-N168)/((O168+N168)/2))</f>
        <v>2.4582436585950726E-6</v>
      </c>
      <c r="Q168" s="14">
        <v>4063.8585311400002</v>
      </c>
      <c r="R168" s="14">
        <v>4082.88</v>
      </c>
      <c r="S168" s="14">
        <v>4049.16</v>
      </c>
      <c r="T168" s="12">
        <v>46236.01246302083</v>
      </c>
      <c r="U168" s="12">
        <v>46237.01246302083</v>
      </c>
      <c r="V168" s="14">
        <v>5</v>
      </c>
      <c r="W168" s="14">
        <v>1E-4</v>
      </c>
      <c r="X168" s="14">
        <v>1E-4</v>
      </c>
      <c r="Y168" s="14">
        <v>0.01</v>
      </c>
      <c r="Z168" s="10" t="str">
        <f>IF(AND(D168="TRADING",I168&lt;&gt;"",L168&lt;&gt;"",M168&lt;&gt;"",N168&lt;&gt;"",O168&lt;&gt;""),"Yes","No")</f>
        <v>Yes</v>
      </c>
      <c r="AA168" s="10" t="s">
        <v>56</v>
      </c>
    </row>
    <row r="169" spans="1:27">
      <c r="A169" s="10" t="s">
        <v>1355</v>
      </c>
      <c r="B169" s="10" t="s">
        <v>1356</v>
      </c>
      <c r="C169" s="10" t="s">
        <v>12</v>
      </c>
      <c r="D169" s="10" t="s">
        <v>84</v>
      </c>
      <c r="E169" s="11" t="b">
        <v>1</v>
      </c>
      <c r="F169" s="12">
        <v>44071</v>
      </c>
      <c r="G169" s="12">
        <v>44071.999999988424</v>
      </c>
      <c r="H169" s="13">
        <f>IF(F169="","",(Summary!$B$5-F169)/365.25)</f>
        <v>5.9302190042969061</v>
      </c>
      <c r="I169" s="14">
        <v>73.260000000000005</v>
      </c>
      <c r="J169" s="15">
        <v>3.1980000000000001E-2</v>
      </c>
      <c r="K169" s="16">
        <v>2428.38</v>
      </c>
      <c r="L169" s="16">
        <v>177656.52170000001</v>
      </c>
      <c r="M169" s="17">
        <v>4001</v>
      </c>
      <c r="N169" s="14">
        <v>0</v>
      </c>
      <c r="O169" s="14">
        <v>0</v>
      </c>
      <c r="P169" s="18" t="str">
        <f>IF(OR(N169="",O169="",N169=0,O169=0),"",(O169-N169)/((O169+N169)/2))</f>
        <v/>
      </c>
      <c r="Q169" s="14">
        <v>73.158452010000005</v>
      </c>
      <c r="R169" s="14">
        <v>76.37</v>
      </c>
      <c r="S169" s="14">
        <v>69.38</v>
      </c>
      <c r="T169" s="12">
        <v>46209.261123090277</v>
      </c>
      <c r="U169" s="12">
        <v>46210.261123090277</v>
      </c>
      <c r="V169" s="14">
        <v>5</v>
      </c>
      <c r="W169" s="14">
        <v>0.01</v>
      </c>
      <c r="X169" s="14">
        <v>0.01</v>
      </c>
      <c r="Y169" s="14">
        <v>0.01</v>
      </c>
      <c r="Z169" s="10" t="str">
        <f>IF(AND(D169="TRADING",I169&lt;&gt;"",L169&lt;&gt;"",M169&lt;&gt;"",N169&lt;&gt;"",O169&lt;&gt;""),"Yes","No")</f>
        <v>No</v>
      </c>
      <c r="AA169" s="10" t="s">
        <v>56</v>
      </c>
    </row>
    <row r="170" spans="1:27">
      <c r="A170" s="10" t="s">
        <v>1239</v>
      </c>
      <c r="B170" s="10" t="s">
        <v>1240</v>
      </c>
      <c r="C170" s="10" t="s">
        <v>12</v>
      </c>
      <c r="D170" s="10" t="s">
        <v>55</v>
      </c>
      <c r="E170" s="11" t="b">
        <v>1</v>
      </c>
      <c r="F170" s="12">
        <v>44072</v>
      </c>
      <c r="G170" s="12">
        <v>44072.999999988424</v>
      </c>
      <c r="H170" s="13">
        <f>IF(F170="","",(Summary!$B$5-F170)/365.25)</f>
        <v>5.927481153509774</v>
      </c>
      <c r="I170" s="14">
        <v>13.41</v>
      </c>
      <c r="J170" s="15">
        <v>-8.8699999999999994E-3</v>
      </c>
      <c r="K170" s="16">
        <v>24420.186000000002</v>
      </c>
      <c r="L170" s="16">
        <v>330499.39610000001</v>
      </c>
      <c r="M170" s="17">
        <v>3234</v>
      </c>
      <c r="N170" s="14">
        <v>13.4</v>
      </c>
      <c r="O170" s="14">
        <v>13.41</v>
      </c>
      <c r="P170" s="18">
        <f>IF(OR(N170="",O170="",N170=0,O170=0),"",(O170-N170)/((O170+N170)/2))</f>
        <v>7.4599030212605636E-4</v>
      </c>
      <c r="Q170" s="14">
        <v>13.53386072</v>
      </c>
      <c r="R170" s="14">
        <v>13.63</v>
      </c>
      <c r="S170" s="14">
        <v>13.4</v>
      </c>
      <c r="T170" s="12">
        <v>46236.012488020831</v>
      </c>
      <c r="U170" s="12">
        <v>46237.012488020831</v>
      </c>
      <c r="V170" s="14">
        <v>5</v>
      </c>
      <c r="W170" s="14">
        <v>1E-3</v>
      </c>
      <c r="X170" s="14">
        <v>1E-3</v>
      </c>
      <c r="Y170" s="14">
        <v>0.01</v>
      </c>
      <c r="Z170" s="10" t="str">
        <f>IF(AND(D170="TRADING",I170&lt;&gt;"",L170&lt;&gt;"",M170&lt;&gt;"",N170&lt;&gt;"",O170&lt;&gt;""),"Yes","No")</f>
        <v>Yes</v>
      </c>
      <c r="AA170" s="10" t="s">
        <v>56</v>
      </c>
    </row>
    <row r="171" spans="1:27">
      <c r="A171" s="10" t="s">
        <v>335</v>
      </c>
      <c r="B171" s="10" t="s">
        <v>336</v>
      </c>
      <c r="C171" s="10" t="s">
        <v>12</v>
      </c>
      <c r="D171" s="10" t="s">
        <v>84</v>
      </c>
      <c r="E171" s="11" t="b">
        <v>1</v>
      </c>
      <c r="F171" s="12">
        <v>44074</v>
      </c>
      <c r="G171" s="12">
        <v>44074.999999988424</v>
      </c>
      <c r="H171" s="13">
        <f>IF(F171="","",(Summary!$B$5-F171)/365.25)</f>
        <v>5.9220054519355099</v>
      </c>
      <c r="I171" s="14">
        <v>0</v>
      </c>
      <c r="J171" s="15">
        <v>0</v>
      </c>
      <c r="K171" s="16">
        <v>0</v>
      </c>
      <c r="L171" s="16">
        <v>0</v>
      </c>
      <c r="M171" s="17">
        <v>0</v>
      </c>
      <c r="N171" s="14">
        <v>0</v>
      </c>
      <c r="O171" s="14">
        <v>0</v>
      </c>
      <c r="P171" s="18" t="str">
        <f>IF(OR(N171="",O171="",N171=0,O171=0),"",(O171-N171)/((O171+N171)/2))</f>
        <v/>
      </c>
      <c r="Q171" s="14">
        <v>0</v>
      </c>
      <c r="R171" s="14">
        <v>0</v>
      </c>
      <c r="S171" s="14">
        <v>0</v>
      </c>
      <c r="T171" s="12">
        <v>46209.261123090277</v>
      </c>
      <c r="U171" s="12">
        <v>46210.261123090277</v>
      </c>
      <c r="V171" s="14">
        <v>10</v>
      </c>
      <c r="W171" s="14">
        <v>1</v>
      </c>
      <c r="X171" s="14">
        <v>1</v>
      </c>
      <c r="Y171" s="14">
        <v>1E-4</v>
      </c>
      <c r="Z171" s="10" t="str">
        <f>IF(AND(D171="TRADING",I171&lt;&gt;"",L171&lt;&gt;"",M171&lt;&gt;"",N171&lt;&gt;"",O171&lt;&gt;""),"Yes","No")</f>
        <v>No</v>
      </c>
      <c r="AA171" s="10" t="s">
        <v>56</v>
      </c>
    </row>
    <row r="172" spans="1:27">
      <c r="A172" s="10" t="s">
        <v>1199</v>
      </c>
      <c r="B172" s="10" t="s">
        <v>1200</v>
      </c>
      <c r="C172" s="10" t="s">
        <v>12</v>
      </c>
      <c r="D172" s="10" t="s">
        <v>55</v>
      </c>
      <c r="E172" s="11" t="b">
        <v>1</v>
      </c>
      <c r="F172" s="12">
        <v>44075</v>
      </c>
      <c r="G172" s="12">
        <v>44075.999999988424</v>
      </c>
      <c r="H172" s="13">
        <f>IF(F172="","",(Summary!$B$5-F172)/365.25)</f>
        <v>5.9192676011483778</v>
      </c>
      <c r="I172" s="14">
        <v>0.15540000000000001</v>
      </c>
      <c r="J172" s="15">
        <v>2.4390000000000002E-2</v>
      </c>
      <c r="K172" s="16">
        <v>780166.4</v>
      </c>
      <c r="L172" s="16">
        <v>121363.51136</v>
      </c>
      <c r="M172" s="17">
        <v>1741</v>
      </c>
      <c r="N172" s="14">
        <v>0.15540000000000001</v>
      </c>
      <c r="O172" s="14">
        <v>0.1555</v>
      </c>
      <c r="P172" s="18">
        <f>IF(OR(N172="",O172="",N172=0,O172=0),"",(O172-N172)/((O172+N172)/2))</f>
        <v>6.4329366355734305E-4</v>
      </c>
      <c r="Q172" s="14">
        <v>0.15556106</v>
      </c>
      <c r="R172" s="14">
        <v>0.15709999999999999</v>
      </c>
      <c r="S172" s="14">
        <v>0.1517</v>
      </c>
      <c r="T172" s="12">
        <v>46236.011819108797</v>
      </c>
      <c r="U172" s="12">
        <v>46237.011819108797</v>
      </c>
      <c r="V172" s="14">
        <v>5</v>
      </c>
      <c r="W172" s="14">
        <v>0.1</v>
      </c>
      <c r="X172" s="14">
        <v>0.1</v>
      </c>
      <c r="Y172" s="14">
        <v>1E-4</v>
      </c>
      <c r="Z172" s="10" t="str">
        <f>IF(AND(D172="TRADING",I172&lt;&gt;"",L172&lt;&gt;"",M172&lt;&gt;"",N172&lt;&gt;"",O172&lt;&gt;""),"Yes","No")</f>
        <v>Yes</v>
      </c>
      <c r="AA172" s="10" t="s">
        <v>56</v>
      </c>
    </row>
    <row r="173" spans="1:27">
      <c r="A173" s="10" t="s">
        <v>1399</v>
      </c>
      <c r="B173" s="10" t="s">
        <v>1400</v>
      </c>
      <c r="C173" s="10" t="s">
        <v>12</v>
      </c>
      <c r="D173" s="10" t="s">
        <v>84</v>
      </c>
      <c r="E173" s="11" t="b">
        <v>1</v>
      </c>
      <c r="F173" s="12">
        <v>44075</v>
      </c>
      <c r="G173" s="12">
        <v>44075.999999988424</v>
      </c>
      <c r="H173" s="13">
        <f>IF(F173="","",(Summary!$B$5-F173)/365.25)</f>
        <v>5.9192676011483778</v>
      </c>
      <c r="I173" s="14">
        <v>435.5</v>
      </c>
      <c r="J173" s="15">
        <v>2.3019999999999999E-2</v>
      </c>
      <c r="K173" s="16">
        <v>1767.0523000000001</v>
      </c>
      <c r="L173" s="16">
        <v>762617.42137</v>
      </c>
      <c r="M173" s="17">
        <v>4001</v>
      </c>
      <c r="N173" s="14">
        <v>0</v>
      </c>
      <c r="O173" s="14">
        <v>0</v>
      </c>
      <c r="P173" s="18" t="str">
        <f>IF(OR(N173="",O173="",N173=0,O173=0),"",(O173-N173)/((O173+N173)/2))</f>
        <v/>
      </c>
      <c r="Q173" s="14">
        <v>431.57603279</v>
      </c>
      <c r="R173" s="14">
        <v>442.4</v>
      </c>
      <c r="S173" s="14">
        <v>421.1</v>
      </c>
      <c r="T173" s="12">
        <v>46209.261123090277</v>
      </c>
      <c r="U173" s="12">
        <v>46210.261123090277</v>
      </c>
      <c r="V173" s="14">
        <v>10</v>
      </c>
      <c r="W173" s="14">
        <v>1E-4</v>
      </c>
      <c r="X173" s="14">
        <v>1E-4</v>
      </c>
      <c r="Y173" s="14">
        <v>0.1</v>
      </c>
      <c r="Z173" s="10" t="str">
        <f>IF(AND(D173="TRADING",I173&lt;&gt;"",L173&lt;&gt;"",M173&lt;&gt;"",N173&lt;&gt;"",O173&lt;&gt;""),"Yes","No")</f>
        <v>No</v>
      </c>
      <c r="AA173" s="10" t="s">
        <v>56</v>
      </c>
    </row>
    <row r="174" spans="1:27">
      <c r="A174" s="10" t="s">
        <v>465</v>
      </c>
      <c r="B174" s="10" t="s">
        <v>466</v>
      </c>
      <c r="C174" s="10" t="s">
        <v>12</v>
      </c>
      <c r="D174" s="10" t="s">
        <v>55</v>
      </c>
      <c r="E174" s="11" t="b">
        <v>1</v>
      </c>
      <c r="F174" s="12">
        <v>44077</v>
      </c>
      <c r="G174" s="12">
        <v>44077.999999988424</v>
      </c>
      <c r="H174" s="13">
        <f>IF(F174="","",(Summary!$B$5-F174)/365.25)</f>
        <v>5.9137918995741137</v>
      </c>
      <c r="I174" s="14">
        <v>2.67</v>
      </c>
      <c r="J174" s="15">
        <v>0</v>
      </c>
      <c r="K174" s="16">
        <v>43748.71</v>
      </c>
      <c r="L174" s="16">
        <v>117684.3083</v>
      </c>
      <c r="M174" s="17">
        <v>1687</v>
      </c>
      <c r="N174" s="14">
        <v>2.67</v>
      </c>
      <c r="O174" s="14">
        <v>2.68</v>
      </c>
      <c r="P174" s="18">
        <f>IF(OR(N174="",O174="",N174=0,O174=0),"",(O174-N174)/((O174+N174)/2))</f>
        <v>3.7383177570094323E-3</v>
      </c>
      <c r="Q174" s="14">
        <v>2.6900063599999999</v>
      </c>
      <c r="R174" s="14">
        <v>2.72</v>
      </c>
      <c r="S174" s="14">
        <v>2.66</v>
      </c>
      <c r="T174" s="12">
        <v>46236.012339629633</v>
      </c>
      <c r="U174" s="12">
        <v>46237.012339629633</v>
      </c>
      <c r="V174" s="14">
        <v>5</v>
      </c>
      <c r="W174" s="14">
        <v>0.01</v>
      </c>
      <c r="X174" s="14">
        <v>0.01</v>
      </c>
      <c r="Y174" s="14">
        <v>0.01</v>
      </c>
      <c r="Z174" s="10" t="str">
        <f>IF(AND(D174="TRADING",I174&lt;&gt;"",L174&lt;&gt;"",M174&lt;&gt;"",N174&lt;&gt;"",O174&lt;&gt;""),"Yes","No")</f>
        <v>Yes</v>
      </c>
      <c r="AA174" s="10" t="s">
        <v>56</v>
      </c>
    </row>
    <row r="175" spans="1:27">
      <c r="A175" s="10" t="s">
        <v>433</v>
      </c>
      <c r="B175" s="10" t="s">
        <v>434</v>
      </c>
      <c r="C175" s="10" t="s">
        <v>12</v>
      </c>
      <c r="D175" s="10" t="s">
        <v>55</v>
      </c>
      <c r="E175" s="11" t="b">
        <v>1</v>
      </c>
      <c r="F175" s="12">
        <v>44078</v>
      </c>
      <c r="G175" s="12">
        <v>44078.999999988424</v>
      </c>
      <c r="H175" s="13">
        <f>IF(F175="","",(Summary!$B$5-F175)/365.25)</f>
        <v>5.9110540487869816</v>
      </c>
      <c r="I175" s="14">
        <v>0.1114</v>
      </c>
      <c r="J175" s="15">
        <v>9.0600000000000003E-3</v>
      </c>
      <c r="K175" s="16">
        <v>7784877.7999999998</v>
      </c>
      <c r="L175" s="16">
        <v>858235.71583</v>
      </c>
      <c r="M175" s="17">
        <v>33814</v>
      </c>
      <c r="N175" s="14">
        <v>0.1114</v>
      </c>
      <c r="O175" s="14">
        <v>0.1116</v>
      </c>
      <c r="P175" s="18">
        <f>IF(OR(N175="",O175="",N175=0,O175=0),"",(O175-N175)/((O175+N175)/2))</f>
        <v>1.7937219730942218E-3</v>
      </c>
      <c r="Q175" s="14">
        <v>0.11024394999999999</v>
      </c>
      <c r="R175" s="14">
        <v>0.11650000000000001</v>
      </c>
      <c r="S175" s="14">
        <v>0.10539999999999999</v>
      </c>
      <c r="T175" s="12">
        <v>46236.01247577546</v>
      </c>
      <c r="U175" s="12">
        <v>46237.01247577546</v>
      </c>
      <c r="V175" s="14">
        <v>5</v>
      </c>
      <c r="W175" s="14">
        <v>0.1</v>
      </c>
      <c r="X175" s="14">
        <v>0.1</v>
      </c>
      <c r="Y175" s="14">
        <v>1E-4</v>
      </c>
      <c r="Z175" s="10" t="str">
        <f>IF(AND(D175="TRADING",I175&lt;&gt;"",L175&lt;&gt;"",M175&lt;&gt;"",N175&lt;&gt;"",O175&lt;&gt;""),"Yes","No")</f>
        <v>Yes</v>
      </c>
      <c r="AA175" s="10" t="s">
        <v>56</v>
      </c>
    </row>
    <row r="176" spans="1:27">
      <c r="A176" s="10" t="s">
        <v>528</v>
      </c>
      <c r="B176" s="10" t="s">
        <v>529</v>
      </c>
      <c r="C176" s="10" t="s">
        <v>12</v>
      </c>
      <c r="D176" s="10" t="s">
        <v>84</v>
      </c>
      <c r="E176" s="11" t="b">
        <v>1</v>
      </c>
      <c r="F176" s="12">
        <v>44078</v>
      </c>
      <c r="G176" s="12">
        <v>44078.999999988424</v>
      </c>
      <c r="H176" s="13">
        <f>IF(F176="","",(Summary!$B$5-F176)/365.25)</f>
        <v>5.9110540487869816</v>
      </c>
      <c r="I176" s="14">
        <v>9.3999999999999997E-4</v>
      </c>
      <c r="J176" s="15">
        <v>-0.34265999999999996</v>
      </c>
      <c r="K176" s="16">
        <v>888399947</v>
      </c>
      <c r="L176" s="16">
        <v>1008760.84197</v>
      </c>
      <c r="M176" s="17">
        <v>20465</v>
      </c>
      <c r="N176" s="14">
        <v>0</v>
      </c>
      <c r="O176" s="14">
        <v>0</v>
      </c>
      <c r="P176" s="18" t="str">
        <f>IF(OR(N176="",O176="",N176=0,O176=0),"",(O176-N176)/((O176+N176)/2))</f>
        <v/>
      </c>
      <c r="Q176" s="14">
        <v>1.1354799999999999E-3</v>
      </c>
      <c r="R176" s="14">
        <v>1.5E-3</v>
      </c>
      <c r="S176" s="14">
        <v>8.0999999999999996E-4</v>
      </c>
      <c r="T176" s="12">
        <v>46209.261123090277</v>
      </c>
      <c r="U176" s="12">
        <v>46210.261123090277</v>
      </c>
      <c r="V176" s="14">
        <v>5</v>
      </c>
      <c r="W176" s="14">
        <v>1</v>
      </c>
      <c r="X176" s="14">
        <v>1</v>
      </c>
      <c r="Y176" s="14">
        <v>1.0000000000000001E-5</v>
      </c>
      <c r="Z176" s="10" t="str">
        <f>IF(AND(D176="TRADING",I176&lt;&gt;"",L176&lt;&gt;"",M176&lt;&gt;"",N176&lt;&gt;"",O176&lt;&gt;""),"Yes","No")</f>
        <v>No</v>
      </c>
      <c r="AA176" s="10" t="s">
        <v>56</v>
      </c>
    </row>
    <row r="177" spans="1:27">
      <c r="A177" s="10" t="s">
        <v>732</v>
      </c>
      <c r="B177" s="10" t="s">
        <v>733</v>
      </c>
      <c r="C177" s="10" t="s">
        <v>12</v>
      </c>
      <c r="D177" s="10" t="s">
        <v>55</v>
      </c>
      <c r="E177" s="11" t="b">
        <v>1</v>
      </c>
      <c r="F177" s="12">
        <v>44078</v>
      </c>
      <c r="G177" s="12">
        <v>44078.999999988424</v>
      </c>
      <c r="H177" s="13">
        <f>IF(F177="","",(Summary!$B$5-F177)/365.25)</f>
        <v>5.9110540487869816</v>
      </c>
      <c r="I177" s="14">
        <v>3.04</v>
      </c>
      <c r="J177" s="15">
        <v>-2.8750000000000001E-2</v>
      </c>
      <c r="K177" s="16">
        <v>160165.77799999999</v>
      </c>
      <c r="L177" s="16">
        <v>490590.07176000002</v>
      </c>
      <c r="M177" s="17">
        <v>4586</v>
      </c>
      <c r="N177" s="14">
        <v>3.04</v>
      </c>
      <c r="O177" s="14">
        <v>3.05</v>
      </c>
      <c r="P177" s="18">
        <f>IF(OR(N177="",O177="",N177=0,O177=0),"",(O177-N177)/((O177+N177)/2))</f>
        <v>3.284072249589421E-3</v>
      </c>
      <c r="Q177" s="14">
        <v>3.0630143200000002</v>
      </c>
      <c r="R177" s="14">
        <v>3.19</v>
      </c>
      <c r="S177" s="14">
        <v>3</v>
      </c>
      <c r="T177" s="12">
        <v>46236.012127210648</v>
      </c>
      <c r="U177" s="12">
        <v>46237.012127210648</v>
      </c>
      <c r="V177" s="14">
        <v>5</v>
      </c>
      <c r="W177" s="14">
        <v>1E-3</v>
      </c>
      <c r="X177" s="14">
        <v>1E-3</v>
      </c>
      <c r="Y177" s="14">
        <v>0.01</v>
      </c>
      <c r="Z177" s="10" t="str">
        <f>IF(AND(D177="TRADING",I177&lt;&gt;"",L177&lt;&gt;"",M177&lt;&gt;"",N177&lt;&gt;"",O177&lt;&gt;""),"Yes","No")</f>
        <v>Yes</v>
      </c>
      <c r="AA177" s="10" t="s">
        <v>56</v>
      </c>
    </row>
    <row r="178" spans="1:27">
      <c r="A178" s="10" t="s">
        <v>1092</v>
      </c>
      <c r="B178" s="10" t="s">
        <v>1093</v>
      </c>
      <c r="C178" s="10" t="s">
        <v>12</v>
      </c>
      <c r="D178" s="10" t="s">
        <v>55</v>
      </c>
      <c r="E178" s="11" t="b">
        <v>1</v>
      </c>
      <c r="F178" s="12">
        <v>44078</v>
      </c>
      <c r="G178" s="12">
        <v>44078.999999988424</v>
      </c>
      <c r="H178" s="13">
        <f>IF(F178="","",(Summary!$B$5-F178)/365.25)</f>
        <v>5.9110540487869816</v>
      </c>
      <c r="I178" s="14">
        <v>0.44400000000000001</v>
      </c>
      <c r="J178" s="15">
        <v>1.37E-2</v>
      </c>
      <c r="K178" s="16">
        <v>1029170.4</v>
      </c>
      <c r="L178" s="16">
        <v>455935.33870000002</v>
      </c>
      <c r="M178" s="17">
        <v>3288</v>
      </c>
      <c r="N178" s="14">
        <v>0.443</v>
      </c>
      <c r="O178" s="14">
        <v>0.44400000000000001</v>
      </c>
      <c r="P178" s="18">
        <f>IF(OR(N178="",O178="",N178=0,O178=0),"",(O178-N178)/((O178+N178)/2))</f>
        <v>2.2547914317925613E-3</v>
      </c>
      <c r="Q178" s="14">
        <v>0.44301248999999998</v>
      </c>
      <c r="R178" s="14">
        <v>0.44800000000000001</v>
      </c>
      <c r="S178" s="14">
        <v>0.436</v>
      </c>
      <c r="T178" s="12">
        <v>46236.012476296295</v>
      </c>
      <c r="U178" s="12">
        <v>46237.012476296295</v>
      </c>
      <c r="V178" s="14">
        <v>5</v>
      </c>
      <c r="W178" s="14">
        <v>0.1</v>
      </c>
      <c r="X178" s="14">
        <v>0.1</v>
      </c>
      <c r="Y178" s="14">
        <v>1E-3</v>
      </c>
      <c r="Z178" s="10" t="str">
        <f>IF(AND(D178="TRADING",I178&lt;&gt;"",L178&lt;&gt;"",M178&lt;&gt;"",N178&lt;&gt;"",O178&lt;&gt;""),"Yes","No")</f>
        <v>Yes</v>
      </c>
      <c r="AA178" s="10" t="s">
        <v>56</v>
      </c>
    </row>
    <row r="179" spans="1:27">
      <c r="A179" s="10" t="s">
        <v>1275</v>
      </c>
      <c r="B179" s="10" t="s">
        <v>1276</v>
      </c>
      <c r="C179" s="10" t="s">
        <v>12</v>
      </c>
      <c r="D179" s="10" t="s">
        <v>55</v>
      </c>
      <c r="E179" s="11" t="b">
        <v>1</v>
      </c>
      <c r="F179" s="12">
        <v>44083</v>
      </c>
      <c r="G179" s="12">
        <v>44083.999999988424</v>
      </c>
      <c r="H179" s="13">
        <f>IF(F179="","",(Summary!$B$5-F179)/365.25)</f>
        <v>5.8973647948513213</v>
      </c>
      <c r="I179" s="14">
        <v>0.33700000000000002</v>
      </c>
      <c r="J179" s="15">
        <v>-5.8999999999999999E-3</v>
      </c>
      <c r="K179" s="16">
        <v>146478.6</v>
      </c>
      <c r="L179" s="16">
        <v>49668.7791</v>
      </c>
      <c r="M179" s="17">
        <v>649</v>
      </c>
      <c r="N179" s="14">
        <v>0.33700000000000002</v>
      </c>
      <c r="O179" s="14">
        <v>0.33800000000000002</v>
      </c>
      <c r="P179" s="18">
        <f>IF(OR(N179="",O179="",N179=0,O179=0),"",(O179-N179)/((O179+N179)/2))</f>
        <v>2.9629629629629654E-3</v>
      </c>
      <c r="Q179" s="14">
        <v>0.33908557</v>
      </c>
      <c r="R179" s="14">
        <v>0.34599999999999997</v>
      </c>
      <c r="S179" s="14">
        <v>0.33700000000000002</v>
      </c>
      <c r="T179" s="12">
        <v>46236.01152064815</v>
      </c>
      <c r="U179" s="12">
        <v>46237.01152064815</v>
      </c>
      <c r="V179" s="14">
        <v>5</v>
      </c>
      <c r="W179" s="14">
        <v>0.1</v>
      </c>
      <c r="X179" s="14">
        <v>0.1</v>
      </c>
      <c r="Y179" s="14">
        <v>1E-3</v>
      </c>
      <c r="Z179" s="10" t="str">
        <f>IF(AND(D179="TRADING",I179&lt;&gt;"",L179&lt;&gt;"",M179&lt;&gt;"",N179&lt;&gt;"",O179&lt;&gt;""),"Yes","No")</f>
        <v>Yes</v>
      </c>
      <c r="AA179" s="10" t="s">
        <v>56</v>
      </c>
    </row>
    <row r="180" spans="1:27">
      <c r="A180" s="10" t="s">
        <v>269</v>
      </c>
      <c r="B180" s="10" t="s">
        <v>270</v>
      </c>
      <c r="C180" s="10" t="s">
        <v>12</v>
      </c>
      <c r="D180" s="10" t="s">
        <v>55</v>
      </c>
      <c r="E180" s="11" t="b">
        <v>1</v>
      </c>
      <c r="F180" s="12">
        <v>44089</v>
      </c>
      <c r="G180" s="12">
        <v>44089.999999988424</v>
      </c>
      <c r="H180" s="13">
        <f>IF(F180="","",(Summary!$B$5-F180)/365.25)</f>
        <v>5.880937690128528</v>
      </c>
      <c r="I180" s="14">
        <v>9.5299999999999996E-2</v>
      </c>
      <c r="J180" s="15">
        <v>-9.3600000000000003E-3</v>
      </c>
      <c r="K180" s="16">
        <v>1259487.8999999999</v>
      </c>
      <c r="L180" s="16">
        <v>120374.35644</v>
      </c>
      <c r="M180" s="17">
        <v>2425</v>
      </c>
      <c r="N180" s="14">
        <v>9.5200000000000007E-2</v>
      </c>
      <c r="O180" s="14">
        <v>9.5299999999999996E-2</v>
      </c>
      <c r="P180" s="18">
        <f>IF(OR(N180="",O180="",N180=0,O180=0),"",(O180-N180)/((O180+N180)/2))</f>
        <v>1.0498687664040839E-3</v>
      </c>
      <c r="Q180" s="14">
        <v>9.5574049999999994E-2</v>
      </c>
      <c r="R180" s="14">
        <v>9.7500000000000003E-2</v>
      </c>
      <c r="S180" s="14">
        <v>9.4600000000000004E-2</v>
      </c>
      <c r="T180" s="12">
        <v>46236.012480266203</v>
      </c>
      <c r="U180" s="12">
        <v>46237.012480266203</v>
      </c>
      <c r="V180" s="14">
        <v>5</v>
      </c>
      <c r="W180" s="14">
        <v>0.1</v>
      </c>
      <c r="X180" s="14">
        <v>0.1</v>
      </c>
      <c r="Y180" s="14">
        <v>1E-4</v>
      </c>
      <c r="Z180" s="10" t="str">
        <f>IF(AND(D180="TRADING",I180&lt;&gt;"",L180&lt;&gt;"",M180&lt;&gt;"",N180&lt;&gt;"",O180&lt;&gt;""),"Yes","No")</f>
        <v>Yes</v>
      </c>
      <c r="AA180" s="10" t="s">
        <v>56</v>
      </c>
    </row>
    <row r="181" spans="1:27">
      <c r="A181" s="10" t="s">
        <v>1347</v>
      </c>
      <c r="B181" s="10" t="s">
        <v>1348</v>
      </c>
      <c r="C181" s="10" t="s">
        <v>12</v>
      </c>
      <c r="D181" s="10" t="s">
        <v>84</v>
      </c>
      <c r="E181" s="11" t="b">
        <v>1</v>
      </c>
      <c r="F181" s="12">
        <v>44090</v>
      </c>
      <c r="G181" s="12">
        <v>44090.999999988424</v>
      </c>
      <c r="H181" s="13">
        <f>IF(F181="","",(Summary!$B$5-F181)/365.25)</f>
        <v>5.8781998393413959</v>
      </c>
      <c r="I181" s="14">
        <v>0.32600000000000001</v>
      </c>
      <c r="J181" s="15">
        <v>-0.23294000000000001</v>
      </c>
      <c r="K181" s="16">
        <v>906940.49</v>
      </c>
      <c r="L181" s="16">
        <v>334298.94935000001</v>
      </c>
      <c r="M181" s="17">
        <v>4001</v>
      </c>
      <c r="N181" s="14">
        <v>0</v>
      </c>
      <c r="O181" s="14">
        <v>0</v>
      </c>
      <c r="P181" s="18" t="str">
        <f>IF(OR(N181="",O181="",N181=0,O181=0),"",(O181-N181)/((O181+N181)/2))</f>
        <v/>
      </c>
      <c r="Q181" s="14">
        <v>0.36860074999999998</v>
      </c>
      <c r="R181" s="14">
        <v>0.45600000000000002</v>
      </c>
      <c r="S181" s="14">
        <v>0.29099999999999998</v>
      </c>
      <c r="T181" s="12">
        <v>46209.261123090277</v>
      </c>
      <c r="U181" s="12">
        <v>46210.261123090277</v>
      </c>
      <c r="V181" s="14">
        <v>5</v>
      </c>
      <c r="W181" s="14">
        <v>0.01</v>
      </c>
      <c r="X181" s="14">
        <v>0.01</v>
      </c>
      <c r="Y181" s="14">
        <v>1E-3</v>
      </c>
      <c r="Z181" s="10" t="str">
        <f>IF(AND(D181="TRADING",I181&lt;&gt;"",L181&lt;&gt;"",M181&lt;&gt;"",N181&lt;&gt;"",O181&lt;&gt;""),"Yes","No")</f>
        <v>No</v>
      </c>
      <c r="AA181" s="10" t="s">
        <v>56</v>
      </c>
    </row>
    <row r="182" spans="1:27">
      <c r="A182" s="10" t="s">
        <v>1279</v>
      </c>
      <c r="B182" s="10" t="s">
        <v>1280</v>
      </c>
      <c r="C182" s="10" t="s">
        <v>12</v>
      </c>
      <c r="D182" s="10" t="s">
        <v>55</v>
      </c>
      <c r="E182" s="11" t="b">
        <v>1</v>
      </c>
      <c r="F182" s="12">
        <v>44091</v>
      </c>
      <c r="G182" s="12">
        <v>44091.999999988424</v>
      </c>
      <c r="H182" s="13">
        <f>IF(F182="","",(Summary!$B$5-F182)/365.25)</f>
        <v>5.8754619885542638</v>
      </c>
      <c r="I182" s="14">
        <v>4.1130000000000004</v>
      </c>
      <c r="J182" s="15">
        <v>7.8399999999999997E-3</v>
      </c>
      <c r="K182" s="16">
        <v>3352580.34</v>
      </c>
      <c r="L182" s="16">
        <v>14040040.700130001</v>
      </c>
      <c r="M182" s="17">
        <v>91257</v>
      </c>
      <c r="N182" s="14">
        <v>4.1120000000000001</v>
      </c>
      <c r="O182" s="14">
        <v>4.1130000000000004</v>
      </c>
      <c r="P182" s="18">
        <f>IF(OR(N182="",O182="",N182=0,O182=0),"",(O182-N182)/((O182+N182)/2))</f>
        <v>2.4316109422500517E-4</v>
      </c>
      <c r="Q182" s="14">
        <v>4.1878312500000003</v>
      </c>
      <c r="R182" s="14">
        <v>4.2949999999999999</v>
      </c>
      <c r="S182" s="14">
        <v>4.0810000000000004</v>
      </c>
      <c r="T182" s="12">
        <v>46236.01248892361</v>
      </c>
      <c r="U182" s="12">
        <v>46237.01248892361</v>
      </c>
      <c r="V182" s="14">
        <v>5</v>
      </c>
      <c r="W182" s="14">
        <v>0.01</v>
      </c>
      <c r="X182" s="14">
        <v>0.01</v>
      </c>
      <c r="Y182" s="14">
        <v>1E-3</v>
      </c>
      <c r="Z182" s="10" t="str">
        <f>IF(AND(D182="TRADING",I182&lt;&gt;"",L182&lt;&gt;"",M182&lt;&gt;"",N182&lt;&gt;"",O182&lt;&gt;""),"Yes","No")</f>
        <v>Yes</v>
      </c>
      <c r="AA182" s="10" t="s">
        <v>56</v>
      </c>
    </row>
    <row r="183" spans="1:27">
      <c r="A183" s="10" t="s">
        <v>866</v>
      </c>
      <c r="B183" s="10" t="s">
        <v>867</v>
      </c>
      <c r="C183" s="10" t="s">
        <v>12</v>
      </c>
      <c r="D183" s="10" t="s">
        <v>84</v>
      </c>
      <c r="E183" s="11" t="b">
        <v>1</v>
      </c>
      <c r="F183" s="12">
        <v>44095</v>
      </c>
      <c r="G183" s="12">
        <v>44095.999999988424</v>
      </c>
      <c r="H183" s="13">
        <f>IF(F183="","",(Summary!$B$5-F183)/365.25)</f>
        <v>5.8645105854057356</v>
      </c>
      <c r="I183" s="14">
        <v>1.66E-3</v>
      </c>
      <c r="J183" s="15">
        <v>-8.7910000000000002E-2</v>
      </c>
      <c r="K183" s="16">
        <v>336485032.69999999</v>
      </c>
      <c r="L183" s="16">
        <v>568886.57292399998</v>
      </c>
      <c r="M183" s="17">
        <v>4001</v>
      </c>
      <c r="N183" s="14">
        <v>0</v>
      </c>
      <c r="O183" s="14">
        <v>0</v>
      </c>
      <c r="P183" s="18" t="str">
        <f>IF(OR(N183="",O183="",N183=0,O183=0),"",(O183-N183)/((O183+N183)/2))</f>
        <v/>
      </c>
      <c r="Q183" s="14">
        <v>1.69067E-3</v>
      </c>
      <c r="R183" s="14">
        <v>1.8500000000000001E-3</v>
      </c>
      <c r="S183" s="14">
        <v>1.6100000000000001E-3</v>
      </c>
      <c r="T183" s="12">
        <v>46209.261123090277</v>
      </c>
      <c r="U183" s="12">
        <v>46210.261123090277</v>
      </c>
      <c r="V183" s="14">
        <v>5</v>
      </c>
      <c r="W183" s="14">
        <v>0.1</v>
      </c>
      <c r="X183" s="14">
        <v>0.1</v>
      </c>
      <c r="Y183" s="14">
        <v>1.0000000000000001E-5</v>
      </c>
      <c r="Z183" s="10" t="str">
        <f>IF(AND(D183="TRADING",I183&lt;&gt;"",L183&lt;&gt;"",M183&lt;&gt;"",N183&lt;&gt;"",O183&lt;&gt;""),"Yes","No")</f>
        <v>No</v>
      </c>
      <c r="AA183" s="10" t="s">
        <v>56</v>
      </c>
    </row>
    <row r="184" spans="1:27">
      <c r="A184" s="10" t="s">
        <v>950</v>
      </c>
      <c r="B184" s="10" t="s">
        <v>951</v>
      </c>
      <c r="C184" s="10" t="s">
        <v>12</v>
      </c>
      <c r="D184" s="10" t="s">
        <v>84</v>
      </c>
      <c r="E184" s="11" t="b">
        <v>1</v>
      </c>
      <c r="F184" s="12">
        <v>44095</v>
      </c>
      <c r="G184" s="12">
        <v>44095.999999988424</v>
      </c>
      <c r="H184" s="13">
        <f>IF(F184="","",(Summary!$B$5-F184)/365.25)</f>
        <v>5.8645105854057356</v>
      </c>
      <c r="I184" s="14">
        <v>9.4000000000000004E-3</v>
      </c>
      <c r="J184" s="15">
        <v>-4.0819999999999995E-2</v>
      </c>
      <c r="K184" s="16">
        <v>64824189</v>
      </c>
      <c r="L184" s="16">
        <v>646795.50600000005</v>
      </c>
      <c r="M184" s="17">
        <v>8754</v>
      </c>
      <c r="N184" s="14">
        <v>0</v>
      </c>
      <c r="O184" s="14">
        <v>0</v>
      </c>
      <c r="P184" s="18" t="str">
        <f>IF(OR(N184="",O184="",N184=0,O184=0),"",(O184-N184)/((O184+N184)/2))</f>
        <v/>
      </c>
      <c r="Q184" s="14">
        <v>9.9776900000000009E-3</v>
      </c>
      <c r="R184" s="14">
        <v>1.24E-2</v>
      </c>
      <c r="S184" s="14">
        <v>9.1999999999999998E-3</v>
      </c>
      <c r="T184" s="12">
        <v>46209.261123090277</v>
      </c>
      <c r="U184" s="12">
        <v>46210.261123090277</v>
      </c>
      <c r="V184" s="14">
        <v>5</v>
      </c>
      <c r="W184" s="14">
        <v>1</v>
      </c>
      <c r="X184" s="14">
        <v>1</v>
      </c>
      <c r="Y184" s="14">
        <v>1E-4</v>
      </c>
      <c r="Z184" s="10" t="str">
        <f>IF(AND(D184="TRADING",I184&lt;&gt;"",L184&lt;&gt;"",M184&lt;&gt;"",N184&lt;&gt;"",O184&lt;&gt;""),"Yes","No")</f>
        <v>No</v>
      </c>
      <c r="AA184" s="10" t="s">
        <v>56</v>
      </c>
    </row>
    <row r="185" spans="1:27">
      <c r="A185" s="10" t="s">
        <v>1191</v>
      </c>
      <c r="B185" s="10" t="s">
        <v>1192</v>
      </c>
      <c r="C185" s="10" t="s">
        <v>12</v>
      </c>
      <c r="D185" s="10" t="s">
        <v>55</v>
      </c>
      <c r="E185" s="11" t="b">
        <v>1</v>
      </c>
      <c r="F185" s="12">
        <v>44095</v>
      </c>
      <c r="G185" s="12">
        <v>44095.999999988424</v>
      </c>
      <c r="H185" s="13">
        <f>IF(F185="","",(Summary!$B$5-F185)/365.25)</f>
        <v>5.8645105854057356</v>
      </c>
      <c r="I185" s="14">
        <v>1.796E-2</v>
      </c>
      <c r="J185" s="15">
        <v>3.3500000000000001E-3</v>
      </c>
      <c r="K185" s="16">
        <v>15091204</v>
      </c>
      <c r="L185" s="16">
        <v>271457.53567999997</v>
      </c>
      <c r="M185" s="17">
        <v>1704</v>
      </c>
      <c r="N185" s="14">
        <v>1.7950000000000001E-2</v>
      </c>
      <c r="O185" s="14">
        <v>1.796E-2</v>
      </c>
      <c r="P185" s="18">
        <f>IF(OR(N185="",O185="",N185=0,O185=0),"",(O185-N185)/((O185+N185)/2))</f>
        <v>5.5694792536895531E-4</v>
      </c>
      <c r="Q185" s="14">
        <v>1.7987800000000002E-2</v>
      </c>
      <c r="R185" s="14">
        <v>1.806E-2</v>
      </c>
      <c r="S185" s="14">
        <v>1.788E-2</v>
      </c>
      <c r="T185" s="12">
        <v>46236.012487870372</v>
      </c>
      <c r="U185" s="12">
        <v>46237.012487870372</v>
      </c>
      <c r="V185" s="14">
        <v>5</v>
      </c>
      <c r="W185" s="14">
        <v>1</v>
      </c>
      <c r="X185" s="14">
        <v>1</v>
      </c>
      <c r="Y185" s="14">
        <v>1.0000000000000001E-5</v>
      </c>
      <c r="Z185" s="10" t="str">
        <f>IF(AND(D185="TRADING",I185&lt;&gt;"",L185&lt;&gt;"",M185&lt;&gt;"",N185&lt;&gt;"",O185&lt;&gt;""),"Yes","No")</f>
        <v>Yes</v>
      </c>
      <c r="AA185" s="10" t="s">
        <v>56</v>
      </c>
    </row>
    <row r="186" spans="1:27">
      <c r="A186" s="10" t="s">
        <v>213</v>
      </c>
      <c r="B186" s="10" t="s">
        <v>214</v>
      </c>
      <c r="C186" s="10" t="s">
        <v>12</v>
      </c>
      <c r="D186" s="10" t="s">
        <v>55</v>
      </c>
      <c r="E186" s="11" t="b">
        <v>1</v>
      </c>
      <c r="F186" s="12">
        <v>44096</v>
      </c>
      <c r="G186" s="12">
        <v>44096.999999988424</v>
      </c>
      <c r="H186" s="13">
        <f>IF(F186="","",(Summary!$B$5-F186)/365.25)</f>
        <v>5.8617727346186035</v>
      </c>
      <c r="I186" s="14">
        <v>6.54</v>
      </c>
      <c r="J186" s="15">
        <v>5.5010000000000003E-2</v>
      </c>
      <c r="K186" s="16">
        <v>2549405.0499999998</v>
      </c>
      <c r="L186" s="16">
        <v>16734665.295609999</v>
      </c>
      <c r="M186" s="17">
        <v>251784</v>
      </c>
      <c r="N186" s="14">
        <v>6.5389999999999997</v>
      </c>
      <c r="O186" s="14">
        <v>6.54</v>
      </c>
      <c r="P186" s="18">
        <f>IF(OR(N186="",O186="",N186=0,O186=0),"",(O186-N186)/((O186+N186)/2))</f>
        <v>1.5291688967051517E-4</v>
      </c>
      <c r="Q186" s="14">
        <v>6.5641453500000004</v>
      </c>
      <c r="R186" s="14">
        <v>6.6870000000000003</v>
      </c>
      <c r="S186" s="14">
        <v>6.1890000000000001</v>
      </c>
      <c r="T186" s="12">
        <v>46236.012488865737</v>
      </c>
      <c r="U186" s="12">
        <v>46237.012488865737</v>
      </c>
      <c r="V186" s="14">
        <v>5</v>
      </c>
      <c r="W186" s="14">
        <v>0.01</v>
      </c>
      <c r="X186" s="14">
        <v>0.01</v>
      </c>
      <c r="Y186" s="14">
        <v>1E-3</v>
      </c>
      <c r="Z186" s="10" t="str">
        <f>IF(AND(D186="TRADING",I186&lt;&gt;"",L186&lt;&gt;"",M186&lt;&gt;"",N186&lt;&gt;"",O186&lt;&gt;""),"Yes","No")</f>
        <v>Yes</v>
      </c>
      <c r="AA186" s="10" t="s">
        <v>56</v>
      </c>
    </row>
    <row r="187" spans="1:27">
      <c r="A187" s="10" t="s">
        <v>638</v>
      </c>
      <c r="B187" s="10" t="s">
        <v>639</v>
      </c>
      <c r="C187" s="10" t="s">
        <v>12</v>
      </c>
      <c r="D187" s="10" t="s">
        <v>84</v>
      </c>
      <c r="E187" s="11" t="b">
        <v>1</v>
      </c>
      <c r="F187" s="12">
        <v>44098</v>
      </c>
      <c r="G187" s="12">
        <v>44098.999999988424</v>
      </c>
      <c r="H187" s="13">
        <f>IF(F187="","",(Summary!$B$5-F187)/365.25)</f>
        <v>5.8562970330443394</v>
      </c>
      <c r="I187" s="14">
        <v>4.67</v>
      </c>
      <c r="J187" s="15">
        <v>1.7430000000000001E-2</v>
      </c>
      <c r="K187" s="16">
        <v>186891.97</v>
      </c>
      <c r="L187" s="16">
        <v>863151.17290000001</v>
      </c>
      <c r="M187" s="17">
        <v>4001</v>
      </c>
      <c r="N187" s="14">
        <v>0</v>
      </c>
      <c r="O187" s="14">
        <v>0</v>
      </c>
      <c r="P187" s="18" t="str">
        <f>IF(OR(N187="",O187="",N187=0,O187=0),"",(O187-N187)/((O187+N187)/2))</f>
        <v/>
      </c>
      <c r="Q187" s="14">
        <v>4.6184497499999999</v>
      </c>
      <c r="R187" s="14">
        <v>4.7</v>
      </c>
      <c r="S187" s="14">
        <v>4.55</v>
      </c>
      <c r="T187" s="12">
        <v>46209.261123090277</v>
      </c>
      <c r="U187" s="12">
        <v>46210.261123090277</v>
      </c>
      <c r="V187" s="14">
        <v>10</v>
      </c>
      <c r="W187" s="14">
        <v>0.01</v>
      </c>
      <c r="X187" s="14">
        <v>0.01</v>
      </c>
      <c r="Y187" s="14">
        <v>0.01</v>
      </c>
      <c r="Z187" s="10" t="str">
        <f>IF(AND(D187="TRADING",I187&lt;&gt;"",L187&lt;&gt;"",M187&lt;&gt;"",N187&lt;&gt;"",O187&lt;&gt;""),"Yes","No")</f>
        <v>No</v>
      </c>
      <c r="AA187" s="10" t="s">
        <v>56</v>
      </c>
    </row>
    <row r="188" spans="1:27">
      <c r="A188" s="10" t="s">
        <v>534</v>
      </c>
      <c r="B188" s="10" t="s">
        <v>535</v>
      </c>
      <c r="C188" s="10" t="s">
        <v>12</v>
      </c>
      <c r="D188" s="10" t="s">
        <v>84</v>
      </c>
      <c r="E188" s="11" t="b">
        <v>1</v>
      </c>
      <c r="F188" s="12">
        <v>44102</v>
      </c>
      <c r="G188" s="12">
        <v>44102.999999988424</v>
      </c>
      <c r="H188" s="13">
        <f>IF(F188="","",(Summary!$B$5-F188)/365.25)</f>
        <v>5.8453456298958111</v>
      </c>
      <c r="I188" s="14">
        <v>1.67E-2</v>
      </c>
      <c r="J188" s="15">
        <v>8.4419999999999995E-2</v>
      </c>
      <c r="K188" s="16">
        <v>16117772</v>
      </c>
      <c r="L188" s="16">
        <v>258943.13329999999</v>
      </c>
      <c r="M188" s="17">
        <v>4001</v>
      </c>
      <c r="N188" s="14">
        <v>0</v>
      </c>
      <c r="O188" s="14">
        <v>0</v>
      </c>
      <c r="P188" s="18" t="str">
        <f>IF(OR(N188="",O188="",N188=0,O188=0),"",(O188-N188)/((O188+N188)/2))</f>
        <v/>
      </c>
      <c r="Q188" s="14">
        <v>1.6065690000000001E-2</v>
      </c>
      <c r="R188" s="14">
        <v>1.6799999999999999E-2</v>
      </c>
      <c r="S188" s="14">
        <v>1.4999999999999999E-2</v>
      </c>
      <c r="T188" s="12">
        <v>46209.261123090277</v>
      </c>
      <c r="U188" s="12">
        <v>46210.261123090277</v>
      </c>
      <c r="V188" s="14">
        <v>5</v>
      </c>
      <c r="W188" s="14">
        <v>1</v>
      </c>
      <c r="X188" s="14">
        <v>1</v>
      </c>
      <c r="Y188" s="14">
        <v>1E-4</v>
      </c>
      <c r="Z188" s="10" t="str">
        <f>IF(AND(D188="TRADING",I188&lt;&gt;"",L188&lt;&gt;"",M188&lt;&gt;"",N188&lt;&gt;"",O188&lt;&gt;""),"Yes","No")</f>
        <v>No</v>
      </c>
      <c r="AA188" s="10" t="s">
        <v>56</v>
      </c>
    </row>
    <row r="189" spans="1:27">
      <c r="A189" s="10" t="s">
        <v>946</v>
      </c>
      <c r="B189" s="10" t="s">
        <v>947</v>
      </c>
      <c r="C189" s="10" t="s">
        <v>12</v>
      </c>
      <c r="D189" s="10" t="s">
        <v>84</v>
      </c>
      <c r="E189" s="11" t="b">
        <v>1</v>
      </c>
      <c r="F189" s="12">
        <v>44104</v>
      </c>
      <c r="G189" s="12">
        <v>44104.999999988424</v>
      </c>
      <c r="H189" s="13">
        <f>IF(F189="","",(Summary!$B$5-F189)/365.25)</f>
        <v>5.8398699283215469</v>
      </c>
      <c r="I189" s="14">
        <v>1.0529999999999999</v>
      </c>
      <c r="J189" s="15">
        <v>1.6410000000000001E-2</v>
      </c>
      <c r="K189" s="16">
        <v>477794</v>
      </c>
      <c r="L189" s="16">
        <v>495531.12760000001</v>
      </c>
      <c r="M189" s="17">
        <v>4001</v>
      </c>
      <c r="N189" s="14">
        <v>0</v>
      </c>
      <c r="O189" s="14">
        <v>0</v>
      </c>
      <c r="P189" s="18" t="str">
        <f>IF(OR(N189="",O189="",N189=0,O189=0),"",(O189-N189)/((O189+N189)/2))</f>
        <v/>
      </c>
      <c r="Q189" s="14">
        <v>1.03712296</v>
      </c>
      <c r="R189" s="14">
        <v>1.06</v>
      </c>
      <c r="S189" s="14">
        <v>1.022</v>
      </c>
      <c r="T189" s="12">
        <v>46209.261123090277</v>
      </c>
      <c r="U189" s="12">
        <v>46210.261123090277</v>
      </c>
      <c r="V189" s="14">
        <v>5</v>
      </c>
      <c r="W189" s="14">
        <v>0.1</v>
      </c>
      <c r="X189" s="14">
        <v>0.1</v>
      </c>
      <c r="Y189" s="14">
        <v>1E-3</v>
      </c>
      <c r="Z189" s="10" t="str">
        <f>IF(AND(D189="TRADING",I189&lt;&gt;"",L189&lt;&gt;"",M189&lt;&gt;"",N189&lt;&gt;"",O189&lt;&gt;""),"Yes","No")</f>
        <v>No</v>
      </c>
      <c r="AA189" s="10" t="s">
        <v>56</v>
      </c>
    </row>
    <row r="190" spans="1:27">
      <c r="A190" s="10" t="s">
        <v>1300</v>
      </c>
      <c r="B190" s="10" t="s">
        <v>1301</v>
      </c>
      <c r="C190" s="10" t="s">
        <v>12</v>
      </c>
      <c r="D190" s="10" t="s">
        <v>84</v>
      </c>
      <c r="E190" s="11" t="b">
        <v>1</v>
      </c>
      <c r="F190" s="12">
        <v>44106</v>
      </c>
      <c r="G190" s="12">
        <v>44106.999999988424</v>
      </c>
      <c r="H190" s="13">
        <f>IF(F190="","",(Summary!$B$5-F190)/365.25)</f>
        <v>5.8343942267472828</v>
      </c>
      <c r="I190" s="14">
        <v>7.9500000000000005E-3</v>
      </c>
      <c r="J190" s="15">
        <v>0.16228000000000001</v>
      </c>
      <c r="K190" s="16">
        <v>750083995</v>
      </c>
      <c r="L190" s="16">
        <v>10207948.62723</v>
      </c>
      <c r="M190" s="17">
        <v>136826</v>
      </c>
      <c r="N190" s="14">
        <v>0</v>
      </c>
      <c r="O190" s="14">
        <v>0</v>
      </c>
      <c r="P190" s="18" t="str">
        <f>IF(OR(N190="",O190="",N190=0,O190=0),"",(O190-N190)/((O190+N190)/2))</f>
        <v/>
      </c>
      <c r="Q190" s="14">
        <v>1.3609069999999999E-2</v>
      </c>
      <c r="R190" s="14">
        <v>2.4400000000000002E-2</v>
      </c>
      <c r="S190" s="14">
        <v>6.77E-3</v>
      </c>
      <c r="T190" s="12">
        <v>46209.261123090277</v>
      </c>
      <c r="U190" s="12">
        <v>46210.261123090277</v>
      </c>
      <c r="V190" s="14">
        <v>5</v>
      </c>
      <c r="W190" s="14">
        <v>1</v>
      </c>
      <c r="X190" s="14">
        <v>1</v>
      </c>
      <c r="Y190" s="14">
        <v>1.0000000000000001E-5</v>
      </c>
      <c r="Z190" s="10" t="str">
        <f>IF(AND(D190="TRADING",I190&lt;&gt;"",L190&lt;&gt;"",M190&lt;&gt;"",N190&lt;&gt;"",O190&lt;&gt;""),"Yes","No")</f>
        <v>No</v>
      </c>
      <c r="AA190" s="10" t="s">
        <v>56</v>
      </c>
    </row>
    <row r="191" spans="1:27">
      <c r="A191" s="10" t="s">
        <v>1393</v>
      </c>
      <c r="B191" s="10" t="s">
        <v>1394</v>
      </c>
      <c r="C191" s="10" t="s">
        <v>12</v>
      </c>
      <c r="D191" s="10" t="s">
        <v>55</v>
      </c>
      <c r="E191" s="11" t="b">
        <v>1</v>
      </c>
      <c r="F191" s="12">
        <v>44110</v>
      </c>
      <c r="G191" s="12">
        <v>44110.999999988424</v>
      </c>
      <c r="H191" s="13">
        <f>IF(F191="","",(Summary!$B$5-F191)/365.25)</f>
        <v>5.8234428235987545</v>
      </c>
      <c r="I191" s="14">
        <v>2.71</v>
      </c>
      <c r="J191" s="15">
        <v>-1.8120000000000001E-2</v>
      </c>
      <c r="K191" s="16">
        <v>35740.620000000003</v>
      </c>
      <c r="L191" s="16">
        <v>97430.663700000005</v>
      </c>
      <c r="M191" s="17">
        <v>3291</v>
      </c>
      <c r="N191" s="14">
        <v>2.7</v>
      </c>
      <c r="O191" s="14">
        <v>2.71</v>
      </c>
      <c r="P191" s="18">
        <f>IF(OR(N191="",O191="",N191=0,O191=0),"",(O191-N191)/((O191+N191)/2))</f>
        <v>3.6968576709795883E-3</v>
      </c>
      <c r="Q191" s="14">
        <v>2.7260485000000001</v>
      </c>
      <c r="R191" s="14">
        <v>2.76</v>
      </c>
      <c r="S191" s="14">
        <v>2.7</v>
      </c>
      <c r="T191" s="12">
        <v>46236.012384305555</v>
      </c>
      <c r="U191" s="12">
        <v>46237.012384305555</v>
      </c>
      <c r="V191" s="14">
        <v>5</v>
      </c>
      <c r="W191" s="14">
        <v>0.01</v>
      </c>
      <c r="X191" s="14">
        <v>0.01</v>
      </c>
      <c r="Y191" s="14">
        <v>0.01</v>
      </c>
      <c r="Z191" s="10" t="str">
        <f>IF(AND(D191="TRADING",I191&lt;&gt;"",L191&lt;&gt;"",M191&lt;&gt;"",N191&lt;&gt;"",O191&lt;&gt;""),"Yes","No")</f>
        <v>Yes</v>
      </c>
      <c r="AA191" s="10" t="s">
        <v>56</v>
      </c>
    </row>
    <row r="192" spans="1:27">
      <c r="A192" s="10" t="s">
        <v>139</v>
      </c>
      <c r="B192" s="10" t="s">
        <v>140</v>
      </c>
      <c r="C192" s="10" t="s">
        <v>12</v>
      </c>
      <c r="D192" s="10" t="s">
        <v>84</v>
      </c>
      <c r="E192" s="11" t="b">
        <v>1</v>
      </c>
      <c r="F192" s="12">
        <v>44114</v>
      </c>
      <c r="G192" s="12">
        <v>44114.999999988424</v>
      </c>
      <c r="H192" s="13">
        <f>IF(F192="","",(Summary!$B$5-F192)/365.25)</f>
        <v>5.8124914204502254</v>
      </c>
      <c r="I192" s="14">
        <v>9.7000000000000003E-3</v>
      </c>
      <c r="J192" s="15">
        <v>-0.03</v>
      </c>
      <c r="K192" s="16">
        <v>42436198</v>
      </c>
      <c r="L192" s="16">
        <v>420453.1765</v>
      </c>
      <c r="M192" s="17">
        <v>4001</v>
      </c>
      <c r="N192" s="14">
        <v>0</v>
      </c>
      <c r="O192" s="14">
        <v>0</v>
      </c>
      <c r="P192" s="18" t="str">
        <f>IF(OR(N192="",O192="",N192=0,O192=0),"",(O192-N192)/((O192+N192)/2))</f>
        <v/>
      </c>
      <c r="Q192" s="14">
        <v>9.9078900000000008E-3</v>
      </c>
      <c r="R192" s="14">
        <v>1.03E-2</v>
      </c>
      <c r="S192" s="14">
        <v>9.1999999999999998E-3</v>
      </c>
      <c r="T192" s="12">
        <v>46209.261123090277</v>
      </c>
      <c r="U192" s="12">
        <v>46210.261123090277</v>
      </c>
      <c r="V192" s="14">
        <v>5</v>
      </c>
      <c r="W192" s="14">
        <v>1</v>
      </c>
      <c r="X192" s="14">
        <v>1</v>
      </c>
      <c r="Y192" s="14">
        <v>1E-4</v>
      </c>
      <c r="Z192" s="10" t="str">
        <f>IF(AND(D192="TRADING",I192&lt;&gt;"",L192&lt;&gt;"",M192&lt;&gt;"",N192&lt;&gt;"",O192&lt;&gt;""),"Yes","No")</f>
        <v>No</v>
      </c>
      <c r="AA192" s="10" t="s">
        <v>56</v>
      </c>
    </row>
    <row r="193" spans="1:27">
      <c r="A193" s="10" t="s">
        <v>868</v>
      </c>
      <c r="B193" s="10" t="s">
        <v>869</v>
      </c>
      <c r="C193" s="10" t="s">
        <v>12</v>
      </c>
      <c r="D193" s="10" t="s">
        <v>55</v>
      </c>
      <c r="E193" s="11" t="b">
        <v>1</v>
      </c>
      <c r="F193" s="12">
        <v>44118</v>
      </c>
      <c r="G193" s="12">
        <v>44118.999999988424</v>
      </c>
      <c r="H193" s="13">
        <f>IF(F193="","",(Summary!$B$5-F193)/365.25)</f>
        <v>5.8015400173016971</v>
      </c>
      <c r="I193" s="14">
        <v>1.718</v>
      </c>
      <c r="J193" s="15">
        <v>2.384E-2</v>
      </c>
      <c r="K193" s="16">
        <v>9401826</v>
      </c>
      <c r="L193" s="16">
        <v>16063801.480699999</v>
      </c>
      <c r="M193" s="17">
        <v>66441</v>
      </c>
      <c r="N193" s="14">
        <v>1.7170000000000001</v>
      </c>
      <c r="O193" s="14">
        <v>1.718</v>
      </c>
      <c r="P193" s="18">
        <f>IF(OR(N193="",O193="",N193=0,O193=0),"",(O193-N193)/((O193+N193)/2))</f>
        <v>5.8224163027650064E-4</v>
      </c>
      <c r="Q193" s="14">
        <v>1.7085831499999999</v>
      </c>
      <c r="R193" s="14">
        <v>1.7330000000000001</v>
      </c>
      <c r="S193" s="14">
        <v>1.6719999999999999</v>
      </c>
      <c r="T193" s="12">
        <v>46236.012483333332</v>
      </c>
      <c r="U193" s="12">
        <v>46237.012483333332</v>
      </c>
      <c r="V193" s="14">
        <v>5</v>
      </c>
      <c r="W193" s="14">
        <v>0.1</v>
      </c>
      <c r="X193" s="14">
        <v>0.1</v>
      </c>
      <c r="Y193" s="14">
        <v>1E-3</v>
      </c>
      <c r="Z193" s="10" t="str">
        <f>IF(AND(D193="TRADING",I193&lt;&gt;"",L193&lt;&gt;"",M193&lt;&gt;"",N193&lt;&gt;"",O193&lt;&gt;""),"Yes","No")</f>
        <v>Yes</v>
      </c>
      <c r="AA193" s="10" t="s">
        <v>56</v>
      </c>
    </row>
    <row r="194" spans="1:27">
      <c r="A194" s="10" t="s">
        <v>89</v>
      </c>
      <c r="B194" s="10" t="s">
        <v>90</v>
      </c>
      <c r="C194" s="10" t="s">
        <v>12</v>
      </c>
      <c r="D194" s="10" t="s">
        <v>55</v>
      </c>
      <c r="E194" s="11" t="b">
        <v>1</v>
      </c>
      <c r="F194" s="12">
        <v>44119</v>
      </c>
      <c r="G194" s="12">
        <v>44119.999999988424</v>
      </c>
      <c r="H194" s="13">
        <f>IF(F194="","",(Summary!$B$5-F194)/365.25)</f>
        <v>5.798802166514565</v>
      </c>
      <c r="I194" s="14">
        <v>91.99</v>
      </c>
      <c r="J194" s="15">
        <v>1.5449999999999998E-2</v>
      </c>
      <c r="K194" s="16">
        <v>102936.79700000001</v>
      </c>
      <c r="L194" s="16">
        <v>9471738.9613199998</v>
      </c>
      <c r="M194" s="17">
        <v>87814</v>
      </c>
      <c r="N194" s="14">
        <v>91.99</v>
      </c>
      <c r="O194" s="14">
        <v>92</v>
      </c>
      <c r="P194" s="18">
        <f>IF(OR(N194="",O194="",N194=0,O194=0),"",(O194-N194)/((O194+N194)/2))</f>
        <v>1.087015598674397E-4</v>
      </c>
      <c r="Q194" s="14">
        <v>92.015093120000003</v>
      </c>
      <c r="R194" s="14">
        <v>93.5</v>
      </c>
      <c r="S194" s="14">
        <v>90.47</v>
      </c>
      <c r="T194" s="12">
        <v>46236.012442314815</v>
      </c>
      <c r="U194" s="12">
        <v>46237.012442314815</v>
      </c>
      <c r="V194" s="14">
        <v>5</v>
      </c>
      <c r="W194" s="14">
        <v>1E-3</v>
      </c>
      <c r="X194" s="14">
        <v>1E-3</v>
      </c>
      <c r="Y194" s="14">
        <v>0.01</v>
      </c>
      <c r="Z194" s="10" t="str">
        <f>IF(AND(D194="TRADING",I194&lt;&gt;"",L194&lt;&gt;"",M194&lt;&gt;"",N194&lt;&gt;"",O194&lt;&gt;""),"Yes","No")</f>
        <v>Yes</v>
      </c>
      <c r="AA194" s="10" t="s">
        <v>56</v>
      </c>
    </row>
    <row r="195" spans="1:27">
      <c r="A195" s="10" t="s">
        <v>526</v>
      </c>
      <c r="B195" s="10" t="s">
        <v>527</v>
      </c>
      <c r="C195" s="10" t="s">
        <v>12</v>
      </c>
      <c r="D195" s="10" t="s">
        <v>55</v>
      </c>
      <c r="E195" s="11" t="b">
        <v>1</v>
      </c>
      <c r="F195" s="12">
        <v>44119</v>
      </c>
      <c r="G195" s="12">
        <v>44119.999999988424</v>
      </c>
      <c r="H195" s="13">
        <f>IF(F195="","",(Summary!$B$5-F195)/365.25)</f>
        <v>5.798802166514565</v>
      </c>
      <c r="I195" s="14">
        <v>0.71789999999999998</v>
      </c>
      <c r="J195" s="15">
        <v>2.265E-2</v>
      </c>
      <c r="K195" s="16">
        <v>6038719.0300000003</v>
      </c>
      <c r="L195" s="16">
        <v>4336982.9775550002</v>
      </c>
      <c r="M195" s="17">
        <v>35947</v>
      </c>
      <c r="N195" s="14">
        <v>0.71789999999999998</v>
      </c>
      <c r="O195" s="14">
        <v>0.71799999999999997</v>
      </c>
      <c r="P195" s="18">
        <f>IF(OR(N195="",O195="",N195=0,O195=0),"",(O195-N195)/((O195+N195)/2))</f>
        <v>1.3928546556165331E-4</v>
      </c>
      <c r="Q195" s="14">
        <v>0.71819586000000002</v>
      </c>
      <c r="R195" s="14">
        <v>0.72589999999999999</v>
      </c>
      <c r="S195" s="14">
        <v>0.70030000000000003</v>
      </c>
      <c r="T195" s="12">
        <v>46236.012480578705</v>
      </c>
      <c r="U195" s="12">
        <v>46237.012480578705</v>
      </c>
      <c r="V195" s="14">
        <v>5</v>
      </c>
      <c r="W195" s="14">
        <v>0.01</v>
      </c>
      <c r="X195" s="14">
        <v>0.01</v>
      </c>
      <c r="Y195" s="14">
        <v>1E-4</v>
      </c>
      <c r="Z195" s="10" t="str">
        <f>IF(AND(D195="TRADING",I195&lt;&gt;"",L195&lt;&gt;"",M195&lt;&gt;"",N195&lt;&gt;"",O195&lt;&gt;""),"Yes","No")</f>
        <v>Yes</v>
      </c>
      <c r="AA195" s="10" t="s">
        <v>56</v>
      </c>
    </row>
    <row r="196" spans="1:27">
      <c r="A196" s="10" t="s">
        <v>670</v>
      </c>
      <c r="B196" s="10" t="s">
        <v>671</v>
      </c>
      <c r="C196" s="10" t="s">
        <v>12</v>
      </c>
      <c r="D196" s="10" t="s">
        <v>55</v>
      </c>
      <c r="E196" s="11" t="b">
        <v>1</v>
      </c>
      <c r="F196" s="12">
        <v>44125</v>
      </c>
      <c r="G196" s="12">
        <v>44125.999999988424</v>
      </c>
      <c r="H196" s="13">
        <f>IF(F196="","",(Summary!$B$5-F196)/365.25)</f>
        <v>5.7823750617917726</v>
      </c>
      <c r="I196" s="14">
        <v>5.069</v>
      </c>
      <c r="J196" s="15">
        <v>3.9580000000000004E-2</v>
      </c>
      <c r="K196" s="16">
        <v>520258.44</v>
      </c>
      <c r="L196" s="16">
        <v>2605469.7469299999</v>
      </c>
      <c r="M196" s="17">
        <v>42378</v>
      </c>
      <c r="N196" s="14">
        <v>5.069</v>
      </c>
      <c r="O196" s="14">
        <v>5.07</v>
      </c>
      <c r="P196" s="18">
        <f>IF(OR(N196="",O196="",N196=0,O196=0),"",(O196-N196)/((O196+N196)/2))</f>
        <v>1.9725811223993175E-4</v>
      </c>
      <c r="Q196" s="14">
        <v>5.0080297500000004</v>
      </c>
      <c r="R196" s="14">
        <v>5.1589999999999998</v>
      </c>
      <c r="S196" s="14">
        <v>4.8570000000000002</v>
      </c>
      <c r="T196" s="12">
        <v>46236.012489143519</v>
      </c>
      <c r="U196" s="12">
        <v>46237.012489143519</v>
      </c>
      <c r="V196" s="14">
        <v>5</v>
      </c>
      <c r="W196" s="14">
        <v>0.01</v>
      </c>
      <c r="X196" s="14">
        <v>0.01</v>
      </c>
      <c r="Y196" s="14">
        <v>1E-3</v>
      </c>
      <c r="Z196" s="10" t="str">
        <f>IF(AND(D196="TRADING",I196&lt;&gt;"",L196&lt;&gt;"",M196&lt;&gt;"",N196&lt;&gt;"",O196&lt;&gt;""),"Yes","No")</f>
        <v>Yes</v>
      </c>
      <c r="AA196" s="10" t="s">
        <v>56</v>
      </c>
    </row>
    <row r="197" spans="1:27">
      <c r="A197" s="10" t="s">
        <v>203</v>
      </c>
      <c r="B197" s="10" t="s">
        <v>204</v>
      </c>
      <c r="C197" s="10" t="s">
        <v>12</v>
      </c>
      <c r="D197" s="10" t="s">
        <v>55</v>
      </c>
      <c r="E197" s="11" t="b">
        <v>1</v>
      </c>
      <c r="F197" s="12">
        <v>44127</v>
      </c>
      <c r="G197" s="12">
        <v>44127.999999988424</v>
      </c>
      <c r="H197" s="13">
        <f>IF(F197="","",(Summary!$B$5-F197)/365.25)</f>
        <v>5.7768993602175085</v>
      </c>
      <c r="I197" s="14">
        <v>1.213E-2</v>
      </c>
      <c r="J197" s="15">
        <v>9.1500000000000001E-3</v>
      </c>
      <c r="K197" s="16">
        <v>13582163.5</v>
      </c>
      <c r="L197" s="16">
        <v>164081.15307599999</v>
      </c>
      <c r="M197" s="17">
        <v>3110</v>
      </c>
      <c r="N197" s="14">
        <v>1.2109999999999999E-2</v>
      </c>
      <c r="O197" s="14">
        <v>1.213E-2</v>
      </c>
      <c r="P197" s="18">
        <f>IF(OR(N197="",O197="",N197=0,O197=0),"",(O197-N197)/((O197+N197)/2))</f>
        <v>1.6501650165017263E-3</v>
      </c>
      <c r="Q197" s="14">
        <v>1.208063E-2</v>
      </c>
      <c r="R197" s="14">
        <v>1.221E-2</v>
      </c>
      <c r="S197" s="14">
        <v>1.191E-2</v>
      </c>
      <c r="T197" s="12">
        <v>46236.012223020836</v>
      </c>
      <c r="U197" s="12">
        <v>46237.012223020836</v>
      </c>
      <c r="V197" s="14">
        <v>5</v>
      </c>
      <c r="W197" s="14">
        <v>0.1</v>
      </c>
      <c r="X197" s="14">
        <v>0.1</v>
      </c>
      <c r="Y197" s="14">
        <v>1.0000000000000001E-5</v>
      </c>
      <c r="Z197" s="10" t="str">
        <f>IF(AND(D197="TRADING",I197&lt;&gt;"",L197&lt;&gt;"",M197&lt;&gt;"",N197&lt;&gt;"",O197&lt;&gt;""),"Yes","No")</f>
        <v>Yes</v>
      </c>
      <c r="AA197" s="10" t="s">
        <v>56</v>
      </c>
    </row>
    <row r="198" spans="1:27">
      <c r="A198" s="10" t="s">
        <v>395</v>
      </c>
      <c r="B198" s="10" t="s">
        <v>396</v>
      </c>
      <c r="C198" s="10" t="s">
        <v>12</v>
      </c>
      <c r="D198" s="10" t="s">
        <v>55</v>
      </c>
      <c r="E198" s="11" t="b">
        <v>1</v>
      </c>
      <c r="F198" s="12">
        <v>44131</v>
      </c>
      <c r="G198" s="12">
        <v>44131.999999988424</v>
      </c>
      <c r="H198" s="13">
        <f>IF(F198="","",(Summary!$B$5-F198)/365.25)</f>
        <v>5.7659479570689802</v>
      </c>
      <c r="I198" s="14">
        <v>0.1</v>
      </c>
      <c r="J198" s="15">
        <v>-4.215E-2</v>
      </c>
      <c r="K198" s="16">
        <v>1395470.5</v>
      </c>
      <c r="L198" s="16">
        <v>141238.22362999999</v>
      </c>
      <c r="M198" s="17">
        <v>1917</v>
      </c>
      <c r="N198" s="14">
        <v>9.9599999999999994E-2</v>
      </c>
      <c r="O198" s="14">
        <v>9.9900000000000003E-2</v>
      </c>
      <c r="P198" s="18">
        <f>IF(OR(N198="",O198="",N198=0,O198=0),"",(O198-N198)/((O198+N198)/2))</f>
        <v>3.0075187969925673E-3</v>
      </c>
      <c r="Q198" s="14">
        <v>0.10121189999999999</v>
      </c>
      <c r="R198" s="14">
        <v>0.10440000000000001</v>
      </c>
      <c r="S198" s="14">
        <v>9.9500000000000005E-2</v>
      </c>
      <c r="T198" s="12">
        <v>46236.012486087966</v>
      </c>
      <c r="U198" s="12">
        <v>46237.012486087966</v>
      </c>
      <c r="V198" s="14">
        <v>5</v>
      </c>
      <c r="W198" s="14">
        <v>0.1</v>
      </c>
      <c r="X198" s="14">
        <v>0.1</v>
      </c>
      <c r="Y198" s="14">
        <v>1E-4</v>
      </c>
      <c r="Z198" s="10" t="str">
        <f>IF(AND(D198="TRADING",I198&lt;&gt;"",L198&lt;&gt;"",M198&lt;&gt;"",N198&lt;&gt;"",O198&lt;&gt;""),"Yes","No")</f>
        <v>Yes</v>
      </c>
      <c r="AA198" s="10" t="s">
        <v>56</v>
      </c>
    </row>
    <row r="199" spans="1:27">
      <c r="A199" s="10" t="s">
        <v>127</v>
      </c>
      <c r="B199" s="10" t="s">
        <v>128</v>
      </c>
      <c r="C199" s="10" t="s">
        <v>12</v>
      </c>
      <c r="D199" s="10" t="s">
        <v>84</v>
      </c>
      <c r="E199" s="11" t="b">
        <v>1</v>
      </c>
      <c r="F199" s="12">
        <v>44137</v>
      </c>
      <c r="G199" s="12">
        <v>44137.999999988424</v>
      </c>
      <c r="H199" s="13">
        <f>IF(F199="","",(Summary!$B$5-F199)/365.25)</f>
        <v>5.7495208523461878</v>
      </c>
      <c r="I199" s="14">
        <v>9.810000000000001E-4</v>
      </c>
      <c r="J199" s="15">
        <v>-0.10574</v>
      </c>
      <c r="K199" s="16">
        <v>196396908</v>
      </c>
      <c r="L199" s="16">
        <v>204099.22046800001</v>
      </c>
      <c r="M199" s="17">
        <v>4001</v>
      </c>
      <c r="N199" s="14">
        <v>0</v>
      </c>
      <c r="O199" s="14">
        <v>0</v>
      </c>
      <c r="P199" s="18" t="str">
        <f>IF(OR(N199="",O199="",N199=0,O199=0),"",(O199-N199)/((O199+N199)/2))</f>
        <v/>
      </c>
      <c r="Q199" s="14">
        <v>1.03922E-3</v>
      </c>
      <c r="R199" s="14">
        <v>1.1199999999999999E-3</v>
      </c>
      <c r="S199" s="14">
        <v>9.0600000000000001E-4</v>
      </c>
      <c r="T199" s="12">
        <v>46209.261123090277</v>
      </c>
      <c r="U199" s="12">
        <v>46210.261123090277</v>
      </c>
      <c r="V199" s="14">
        <v>1</v>
      </c>
      <c r="W199" s="14">
        <v>1</v>
      </c>
      <c r="X199" s="14">
        <v>1</v>
      </c>
      <c r="Y199" s="14">
        <v>9.9999999999999995E-7</v>
      </c>
      <c r="Z199" s="10" t="str">
        <f>IF(AND(D199="TRADING",I199&lt;&gt;"",L199&lt;&gt;"",M199&lt;&gt;"",N199&lt;&gt;"",O199&lt;&gt;""),"Yes","No")</f>
        <v>No</v>
      </c>
      <c r="AA199" s="10" t="s">
        <v>56</v>
      </c>
    </row>
    <row r="200" spans="1:27">
      <c r="A200" s="10" t="s">
        <v>223</v>
      </c>
      <c r="B200" s="10" t="s">
        <v>224</v>
      </c>
      <c r="C200" s="10" t="s">
        <v>12</v>
      </c>
      <c r="D200" s="10" t="s">
        <v>55</v>
      </c>
      <c r="E200" s="11" t="b">
        <v>1</v>
      </c>
      <c r="F200" s="12">
        <v>44139</v>
      </c>
      <c r="G200" s="12">
        <v>44139.999999988424</v>
      </c>
      <c r="H200" s="13">
        <f>IF(F200="","",(Summary!$B$5-F200)/365.25)</f>
        <v>5.7440451507719228</v>
      </c>
      <c r="I200" s="14">
        <v>0.83099999999999996</v>
      </c>
      <c r="J200" s="15">
        <v>2.4099999999999998E-3</v>
      </c>
      <c r="K200" s="16">
        <v>298397.95</v>
      </c>
      <c r="L200" s="16">
        <v>247758.61814000001</v>
      </c>
      <c r="M200" s="17">
        <v>2229</v>
      </c>
      <c r="N200" s="14">
        <v>0.83099999999999996</v>
      </c>
      <c r="O200" s="14">
        <v>0.83199999999999996</v>
      </c>
      <c r="P200" s="18">
        <f>IF(OR(N200="",O200="",N200=0,O200=0),"",(O200-N200)/((O200+N200)/2))</f>
        <v>1.2026458208057738E-3</v>
      </c>
      <c r="Q200" s="14">
        <v>0.83029598000000004</v>
      </c>
      <c r="R200" s="14">
        <v>0.83599999999999997</v>
      </c>
      <c r="S200" s="14">
        <v>0.82399999999999995</v>
      </c>
      <c r="T200" s="12">
        <v>46236.012488842593</v>
      </c>
      <c r="U200" s="12">
        <v>46237.012488842593</v>
      </c>
      <c r="V200" s="14">
        <v>5</v>
      </c>
      <c r="W200" s="14">
        <v>0.01</v>
      </c>
      <c r="X200" s="14">
        <v>0.01</v>
      </c>
      <c r="Y200" s="14">
        <v>1E-3</v>
      </c>
      <c r="Z200" s="10" t="str">
        <f>IF(AND(D200="TRADING",I200&lt;&gt;"",L200&lt;&gt;"",M200&lt;&gt;"",N200&lt;&gt;"",O200&lt;&gt;""),"Yes","No")</f>
        <v>Yes</v>
      </c>
      <c r="AA200" s="10" t="s">
        <v>56</v>
      </c>
    </row>
    <row r="201" spans="1:27">
      <c r="A201" s="10" t="s">
        <v>618</v>
      </c>
      <c r="B201" s="10" t="s">
        <v>619</v>
      </c>
      <c r="C201" s="10" t="s">
        <v>12</v>
      </c>
      <c r="D201" s="10" t="s">
        <v>84</v>
      </c>
      <c r="E201" s="11" t="b">
        <v>1</v>
      </c>
      <c r="F201" s="12">
        <v>44141</v>
      </c>
      <c r="G201" s="12">
        <v>44141.999999988424</v>
      </c>
      <c r="H201" s="13">
        <f>IF(F201="","",(Summary!$B$5-F201)/365.25)</f>
        <v>5.7385694491976587</v>
      </c>
      <c r="I201" s="14">
        <v>9.4999999999999998E-3</v>
      </c>
      <c r="J201" s="15">
        <v>-0.40252000000000004</v>
      </c>
      <c r="K201" s="16">
        <v>11528516</v>
      </c>
      <c r="L201" s="16">
        <v>138020.6777</v>
      </c>
      <c r="M201" s="17">
        <v>4001</v>
      </c>
      <c r="N201" s="14">
        <v>0</v>
      </c>
      <c r="O201" s="14">
        <v>0</v>
      </c>
      <c r="P201" s="18" t="str">
        <f>IF(OR(N201="",O201="",N201=0,O201=0),"",(O201-N201)/((O201+N201)/2))</f>
        <v/>
      </c>
      <c r="Q201" s="14">
        <v>1.1972109999999999E-2</v>
      </c>
      <c r="R201" s="14">
        <v>1.5900000000000001E-2</v>
      </c>
      <c r="S201" s="14">
        <v>8.8000000000000005E-3</v>
      </c>
      <c r="T201" s="12">
        <v>46209.261123090277</v>
      </c>
      <c r="U201" s="12">
        <v>46210.261123090277</v>
      </c>
      <c r="V201" s="14">
        <v>5</v>
      </c>
      <c r="W201" s="14">
        <v>1</v>
      </c>
      <c r="X201" s="14">
        <v>1</v>
      </c>
      <c r="Y201" s="14">
        <v>1E-4</v>
      </c>
      <c r="Z201" s="10" t="str">
        <f>IF(AND(D201="TRADING",I201&lt;&gt;"",L201&lt;&gt;"",M201&lt;&gt;"",N201&lt;&gt;"",O201&lt;&gt;""),"Yes","No")</f>
        <v>No</v>
      </c>
      <c r="AA201" s="10" t="s">
        <v>56</v>
      </c>
    </row>
    <row r="202" spans="1:27">
      <c r="A202" s="10" t="s">
        <v>435</v>
      </c>
      <c r="B202" s="10" t="s">
        <v>436</v>
      </c>
      <c r="C202" s="10" t="s">
        <v>12</v>
      </c>
      <c r="D202" s="10" t="s">
        <v>84</v>
      </c>
      <c r="E202" s="11" t="b">
        <v>1</v>
      </c>
      <c r="F202" s="12">
        <v>44145</v>
      </c>
      <c r="G202" s="12">
        <v>44145.999999988424</v>
      </c>
      <c r="H202" s="13">
        <f>IF(F202="","",(Summary!$B$5-F202)/365.25)</f>
        <v>5.7276180460491304</v>
      </c>
      <c r="I202" s="14">
        <v>3.5999999999999997E-2</v>
      </c>
      <c r="J202" s="15">
        <v>-6.0049999999999999E-2</v>
      </c>
      <c r="K202" s="16">
        <v>20611766</v>
      </c>
      <c r="L202" s="16">
        <v>775093.27430000005</v>
      </c>
      <c r="M202" s="17">
        <v>4001</v>
      </c>
      <c r="N202" s="14">
        <v>0</v>
      </c>
      <c r="O202" s="14">
        <v>0</v>
      </c>
      <c r="P202" s="18" t="str">
        <f>IF(OR(N202="",O202="",N202=0,O202=0),"",(O202-N202)/((O202+N202)/2))</f>
        <v/>
      </c>
      <c r="Q202" s="14">
        <v>3.7604409999999998E-2</v>
      </c>
      <c r="R202" s="14">
        <v>4.0399999999999998E-2</v>
      </c>
      <c r="S202" s="14">
        <v>3.5299999999999998E-2</v>
      </c>
      <c r="T202" s="12">
        <v>46209.261123090277</v>
      </c>
      <c r="U202" s="12">
        <v>46210.261123090277</v>
      </c>
      <c r="V202" s="14">
        <v>10</v>
      </c>
      <c r="W202" s="14">
        <v>1</v>
      </c>
      <c r="X202" s="14">
        <v>1</v>
      </c>
      <c r="Y202" s="14">
        <v>1E-4</v>
      </c>
      <c r="Z202" s="10" t="str">
        <f>IF(AND(D202="TRADING",I202&lt;&gt;"",L202&lt;&gt;"",M202&lt;&gt;"",N202&lt;&gt;"",O202&lt;&gt;""),"Yes","No")</f>
        <v>No</v>
      </c>
      <c r="AA202" s="10" t="s">
        <v>56</v>
      </c>
    </row>
    <row r="203" spans="1:27">
      <c r="A203" s="10" t="s">
        <v>1183</v>
      </c>
      <c r="B203" s="10" t="s">
        <v>1184</v>
      </c>
      <c r="C203" s="10" t="s">
        <v>12</v>
      </c>
      <c r="D203" s="10" t="s">
        <v>55</v>
      </c>
      <c r="E203" s="11" t="b">
        <v>1</v>
      </c>
      <c r="F203" s="12">
        <v>44153</v>
      </c>
      <c r="G203" s="12">
        <v>44153.999999988424</v>
      </c>
      <c r="H203" s="13">
        <f>IF(F203="","",(Summary!$B$5-F203)/365.25)</f>
        <v>5.7057152397520738</v>
      </c>
      <c r="I203" s="14">
        <v>8.6E-3</v>
      </c>
      <c r="J203" s="15">
        <v>7.0299999999999998E-3</v>
      </c>
      <c r="K203" s="16">
        <v>44826525</v>
      </c>
      <c r="L203" s="16">
        <v>391683.54587999999</v>
      </c>
      <c r="M203" s="17">
        <v>7296</v>
      </c>
      <c r="N203" s="14">
        <v>8.6E-3</v>
      </c>
      <c r="O203" s="14">
        <v>8.6099999999999996E-3</v>
      </c>
      <c r="P203" s="18">
        <f>IF(OR(N203="",O203="",N203=0,O203=0),"",(O203-N203)/((O203+N203)/2))</f>
        <v>1.1621150493898423E-3</v>
      </c>
      <c r="Q203" s="14">
        <v>8.7377600000000007E-3</v>
      </c>
      <c r="R203" s="14">
        <v>9.0500000000000008E-3</v>
      </c>
      <c r="S203" s="14">
        <v>8.5100000000000002E-3</v>
      </c>
      <c r="T203" s="12">
        <v>46236.0122996875</v>
      </c>
      <c r="U203" s="12">
        <v>46237.0122996875</v>
      </c>
      <c r="V203" s="14">
        <v>5</v>
      </c>
      <c r="W203" s="14">
        <v>1</v>
      </c>
      <c r="X203" s="14">
        <v>1</v>
      </c>
      <c r="Y203" s="14">
        <v>1.0000000000000001E-5</v>
      </c>
      <c r="Z203" s="10" t="str">
        <f>IF(AND(D203="TRADING",I203&lt;&gt;"",L203&lt;&gt;"",M203&lt;&gt;"",N203&lt;&gt;"",O203&lt;&gt;""),"Yes","No")</f>
        <v>Yes</v>
      </c>
      <c r="AA203" s="10" t="s">
        <v>56</v>
      </c>
    </row>
    <row r="204" spans="1:27">
      <c r="A204" s="10" t="s">
        <v>1086</v>
      </c>
      <c r="B204" s="10" t="s">
        <v>1087</v>
      </c>
      <c r="C204" s="10" t="s">
        <v>12</v>
      </c>
      <c r="D204" s="10" t="s">
        <v>55</v>
      </c>
      <c r="E204" s="11" t="b">
        <v>1</v>
      </c>
      <c r="F204" s="12">
        <v>44154</v>
      </c>
      <c r="G204" s="12">
        <v>44154.999999988424</v>
      </c>
      <c r="H204" s="13">
        <f>IF(F204="","",(Summary!$B$5-F204)/365.25)</f>
        <v>5.7029773889649418</v>
      </c>
      <c r="I204" s="14">
        <v>5.4900000000000001E-3</v>
      </c>
      <c r="J204" s="15">
        <v>-1.789E-2</v>
      </c>
      <c r="K204" s="16">
        <v>219095901.30000001</v>
      </c>
      <c r="L204" s="16">
        <v>1226160.156224</v>
      </c>
      <c r="M204" s="17">
        <v>12093</v>
      </c>
      <c r="N204" s="14">
        <v>5.4900000000000001E-3</v>
      </c>
      <c r="O204" s="14">
        <v>5.4999999999999997E-3</v>
      </c>
      <c r="P204" s="18">
        <f>IF(OR(N204="",O204="",N204=0,O204=0),"",(O204-N204)/((O204+N204)/2))</f>
        <v>1.8198362147405992E-3</v>
      </c>
      <c r="Q204" s="14">
        <v>5.5964500000000002E-3</v>
      </c>
      <c r="R204" s="14">
        <v>5.7800000000000004E-3</v>
      </c>
      <c r="S204" s="14">
        <v>5.4299999999999999E-3</v>
      </c>
      <c r="T204" s="12">
        <v>46236.011957129631</v>
      </c>
      <c r="U204" s="12">
        <v>46237.011957129631</v>
      </c>
      <c r="V204" s="14">
        <v>5</v>
      </c>
      <c r="W204" s="14">
        <v>0.1</v>
      </c>
      <c r="X204" s="14">
        <v>0.1</v>
      </c>
      <c r="Y204" s="14">
        <v>1.0000000000000001E-5</v>
      </c>
      <c r="Z204" s="10" t="str">
        <f>IF(AND(D204="TRADING",I204&lt;&gt;"",L204&lt;&gt;"",M204&lt;&gt;"",N204&lt;&gt;"",O204&lt;&gt;""),"Yes","No")</f>
        <v>Yes</v>
      </c>
      <c r="AA204" s="10" t="s">
        <v>56</v>
      </c>
    </row>
    <row r="205" spans="1:27">
      <c r="A205" s="10" t="s">
        <v>1277</v>
      </c>
      <c r="B205" s="10" t="s">
        <v>1278</v>
      </c>
      <c r="C205" s="10" t="s">
        <v>12</v>
      </c>
      <c r="D205" s="10" t="s">
        <v>84</v>
      </c>
      <c r="E205" s="11" t="b">
        <v>1</v>
      </c>
      <c r="F205" s="12">
        <v>44154</v>
      </c>
      <c r="G205" s="12">
        <v>44154.999999988424</v>
      </c>
      <c r="H205" s="13">
        <f>IF(F205="","",(Summary!$B$5-F205)/365.25)</f>
        <v>5.7029773889649418</v>
      </c>
      <c r="I205" s="14">
        <v>1.341</v>
      </c>
      <c r="J205" s="15">
        <v>-7.5000000000000002E-4</v>
      </c>
      <c r="K205" s="16">
        <v>287970</v>
      </c>
      <c r="L205" s="16">
        <v>389135.23090000002</v>
      </c>
      <c r="M205" s="17">
        <v>4001</v>
      </c>
      <c r="N205" s="14">
        <v>0</v>
      </c>
      <c r="O205" s="14">
        <v>0</v>
      </c>
      <c r="P205" s="18" t="str">
        <f>IF(OR(N205="",O205="",N205=0,O205=0),"",(O205-N205)/((O205+N205)/2))</f>
        <v/>
      </c>
      <c r="Q205" s="14">
        <v>1.3513047600000001</v>
      </c>
      <c r="R205" s="14">
        <v>1.43</v>
      </c>
      <c r="S205" s="14">
        <v>1.3129999999999999</v>
      </c>
      <c r="T205" s="12">
        <v>46209.261123090277</v>
      </c>
      <c r="U205" s="12">
        <v>46210.261123090277</v>
      </c>
      <c r="V205" s="14">
        <v>5</v>
      </c>
      <c r="W205" s="14">
        <v>0.1</v>
      </c>
      <c r="X205" s="14">
        <v>0.1</v>
      </c>
      <c r="Y205" s="14">
        <v>1E-3</v>
      </c>
      <c r="Z205" s="10" t="str">
        <f>IF(AND(D205="TRADING",I205&lt;&gt;"",L205&lt;&gt;"",M205&lt;&gt;"",N205&lt;&gt;"",O205&lt;&gt;""),"Yes","No")</f>
        <v>No</v>
      </c>
      <c r="AA205" s="10" t="s">
        <v>56</v>
      </c>
    </row>
    <row r="206" spans="1:27">
      <c r="A206" s="10" t="s">
        <v>211</v>
      </c>
      <c r="B206" s="10" t="s">
        <v>212</v>
      </c>
      <c r="C206" s="10" t="s">
        <v>12</v>
      </c>
      <c r="D206" s="10" t="s">
        <v>55</v>
      </c>
      <c r="E206" s="11" t="b">
        <v>1</v>
      </c>
      <c r="F206" s="12">
        <v>44159</v>
      </c>
      <c r="G206" s="12">
        <v>44159.999999988424</v>
      </c>
      <c r="H206" s="13">
        <f>IF(F206="","",(Summary!$B$5-F206)/365.25)</f>
        <v>5.6892881350292814</v>
      </c>
      <c r="I206" s="14">
        <v>0.1787</v>
      </c>
      <c r="J206" s="15">
        <v>3.057E-2</v>
      </c>
      <c r="K206" s="16">
        <v>1784283.9</v>
      </c>
      <c r="L206" s="16">
        <v>306930.52451000002</v>
      </c>
      <c r="M206" s="17">
        <v>3181</v>
      </c>
      <c r="N206" s="14">
        <v>0.1782</v>
      </c>
      <c r="O206" s="14">
        <v>0.17829999999999999</v>
      </c>
      <c r="P206" s="18">
        <f>IF(OR(N206="",O206="",N206=0,O206=0),"",(O206-N206)/((O206+N206)/2))</f>
        <v>5.6100981767174748E-4</v>
      </c>
      <c r="Q206" s="14">
        <v>0.17201888000000001</v>
      </c>
      <c r="R206" s="14">
        <v>0.183</v>
      </c>
      <c r="S206" s="14">
        <v>0.1643</v>
      </c>
      <c r="T206" s="12">
        <v>46236.012431805553</v>
      </c>
      <c r="U206" s="12">
        <v>46237.012431805553</v>
      </c>
      <c r="V206" s="14">
        <v>5</v>
      </c>
      <c r="W206" s="14">
        <v>0.1</v>
      </c>
      <c r="X206" s="14">
        <v>0.1</v>
      </c>
      <c r="Y206" s="14">
        <v>1E-4</v>
      </c>
      <c r="Z206" s="10" t="str">
        <f>IF(AND(D206="TRADING",I206&lt;&gt;"",L206&lt;&gt;"",M206&lt;&gt;"",N206&lt;&gt;"",O206&lt;&gt;""),"Yes","No")</f>
        <v>Yes</v>
      </c>
      <c r="AA206" s="10" t="s">
        <v>56</v>
      </c>
    </row>
    <row r="207" spans="1:27">
      <c r="A207" s="10" t="s">
        <v>1371</v>
      </c>
      <c r="B207" s="10" t="s">
        <v>1372</v>
      </c>
      <c r="C207" s="10" t="s">
        <v>12</v>
      </c>
      <c r="D207" s="10" t="s">
        <v>84</v>
      </c>
      <c r="E207" s="11" t="b">
        <v>1</v>
      </c>
      <c r="F207" s="12">
        <v>44159</v>
      </c>
      <c r="G207" s="12">
        <v>44159.999999988424</v>
      </c>
      <c r="H207" s="13">
        <f>IF(F207="","",(Summary!$B$5-F207)/365.25)</f>
        <v>5.6892881350292814</v>
      </c>
      <c r="I207" s="14">
        <v>1.5959999999999998E-2</v>
      </c>
      <c r="J207" s="15">
        <v>3.1669999999999997E-2</v>
      </c>
      <c r="K207" s="16">
        <v>19421302</v>
      </c>
      <c r="L207" s="16">
        <v>299857.23905999999</v>
      </c>
      <c r="M207" s="17">
        <v>4001</v>
      </c>
      <c r="N207" s="14">
        <v>0</v>
      </c>
      <c r="O207" s="14">
        <v>0</v>
      </c>
      <c r="P207" s="18" t="str">
        <f>IF(OR(N207="",O207="",N207=0,O207=0),"",(O207-N207)/((O207+N207)/2))</f>
        <v/>
      </c>
      <c r="Q207" s="14">
        <v>1.5439609999999999E-2</v>
      </c>
      <c r="R207" s="14">
        <v>1.6299999999999999E-2</v>
      </c>
      <c r="S207" s="14">
        <v>1.4840000000000001E-2</v>
      </c>
      <c r="T207" s="12">
        <v>46209.261123090277</v>
      </c>
      <c r="U207" s="12">
        <v>46210.261123090277</v>
      </c>
      <c r="V207" s="14">
        <v>5</v>
      </c>
      <c r="W207" s="14">
        <v>1</v>
      </c>
      <c r="X207" s="14">
        <v>1</v>
      </c>
      <c r="Y207" s="14">
        <v>1.0000000000000001E-5</v>
      </c>
      <c r="Z207" s="10" t="str">
        <f>IF(AND(D207="TRADING",I207&lt;&gt;"",L207&lt;&gt;"",M207&lt;&gt;"",N207&lt;&gt;"",O207&lt;&gt;""),"Yes","No")</f>
        <v>No</v>
      </c>
      <c r="AA207" s="10" t="s">
        <v>56</v>
      </c>
    </row>
    <row r="208" spans="1:27">
      <c r="A208" s="10" t="s">
        <v>1126</v>
      </c>
      <c r="B208" s="10" t="s">
        <v>1127</v>
      </c>
      <c r="C208" s="10" t="s">
        <v>12</v>
      </c>
      <c r="D208" s="10" t="s">
        <v>55</v>
      </c>
      <c r="E208" s="11" t="b">
        <v>1</v>
      </c>
      <c r="F208" s="12">
        <v>44166</v>
      </c>
      <c r="G208" s="12">
        <v>44166.999999988424</v>
      </c>
      <c r="H208" s="13">
        <f>IF(F208="","",(Summary!$B$5-F208)/365.25)</f>
        <v>5.6701231795193561</v>
      </c>
      <c r="I208" s="14">
        <v>3.7100000000000002E-3</v>
      </c>
      <c r="J208" s="15">
        <v>5.4200000000000003E-3</v>
      </c>
      <c r="K208" s="16">
        <v>184464562</v>
      </c>
      <c r="L208" s="16">
        <v>702277.14746999997</v>
      </c>
      <c r="M208" s="17">
        <v>8734</v>
      </c>
      <c r="N208" s="14">
        <v>3.7100000000000002E-3</v>
      </c>
      <c r="O208" s="14">
        <v>3.7200000000000002E-3</v>
      </c>
      <c r="P208" s="18">
        <f>IF(OR(N208="",O208="",N208=0,O208=0),"",(O208-N208)/((O208+N208)/2))</f>
        <v>2.6917900403768576E-3</v>
      </c>
      <c r="Q208" s="14">
        <v>3.8071099999999998E-3</v>
      </c>
      <c r="R208" s="14">
        <v>3.9199999999999999E-3</v>
      </c>
      <c r="S208" s="14">
        <v>3.6800000000000001E-3</v>
      </c>
      <c r="T208" s="12">
        <v>46236.012461446757</v>
      </c>
      <c r="U208" s="12">
        <v>46237.012461446757</v>
      </c>
      <c r="V208" s="14">
        <v>5</v>
      </c>
      <c r="W208" s="14">
        <v>1</v>
      </c>
      <c r="X208" s="14">
        <v>1</v>
      </c>
      <c r="Y208" s="14">
        <v>1.0000000000000001E-5</v>
      </c>
      <c r="Z208" s="10" t="str">
        <f>IF(AND(D208="TRADING",I208&lt;&gt;"",L208&lt;&gt;"",M208&lt;&gt;"",N208&lt;&gt;"",O208&lt;&gt;""),"Yes","No")</f>
        <v>Yes</v>
      </c>
      <c r="AA208" s="10" t="s">
        <v>56</v>
      </c>
    </row>
    <row r="209" spans="1:27">
      <c r="A209" s="10" t="s">
        <v>1197</v>
      </c>
      <c r="B209" s="10" t="s">
        <v>1198</v>
      </c>
      <c r="C209" s="10" t="s">
        <v>12</v>
      </c>
      <c r="D209" s="10" t="s">
        <v>84</v>
      </c>
      <c r="E209" s="11" t="b">
        <v>1</v>
      </c>
      <c r="F209" s="12">
        <v>44169</v>
      </c>
      <c r="G209" s="12">
        <v>44169.999999988424</v>
      </c>
      <c r="H209" s="13">
        <f>IF(F209="","",(Summary!$B$5-F209)/365.25)</f>
        <v>5.6619096271579599</v>
      </c>
      <c r="I209" s="14">
        <v>0</v>
      </c>
      <c r="J209" s="15">
        <v>0</v>
      </c>
      <c r="K209" s="16">
        <v>0</v>
      </c>
      <c r="L209" s="16">
        <v>0</v>
      </c>
      <c r="M209" s="17">
        <v>0</v>
      </c>
      <c r="N209" s="14">
        <v>0</v>
      </c>
      <c r="O209" s="14">
        <v>0</v>
      </c>
      <c r="P209" s="18" t="str">
        <f>IF(OR(N209="",O209="",N209=0,O209=0),"",(O209-N209)/((O209+N209)/2))</f>
        <v/>
      </c>
      <c r="Q209" s="14">
        <v>0</v>
      </c>
      <c r="R209" s="14">
        <v>0</v>
      </c>
      <c r="S209" s="14">
        <v>0</v>
      </c>
      <c r="T209" s="12">
        <v>46209.261123090277</v>
      </c>
      <c r="U209" s="12">
        <v>46210.261123090277</v>
      </c>
      <c r="V209" s="14">
        <v>10</v>
      </c>
      <c r="W209" s="14">
        <v>0.1</v>
      </c>
      <c r="X209" s="14">
        <v>0.1</v>
      </c>
      <c r="Y209" s="14">
        <v>1E-3</v>
      </c>
      <c r="Z209" s="10" t="str">
        <f>IF(AND(D209="TRADING",I209&lt;&gt;"",L209&lt;&gt;"",M209&lt;&gt;"",N209&lt;&gt;"",O209&lt;&gt;""),"Yes","No")</f>
        <v>No</v>
      </c>
      <c r="AA209" s="10" t="s">
        <v>56</v>
      </c>
    </row>
    <row r="210" spans="1:27">
      <c r="A210" s="10" t="s">
        <v>602</v>
      </c>
      <c r="B210" s="10" t="s">
        <v>603</v>
      </c>
      <c r="C210" s="10" t="s">
        <v>12</v>
      </c>
      <c r="D210" s="10" t="s">
        <v>55</v>
      </c>
      <c r="E210" s="11" t="b">
        <v>1</v>
      </c>
      <c r="F210" s="12">
        <v>44182</v>
      </c>
      <c r="G210" s="12">
        <v>44182.999999988424</v>
      </c>
      <c r="H210" s="13">
        <f>IF(F210="","",(Summary!$B$5-F210)/365.25)</f>
        <v>5.626317566925243</v>
      </c>
      <c r="I210" s="14">
        <v>1.4749999999999999E-2</v>
      </c>
      <c r="J210" s="15">
        <v>3.8730000000000001E-2</v>
      </c>
      <c r="K210" s="16">
        <v>28623241</v>
      </c>
      <c r="L210" s="16">
        <v>414073.08639000001</v>
      </c>
      <c r="M210" s="17">
        <v>5723</v>
      </c>
      <c r="N210" s="14">
        <v>1.4749999999999999E-2</v>
      </c>
      <c r="O210" s="14">
        <v>1.4760000000000001E-2</v>
      </c>
      <c r="P210" s="18">
        <f>IF(OR(N210="",O210="",N210=0,O210=0),"",(O210-N210)/((O210+N210)/2))</f>
        <v>6.7773636055583374E-4</v>
      </c>
      <c r="Q210" s="14">
        <v>1.446632E-2</v>
      </c>
      <c r="R210" s="14">
        <v>1.4800000000000001E-2</v>
      </c>
      <c r="S210" s="14">
        <v>1.414E-2</v>
      </c>
      <c r="T210" s="12">
        <v>46236.012481527781</v>
      </c>
      <c r="U210" s="12">
        <v>46237.012481527781</v>
      </c>
      <c r="V210" s="14">
        <v>5</v>
      </c>
      <c r="W210" s="14">
        <v>1</v>
      </c>
      <c r="X210" s="14">
        <v>1</v>
      </c>
      <c r="Y210" s="14">
        <v>1.0000000000000001E-5</v>
      </c>
      <c r="Z210" s="10" t="str">
        <f>IF(AND(D210="TRADING",I210&lt;&gt;"",L210&lt;&gt;"",M210&lt;&gt;"",N210&lt;&gt;"",O210&lt;&gt;""),"Yes","No")</f>
        <v>Yes</v>
      </c>
      <c r="AA210" s="10" t="s">
        <v>56</v>
      </c>
    </row>
    <row r="211" spans="1:27">
      <c r="A211" s="10" t="s">
        <v>698</v>
      </c>
      <c r="B211" s="10" t="s">
        <v>699</v>
      </c>
      <c r="C211" s="10" t="s">
        <v>12</v>
      </c>
      <c r="D211" s="10" t="s">
        <v>55</v>
      </c>
      <c r="E211" s="11" t="b">
        <v>1</v>
      </c>
      <c r="F211" s="12">
        <v>44186</v>
      </c>
      <c r="G211" s="12">
        <v>44186.999999988424</v>
      </c>
      <c r="H211" s="13">
        <f>IF(F211="","",(Summary!$B$5-F211)/365.25)</f>
        <v>5.6153661637767147</v>
      </c>
      <c r="I211" s="14">
        <v>0.315</v>
      </c>
      <c r="J211" s="15">
        <v>1.942E-2</v>
      </c>
      <c r="K211" s="16">
        <v>340134.19</v>
      </c>
      <c r="L211" s="16">
        <v>106284.54906</v>
      </c>
      <c r="M211" s="17">
        <v>1910</v>
      </c>
      <c r="N211" s="14">
        <v>0.314</v>
      </c>
      <c r="O211" s="14">
        <v>0.315</v>
      </c>
      <c r="P211" s="18">
        <f>IF(OR(N211="",O211="",N211=0,O211=0),"",(O211-N211)/((O211+N211)/2))</f>
        <v>3.1796502384737707E-3</v>
      </c>
      <c r="Q211" s="14">
        <v>0.31247828999999999</v>
      </c>
      <c r="R211" s="14">
        <v>0.316</v>
      </c>
      <c r="S211" s="14">
        <v>0.309</v>
      </c>
      <c r="T211" s="12">
        <v>46236.011814317128</v>
      </c>
      <c r="U211" s="12">
        <v>46237.011814317128</v>
      </c>
      <c r="V211" s="14">
        <v>5</v>
      </c>
      <c r="W211" s="14">
        <v>0.01</v>
      </c>
      <c r="X211" s="14">
        <v>0.01</v>
      </c>
      <c r="Y211" s="14">
        <v>1E-3</v>
      </c>
      <c r="Z211" s="10" t="str">
        <f>IF(AND(D211="TRADING",I211&lt;&gt;"",L211&lt;&gt;"",M211&lt;&gt;"",N211&lt;&gt;"",O211&lt;&gt;""),"Yes","No")</f>
        <v>Yes</v>
      </c>
      <c r="AA211" s="10" t="s">
        <v>56</v>
      </c>
    </row>
    <row r="212" spans="1:27">
      <c r="A212" s="10" t="s">
        <v>1012</v>
      </c>
      <c r="B212" s="10" t="s">
        <v>1013</v>
      </c>
      <c r="C212" s="10" t="s">
        <v>12</v>
      </c>
      <c r="D212" s="10" t="s">
        <v>55</v>
      </c>
      <c r="E212" s="11" t="b">
        <v>1</v>
      </c>
      <c r="F212" s="12">
        <v>44186</v>
      </c>
      <c r="G212" s="12">
        <v>44186.999999988424</v>
      </c>
      <c r="H212" s="13">
        <f>IF(F212="","",(Summary!$B$5-F212)/365.25)</f>
        <v>5.6153661637767147</v>
      </c>
      <c r="I212" s="14">
        <v>0.499</v>
      </c>
      <c r="J212" s="15">
        <v>1.423E-2</v>
      </c>
      <c r="K212" s="16">
        <v>261116.3</v>
      </c>
      <c r="L212" s="16">
        <v>129356.72669</v>
      </c>
      <c r="M212" s="17">
        <v>2072</v>
      </c>
      <c r="N212" s="14">
        <v>0.499</v>
      </c>
      <c r="O212" s="14">
        <v>0.5</v>
      </c>
      <c r="P212" s="18">
        <f>IF(OR(N212="",O212="",N212=0,O212=0),"",(O212-N212)/((O212+N212)/2))</f>
        <v>2.0020020020020037E-3</v>
      </c>
      <c r="Q212" s="14">
        <v>0.49539889999999998</v>
      </c>
      <c r="R212" s="14">
        <v>0.502</v>
      </c>
      <c r="S212" s="14">
        <v>0.49</v>
      </c>
      <c r="T212" s="12">
        <v>46236.012383298614</v>
      </c>
      <c r="U212" s="12">
        <v>46237.012383298614</v>
      </c>
      <c r="V212" s="14">
        <v>5</v>
      </c>
      <c r="W212" s="14">
        <v>0.01</v>
      </c>
      <c r="X212" s="14">
        <v>0.01</v>
      </c>
      <c r="Y212" s="14">
        <v>1E-3</v>
      </c>
      <c r="Z212" s="10" t="str">
        <f>IF(AND(D212="TRADING",I212&lt;&gt;"",L212&lt;&gt;"",M212&lt;&gt;"",N212&lt;&gt;"",O212&lt;&gt;""),"Yes","No")</f>
        <v>Yes</v>
      </c>
      <c r="AA212" s="10" t="s">
        <v>56</v>
      </c>
    </row>
    <row r="213" spans="1:27">
      <c r="A213" s="10" t="s">
        <v>76</v>
      </c>
      <c r="B213" s="10" t="s">
        <v>77</v>
      </c>
      <c r="C213" s="10" t="s">
        <v>12</v>
      </c>
      <c r="D213" s="10" t="s">
        <v>55</v>
      </c>
      <c r="E213" s="11" t="b">
        <v>1</v>
      </c>
      <c r="F213" s="12">
        <v>44190</v>
      </c>
      <c r="G213" s="12">
        <v>44190.999999988424</v>
      </c>
      <c r="H213" s="13">
        <f>IF(F213="","",(Summary!$B$5-F213)/365.25)</f>
        <v>5.6044147606281864</v>
      </c>
      <c r="I213" s="14">
        <v>8.1299999999999997E-2</v>
      </c>
      <c r="J213" s="15">
        <v>7.43E-3</v>
      </c>
      <c r="K213" s="16">
        <v>4397553.5999999996</v>
      </c>
      <c r="L213" s="16">
        <v>360691.55</v>
      </c>
      <c r="M213" s="17">
        <v>5168</v>
      </c>
      <c r="N213" s="14">
        <v>8.1199999999999994E-2</v>
      </c>
      <c r="O213" s="14">
        <v>8.1299999999999997E-2</v>
      </c>
      <c r="P213" s="18">
        <f>IF(OR(N213="",O213="",N213=0,O213=0),"",(O213-N213)/((O213+N213)/2))</f>
        <v>1.2307692307692662E-3</v>
      </c>
      <c r="Q213" s="14">
        <v>8.2020960000000004E-2</v>
      </c>
      <c r="R213" s="14">
        <v>8.3299999999999999E-2</v>
      </c>
      <c r="S213" s="14">
        <v>8.0699999999999994E-2</v>
      </c>
      <c r="T213" s="12">
        <v>46236.012444444445</v>
      </c>
      <c r="U213" s="12">
        <v>46237.012444444445</v>
      </c>
      <c r="V213" s="14">
        <v>5</v>
      </c>
      <c r="W213" s="14">
        <v>0.1</v>
      </c>
      <c r="X213" s="14">
        <v>0.1</v>
      </c>
      <c r="Y213" s="14">
        <v>1E-4</v>
      </c>
      <c r="Z213" s="10" t="str">
        <f>IF(AND(D213="TRADING",I213&lt;&gt;"",L213&lt;&gt;"",M213&lt;&gt;"",N213&lt;&gt;"",O213&lt;&gt;""),"Yes","No")</f>
        <v>Yes</v>
      </c>
      <c r="AA213" s="10" t="s">
        <v>56</v>
      </c>
    </row>
    <row r="214" spans="1:27">
      <c r="A214" s="10" t="s">
        <v>1052</v>
      </c>
      <c r="B214" s="10" t="s">
        <v>1053</v>
      </c>
      <c r="C214" s="10" t="s">
        <v>12</v>
      </c>
      <c r="D214" s="10" t="s">
        <v>84</v>
      </c>
      <c r="E214" s="11" t="b">
        <v>1</v>
      </c>
      <c r="F214" s="12">
        <v>44194</v>
      </c>
      <c r="G214" s="12">
        <v>44194.999999988424</v>
      </c>
      <c r="H214" s="13">
        <f>IF(F214="","",(Summary!$B$5-F214)/365.25)</f>
        <v>5.5934633574796573</v>
      </c>
      <c r="I214" s="14">
        <v>6.8800000000000003E-4</v>
      </c>
      <c r="J214" s="15">
        <v>2.6869999999999998E-2</v>
      </c>
      <c r="K214" s="16">
        <v>579667377</v>
      </c>
      <c r="L214" s="16">
        <v>389266.02434100001</v>
      </c>
      <c r="M214" s="17">
        <v>4001</v>
      </c>
      <c r="N214" s="14">
        <v>0</v>
      </c>
      <c r="O214" s="14">
        <v>0</v>
      </c>
      <c r="P214" s="18" t="str">
        <f>IF(OR(N214="",O214="",N214=0,O214=0),"",(O214-N214)/((O214+N214)/2))</f>
        <v/>
      </c>
      <c r="Q214" s="14">
        <v>6.7153000000000004E-4</v>
      </c>
      <c r="R214" s="14">
        <v>7.0100000000000002E-4</v>
      </c>
      <c r="S214" s="14">
        <v>6.5099999999999999E-4</v>
      </c>
      <c r="T214" s="12">
        <v>46209.261123090277</v>
      </c>
      <c r="U214" s="12">
        <v>46210.261123090277</v>
      </c>
      <c r="V214" s="14">
        <v>5</v>
      </c>
      <c r="W214" s="14">
        <v>1</v>
      </c>
      <c r="X214" s="14">
        <v>1</v>
      </c>
      <c r="Y214" s="14">
        <v>9.9999999999999995E-7</v>
      </c>
      <c r="Z214" s="10" t="str">
        <f>IF(AND(D214="TRADING",I214&lt;&gt;"",L214&lt;&gt;"",M214&lt;&gt;"",N214&lt;&gt;"",O214&lt;&gt;""),"Yes","No")</f>
        <v>No</v>
      </c>
      <c r="AA214" s="10" t="s">
        <v>56</v>
      </c>
    </row>
    <row r="215" spans="1:27">
      <c r="A215" s="10" t="s">
        <v>185</v>
      </c>
      <c r="B215" s="10" t="s">
        <v>186</v>
      </c>
      <c r="C215" s="10" t="s">
        <v>12</v>
      </c>
      <c r="D215" s="10" t="s">
        <v>55</v>
      </c>
      <c r="E215" s="11" t="b">
        <v>1</v>
      </c>
      <c r="F215" s="12">
        <v>44195</v>
      </c>
      <c r="G215" s="12">
        <v>44195.999999988424</v>
      </c>
      <c r="H215" s="13">
        <f>IF(F215="","",(Summary!$B$5-F215)/365.25)</f>
        <v>5.5907255066925252</v>
      </c>
      <c r="I215" s="14">
        <v>0.85899999999999999</v>
      </c>
      <c r="J215" s="15">
        <v>5.8499999999999993E-3</v>
      </c>
      <c r="K215" s="16">
        <v>86014.7</v>
      </c>
      <c r="L215" s="16">
        <v>73922.036999999997</v>
      </c>
      <c r="M215" s="17">
        <v>1312</v>
      </c>
      <c r="N215" s="14">
        <v>0.85799999999999998</v>
      </c>
      <c r="O215" s="14">
        <v>0.85899999999999999</v>
      </c>
      <c r="P215" s="18">
        <f>IF(OR(N215="",O215="",N215=0,O215=0),"",(O215-N215)/((O215+N215)/2))</f>
        <v>1.164822364589401E-3</v>
      </c>
      <c r="Q215" s="14">
        <v>0.85941166999999996</v>
      </c>
      <c r="R215" s="14">
        <v>0.86599999999999999</v>
      </c>
      <c r="S215" s="14">
        <v>0.85299999999999998</v>
      </c>
      <c r="T215" s="12">
        <v>46236.011827743052</v>
      </c>
      <c r="U215" s="12">
        <v>46237.011827743052</v>
      </c>
      <c r="V215" s="14">
        <v>5</v>
      </c>
      <c r="W215" s="14">
        <v>0.1</v>
      </c>
      <c r="X215" s="14">
        <v>0.1</v>
      </c>
      <c r="Y215" s="14">
        <v>1E-3</v>
      </c>
      <c r="Z215" s="10" t="str">
        <f>IF(AND(D215="TRADING",I215&lt;&gt;"",L215&lt;&gt;"",M215&lt;&gt;"",N215&lt;&gt;"",O215&lt;&gt;""),"Yes","No")</f>
        <v>Yes</v>
      </c>
      <c r="AA215" s="10" t="s">
        <v>56</v>
      </c>
    </row>
    <row r="216" spans="1:27">
      <c r="A216" s="10" t="s">
        <v>195</v>
      </c>
      <c r="B216" s="10" t="s">
        <v>196</v>
      </c>
      <c r="C216" s="10" t="s">
        <v>12</v>
      </c>
      <c r="D216" s="10" t="s">
        <v>55</v>
      </c>
      <c r="E216" s="11" t="b">
        <v>1</v>
      </c>
      <c r="F216" s="12">
        <v>44195</v>
      </c>
      <c r="G216" s="12">
        <v>44195.999999988424</v>
      </c>
      <c r="H216" s="13">
        <f>IF(F216="","",(Summary!$B$5-F216)/365.25)</f>
        <v>5.5907255066925252</v>
      </c>
      <c r="I216" s="14">
        <v>1.653</v>
      </c>
      <c r="J216" s="15">
        <v>4.8599999999999997E-3</v>
      </c>
      <c r="K216" s="16">
        <v>132825.15</v>
      </c>
      <c r="L216" s="16">
        <v>219128.52234</v>
      </c>
      <c r="M216" s="17">
        <v>3933</v>
      </c>
      <c r="N216" s="14">
        <v>1.651</v>
      </c>
      <c r="O216" s="14">
        <v>1.653</v>
      </c>
      <c r="P216" s="18">
        <f>IF(OR(N216="",O216="",N216=0,O216=0),"",(O216-N216)/((O216+N216)/2))</f>
        <v>1.2106537530266353E-3</v>
      </c>
      <c r="Q216" s="14">
        <v>1.6497517399999999</v>
      </c>
      <c r="R216" s="14">
        <v>1.6839999999999999</v>
      </c>
      <c r="S216" s="14">
        <v>1.627</v>
      </c>
      <c r="T216" s="12">
        <v>46236.012478703706</v>
      </c>
      <c r="U216" s="12">
        <v>46237.012478703706</v>
      </c>
      <c r="V216" s="14">
        <v>5</v>
      </c>
      <c r="W216" s="14">
        <v>0.01</v>
      </c>
      <c r="X216" s="14">
        <v>0.01</v>
      </c>
      <c r="Y216" s="14">
        <v>1E-3</v>
      </c>
      <c r="Z216" s="10" t="str">
        <f>IF(AND(D216="TRADING",I216&lt;&gt;"",L216&lt;&gt;"",M216&lt;&gt;"",N216&lt;&gt;"",O216&lt;&gt;""),"Yes","No")</f>
        <v>Yes</v>
      </c>
      <c r="AA216" s="10" t="s">
        <v>56</v>
      </c>
    </row>
    <row r="217" spans="1:27">
      <c r="A217" s="10" t="s">
        <v>914</v>
      </c>
      <c r="B217" s="10" t="s">
        <v>915</v>
      </c>
      <c r="C217" s="10" t="s">
        <v>12</v>
      </c>
      <c r="D217" s="10" t="s">
        <v>55</v>
      </c>
      <c r="E217" s="11" t="b">
        <v>1</v>
      </c>
      <c r="F217" s="12">
        <v>44195</v>
      </c>
      <c r="G217" s="12">
        <v>44195.999999988424</v>
      </c>
      <c r="H217" s="13">
        <f>IF(F217="","",(Summary!$B$5-F217)/365.25)</f>
        <v>5.5907255066925252</v>
      </c>
      <c r="I217" s="14">
        <v>2.5110000000000001</v>
      </c>
      <c r="J217" s="15">
        <v>-1.99E-3</v>
      </c>
      <c r="K217" s="16">
        <v>47857.3</v>
      </c>
      <c r="L217" s="16">
        <v>120519.6176</v>
      </c>
      <c r="M217" s="17">
        <v>1850</v>
      </c>
      <c r="N217" s="14">
        <v>2.5099999999999998</v>
      </c>
      <c r="O217" s="14">
        <v>2.5110000000000001</v>
      </c>
      <c r="P217" s="18">
        <f>IF(OR(N217="",O217="",N217=0,O217=0),"",(O217-N217)/((O217+N217)/2))</f>
        <v>3.9832702648888029E-4</v>
      </c>
      <c r="Q217" s="14">
        <v>2.5183121000000002</v>
      </c>
      <c r="R217" s="14">
        <v>2.5499999999999998</v>
      </c>
      <c r="S217" s="14">
        <v>2.4990000000000001</v>
      </c>
      <c r="T217" s="12">
        <v>46236.012289629631</v>
      </c>
      <c r="U217" s="12">
        <v>46237.012289629631</v>
      </c>
      <c r="V217" s="14">
        <v>5</v>
      </c>
      <c r="W217" s="14">
        <v>0.1</v>
      </c>
      <c r="X217" s="14">
        <v>0.1</v>
      </c>
      <c r="Y217" s="14">
        <v>1E-3</v>
      </c>
      <c r="Z217" s="10" t="str">
        <f>IF(AND(D217="TRADING",I217&lt;&gt;"",L217&lt;&gt;"",M217&lt;&gt;"",N217&lt;&gt;"",O217&lt;&gt;""),"Yes","No")</f>
        <v>Yes</v>
      </c>
      <c r="AA217" s="10" t="s">
        <v>56</v>
      </c>
    </row>
    <row r="218" spans="1:27">
      <c r="A218" s="10" t="s">
        <v>345</v>
      </c>
      <c r="B218" s="10" t="s">
        <v>346</v>
      </c>
      <c r="C218" s="10" t="s">
        <v>12</v>
      </c>
      <c r="D218" s="10" t="s">
        <v>55</v>
      </c>
      <c r="E218" s="11" t="b">
        <v>1</v>
      </c>
      <c r="F218" s="12">
        <v>44201</v>
      </c>
      <c r="G218" s="12">
        <v>44201.999999988424</v>
      </c>
      <c r="H218" s="13">
        <f>IF(F218="","",(Summary!$B$5-F218)/365.25)</f>
        <v>5.5742984019697328</v>
      </c>
      <c r="I218" s="14">
        <v>6.2609999999999999E-2</v>
      </c>
      <c r="J218" s="15">
        <v>-6.9799999999999992E-3</v>
      </c>
      <c r="K218" s="16">
        <v>1391890.4</v>
      </c>
      <c r="L218" s="16">
        <v>87677.189870999995</v>
      </c>
      <c r="M218" s="17">
        <v>2555</v>
      </c>
      <c r="N218" s="14">
        <v>6.2630000000000005E-2</v>
      </c>
      <c r="O218" s="14">
        <v>6.2670000000000003E-2</v>
      </c>
      <c r="P218" s="18">
        <f>IF(OR(N218="",O218="",N218=0,O218=0),"",(O218-N218)/((O218+N218)/2))</f>
        <v>6.3846767757379664E-4</v>
      </c>
      <c r="Q218" s="14">
        <v>6.2991450000000004E-2</v>
      </c>
      <c r="R218" s="14">
        <v>6.3899999999999998E-2</v>
      </c>
      <c r="S218" s="14">
        <v>6.2469999999999998E-2</v>
      </c>
      <c r="T218" s="12">
        <v>46236.010777465279</v>
      </c>
      <c r="U218" s="12">
        <v>46237.010777465279</v>
      </c>
      <c r="V218" s="14">
        <v>5</v>
      </c>
      <c r="W218" s="14">
        <v>0.1</v>
      </c>
      <c r="X218" s="14">
        <v>0.1</v>
      </c>
      <c r="Y218" s="14">
        <v>1.0000000000000001E-5</v>
      </c>
      <c r="Z218" s="10" t="str">
        <f>IF(AND(D218="TRADING",I218&lt;&gt;"",L218&lt;&gt;"",M218&lt;&gt;"",N218&lt;&gt;"",O218&lt;&gt;""),"Yes","No")</f>
        <v>Yes</v>
      </c>
      <c r="AA218" s="10" t="s">
        <v>56</v>
      </c>
    </row>
    <row r="219" spans="1:27">
      <c r="A219" s="10" t="s">
        <v>1072</v>
      </c>
      <c r="B219" s="10" t="s">
        <v>1073</v>
      </c>
      <c r="C219" s="10" t="s">
        <v>12</v>
      </c>
      <c r="D219" s="10" t="s">
        <v>55</v>
      </c>
      <c r="E219" s="11" t="b">
        <v>1</v>
      </c>
      <c r="F219" s="12">
        <v>44203</v>
      </c>
      <c r="G219" s="12">
        <v>44203.999999988424</v>
      </c>
      <c r="H219" s="13">
        <f>IF(F219="","",(Summary!$B$5-F219)/365.25)</f>
        <v>5.5688227003954687</v>
      </c>
      <c r="I219" s="14">
        <v>8.6900000000000005E-2</v>
      </c>
      <c r="J219" s="15">
        <v>1.15E-3</v>
      </c>
      <c r="K219" s="16">
        <v>18097692</v>
      </c>
      <c r="L219" s="16">
        <v>1628867.6688999999</v>
      </c>
      <c r="M219" s="17">
        <v>22813</v>
      </c>
      <c r="N219" s="14">
        <v>8.6800000000000002E-2</v>
      </c>
      <c r="O219" s="14">
        <v>8.6900000000000005E-2</v>
      </c>
      <c r="P219" s="18">
        <f>IF(OR(N219="",O219="",N219=0,O219=0),"",(O219-N219)/((O219+N219)/2))</f>
        <v>1.1514104778353811E-3</v>
      </c>
      <c r="Q219" s="14">
        <v>9.0004169999999994E-2</v>
      </c>
      <c r="R219" s="14">
        <v>9.2999999999999999E-2</v>
      </c>
      <c r="S219" s="14">
        <v>8.6300000000000002E-2</v>
      </c>
      <c r="T219" s="12">
        <v>46236.012469259258</v>
      </c>
      <c r="U219" s="12">
        <v>46237.012469259258</v>
      </c>
      <c r="V219" s="14">
        <v>5</v>
      </c>
      <c r="W219" s="14">
        <v>1</v>
      </c>
      <c r="X219" s="14">
        <v>1</v>
      </c>
      <c r="Y219" s="14">
        <v>1E-4</v>
      </c>
      <c r="Z219" s="10" t="str">
        <f>IF(AND(D219="TRADING",I219&lt;&gt;"",L219&lt;&gt;"",M219&lt;&gt;"",N219&lt;&gt;"",O219&lt;&gt;""),"Yes","No")</f>
        <v>Yes</v>
      </c>
      <c r="AA219" s="10" t="s">
        <v>56</v>
      </c>
    </row>
    <row r="220" spans="1:27">
      <c r="A220" s="10" t="s">
        <v>318</v>
      </c>
      <c r="B220" s="10" t="s">
        <v>319</v>
      </c>
      <c r="C220" s="10" t="s">
        <v>12</v>
      </c>
      <c r="D220" s="10" t="s">
        <v>84</v>
      </c>
      <c r="E220" s="11" t="b">
        <v>1</v>
      </c>
      <c r="F220" s="12">
        <v>44209</v>
      </c>
      <c r="G220" s="12">
        <v>44209.999999988424</v>
      </c>
      <c r="H220" s="13">
        <f>IF(F220="","",(Summary!$B$5-F220)/365.25)</f>
        <v>5.5523955956726763</v>
      </c>
      <c r="I220" s="14">
        <v>5.35</v>
      </c>
      <c r="J220" s="15">
        <v>-5.142E-2</v>
      </c>
      <c r="K220" s="16">
        <v>121233.48</v>
      </c>
      <c r="L220" s="16">
        <v>662594.73459999997</v>
      </c>
      <c r="M220" s="17">
        <v>4001</v>
      </c>
      <c r="N220" s="14">
        <v>0</v>
      </c>
      <c r="O220" s="14">
        <v>0</v>
      </c>
      <c r="P220" s="18" t="str">
        <f>IF(OR(N220="",O220="",N220=0,O220=0),"",(O220-N220)/((O220+N220)/2))</f>
        <v/>
      </c>
      <c r="Q220" s="14">
        <v>5.4654434900000002</v>
      </c>
      <c r="R220" s="14">
        <v>5.7</v>
      </c>
      <c r="S220" s="14">
        <v>5.17</v>
      </c>
      <c r="T220" s="12">
        <v>46209.261123090277</v>
      </c>
      <c r="U220" s="12">
        <v>46210.261123090277</v>
      </c>
      <c r="V220" s="14">
        <v>10</v>
      </c>
      <c r="W220" s="14">
        <v>0.01</v>
      </c>
      <c r="X220" s="14">
        <v>0.01</v>
      </c>
      <c r="Y220" s="14">
        <v>0.01</v>
      </c>
      <c r="Z220" s="10" t="str">
        <f>IF(AND(D220="TRADING",I220&lt;&gt;"",L220&lt;&gt;"",M220&lt;&gt;"",N220&lt;&gt;"",O220&lt;&gt;""),"Yes","No")</f>
        <v>No</v>
      </c>
      <c r="AA220" s="10" t="s">
        <v>56</v>
      </c>
    </row>
    <row r="221" spans="1:27">
      <c r="A221" s="10" t="s">
        <v>1249</v>
      </c>
      <c r="B221" s="10" t="s">
        <v>1250</v>
      </c>
      <c r="C221" s="10" t="s">
        <v>12</v>
      </c>
      <c r="D221" s="10" t="s">
        <v>84</v>
      </c>
      <c r="E221" s="11" t="b">
        <v>1</v>
      </c>
      <c r="F221" s="12">
        <v>44215</v>
      </c>
      <c r="G221" s="12">
        <v>44215.999999988424</v>
      </c>
      <c r="H221" s="13">
        <f>IF(F221="","",(Summary!$B$5-F221)/365.25)</f>
        <v>5.5359684909498839</v>
      </c>
      <c r="I221" s="14">
        <v>2.3E-3</v>
      </c>
      <c r="J221" s="15">
        <v>-0.23332999999999998</v>
      </c>
      <c r="K221" s="16">
        <v>283106001</v>
      </c>
      <c r="L221" s="16">
        <v>778601.52659999998</v>
      </c>
      <c r="M221" s="17">
        <v>8724</v>
      </c>
      <c r="N221" s="14">
        <v>0</v>
      </c>
      <c r="O221" s="14">
        <v>0</v>
      </c>
      <c r="P221" s="18" t="str">
        <f>IF(OR(N221="",O221="",N221=0,O221=0),"",(O221-N221)/((O221+N221)/2))</f>
        <v/>
      </c>
      <c r="Q221" s="14">
        <v>2.7502099999999999E-3</v>
      </c>
      <c r="R221" s="14">
        <v>3.0999999999999999E-3</v>
      </c>
      <c r="S221" s="14">
        <v>2.2000000000000001E-3</v>
      </c>
      <c r="T221" s="12">
        <v>46209.261123090277</v>
      </c>
      <c r="U221" s="12">
        <v>46210.261123090277</v>
      </c>
      <c r="V221" s="14">
        <v>5</v>
      </c>
      <c r="W221" s="14">
        <v>1</v>
      </c>
      <c r="X221" s="14">
        <v>1</v>
      </c>
      <c r="Y221" s="14">
        <v>1E-4</v>
      </c>
      <c r="Z221" s="10" t="str">
        <f>IF(AND(D221="TRADING",I221&lt;&gt;"",L221&lt;&gt;"",M221&lt;&gt;"",N221&lt;&gt;"",O221&lt;&gt;""),"Yes","No")</f>
        <v>No</v>
      </c>
      <c r="AA221" s="10" t="s">
        <v>56</v>
      </c>
    </row>
    <row r="222" spans="1:27">
      <c r="A222" s="10" t="s">
        <v>367</v>
      </c>
      <c r="B222" s="10" t="s">
        <v>368</v>
      </c>
      <c r="C222" s="10" t="s">
        <v>12</v>
      </c>
      <c r="D222" s="10" t="s">
        <v>55</v>
      </c>
      <c r="E222" s="11" t="b">
        <v>1</v>
      </c>
      <c r="F222" s="12">
        <v>44222</v>
      </c>
      <c r="G222" s="12">
        <v>44222.999999988424</v>
      </c>
      <c r="H222" s="13">
        <f>IF(F222="","",(Summary!$B$5-F222)/365.25)</f>
        <v>5.5168035354399585</v>
      </c>
      <c r="I222" s="14">
        <v>8.1899999999999996E-4</v>
      </c>
      <c r="J222" s="15">
        <v>8.6199999999999992E-3</v>
      </c>
      <c r="K222" s="16">
        <v>120044306</v>
      </c>
      <c r="L222" s="16">
        <v>98593.071312</v>
      </c>
      <c r="M222" s="17">
        <v>1515</v>
      </c>
      <c r="N222" s="14">
        <v>8.1899999999999996E-4</v>
      </c>
      <c r="O222" s="14">
        <v>8.1999999999999998E-4</v>
      </c>
      <c r="P222" s="18">
        <f>IF(OR(N222="",O222="",N222=0,O222=0),"",(O222-N222)/((O222+N222)/2))</f>
        <v>1.2202562538133307E-3</v>
      </c>
      <c r="Q222" s="14">
        <v>8.2131000000000001E-4</v>
      </c>
      <c r="R222" s="14">
        <v>8.3199999999999995E-4</v>
      </c>
      <c r="S222" s="14">
        <v>8.1099999999999998E-4</v>
      </c>
      <c r="T222" s="12">
        <v>46236.012101805558</v>
      </c>
      <c r="U222" s="12">
        <v>46237.012101805558</v>
      </c>
      <c r="V222" s="14">
        <v>5</v>
      </c>
      <c r="W222" s="14">
        <v>1</v>
      </c>
      <c r="X222" s="14">
        <v>1</v>
      </c>
      <c r="Y222" s="14">
        <v>9.9999999999999995E-7</v>
      </c>
      <c r="Z222" s="10" t="str">
        <f>IF(AND(D222="TRADING",I222&lt;&gt;"",L222&lt;&gt;"",M222&lt;&gt;"",N222&lt;&gt;"",O222&lt;&gt;""),"Yes","No")</f>
        <v>Yes</v>
      </c>
      <c r="AA222" s="10" t="s">
        <v>56</v>
      </c>
    </row>
    <row r="223" spans="1:27">
      <c r="A223" s="10" t="s">
        <v>1271</v>
      </c>
      <c r="B223" s="10" t="s">
        <v>1272</v>
      </c>
      <c r="C223" s="10" t="s">
        <v>12</v>
      </c>
      <c r="D223" s="10" t="s">
        <v>55</v>
      </c>
      <c r="E223" s="11" t="b">
        <v>1</v>
      </c>
      <c r="F223" s="12">
        <v>44223</v>
      </c>
      <c r="G223" s="12">
        <v>44223.999999988424</v>
      </c>
      <c r="H223" s="13">
        <f>IF(F223="","",(Summary!$B$5-F223)/365.25)</f>
        <v>5.5140656846528264</v>
      </c>
      <c r="I223" s="14">
        <v>0.37709999999999999</v>
      </c>
      <c r="J223" s="15">
        <v>-2.3799999999999997E-3</v>
      </c>
      <c r="K223" s="16">
        <v>985563</v>
      </c>
      <c r="L223" s="16">
        <v>376735.30129999999</v>
      </c>
      <c r="M223" s="17">
        <v>9234</v>
      </c>
      <c r="N223" s="14">
        <v>0.377</v>
      </c>
      <c r="O223" s="14">
        <v>0.3775</v>
      </c>
      <c r="P223" s="18">
        <f>IF(OR(N223="",O223="",N223=0,O223=0),"",(O223-N223)/((O223+N223)/2))</f>
        <v>1.3253810470510285E-3</v>
      </c>
      <c r="Q223" s="14">
        <v>0.38225389999999998</v>
      </c>
      <c r="R223" s="14">
        <v>0.38750000000000001</v>
      </c>
      <c r="S223" s="14">
        <v>0.37609999999999999</v>
      </c>
      <c r="T223" s="12">
        <v>46236.01247184028</v>
      </c>
      <c r="U223" s="12">
        <v>46237.01247184028</v>
      </c>
      <c r="V223" s="14">
        <v>5</v>
      </c>
      <c r="W223" s="14">
        <v>1</v>
      </c>
      <c r="X223" s="14">
        <v>1</v>
      </c>
      <c r="Y223" s="14">
        <v>1E-4</v>
      </c>
      <c r="Z223" s="10" t="str">
        <f>IF(AND(D223="TRADING",I223&lt;&gt;"",L223&lt;&gt;"",M223&lt;&gt;"",N223&lt;&gt;"",O223&lt;&gt;""),"Yes","No")</f>
        <v>Yes</v>
      </c>
      <c r="AA223" s="10" t="s">
        <v>56</v>
      </c>
    </row>
    <row r="224" spans="1:27">
      <c r="A224" s="10" t="s">
        <v>530</v>
      </c>
      <c r="B224" s="10" t="s">
        <v>531</v>
      </c>
      <c r="C224" s="10" t="s">
        <v>12</v>
      </c>
      <c r="D224" s="10" t="s">
        <v>84</v>
      </c>
      <c r="E224" s="11" t="b">
        <v>1</v>
      </c>
      <c r="F224" s="12">
        <v>44225</v>
      </c>
      <c r="G224" s="12">
        <v>44225.999999988424</v>
      </c>
      <c r="H224" s="13">
        <f>IF(F224="","",(Summary!$B$5-F224)/365.25)</f>
        <v>5.5085899830785623</v>
      </c>
      <c r="I224" s="14">
        <v>0.3</v>
      </c>
      <c r="J224" s="15">
        <v>-0.25</v>
      </c>
      <c r="K224" s="16">
        <v>1208885.8</v>
      </c>
      <c r="L224" s="16">
        <v>415626.48359999998</v>
      </c>
      <c r="M224" s="17">
        <v>4001</v>
      </c>
      <c r="N224" s="14">
        <v>0</v>
      </c>
      <c r="O224" s="14">
        <v>0</v>
      </c>
      <c r="P224" s="18" t="str">
        <f>IF(OR(N224="",O224="",N224=0,O224=0),"",(O224-N224)/((O224+N224)/2))</f>
        <v/>
      </c>
      <c r="Q224" s="14">
        <v>0.34380955000000002</v>
      </c>
      <c r="R224" s="14">
        <v>0.56000000000000005</v>
      </c>
      <c r="S224" s="14">
        <v>0.255</v>
      </c>
      <c r="T224" s="12">
        <v>46209.261123090277</v>
      </c>
      <c r="U224" s="12">
        <v>46210.261123090277</v>
      </c>
      <c r="V224" s="14">
        <v>5</v>
      </c>
      <c r="W224" s="14">
        <v>0.1</v>
      </c>
      <c r="X224" s="14">
        <v>0.1</v>
      </c>
      <c r="Y224" s="14">
        <v>1E-3</v>
      </c>
      <c r="Z224" s="10" t="str">
        <f>IF(AND(D224="TRADING",I224&lt;&gt;"",L224&lt;&gt;"",M224&lt;&gt;"",N224&lt;&gt;"",O224&lt;&gt;""),"Yes","No")</f>
        <v>No</v>
      </c>
      <c r="AA224" s="10" t="s">
        <v>56</v>
      </c>
    </row>
    <row r="225" spans="1:27">
      <c r="A225" s="10" t="s">
        <v>756</v>
      </c>
      <c r="B225" s="10" t="s">
        <v>757</v>
      </c>
      <c r="C225" s="10" t="s">
        <v>12</v>
      </c>
      <c r="D225" s="10" t="s">
        <v>84</v>
      </c>
      <c r="E225" s="11" t="b">
        <v>1</v>
      </c>
      <c r="F225" s="12">
        <v>44231</v>
      </c>
      <c r="G225" s="12">
        <v>44231.999999988424</v>
      </c>
      <c r="H225" s="13">
        <f>IF(F225="","",(Summary!$B$5-F225)/365.25)</f>
        <v>5.4921628783557699</v>
      </c>
      <c r="I225" s="14">
        <v>0.74299999999999999</v>
      </c>
      <c r="J225" s="15">
        <v>5.2409999999999998E-2</v>
      </c>
      <c r="K225" s="16">
        <v>1150064.5</v>
      </c>
      <c r="L225" s="16">
        <v>799655.06629999995</v>
      </c>
      <c r="M225" s="17">
        <v>4001</v>
      </c>
      <c r="N225" s="14">
        <v>0</v>
      </c>
      <c r="O225" s="14">
        <v>0</v>
      </c>
      <c r="P225" s="18" t="str">
        <f>IF(OR(N225="",O225="",N225=0,O225=0),"",(O225-N225)/((O225+N225)/2))</f>
        <v/>
      </c>
      <c r="Q225" s="14">
        <v>0.69531323</v>
      </c>
      <c r="R225" s="14">
        <v>0.755</v>
      </c>
      <c r="S225" s="14">
        <v>0.65600000000000003</v>
      </c>
      <c r="T225" s="12">
        <v>46209.261123090277</v>
      </c>
      <c r="U225" s="12">
        <v>46210.261123090277</v>
      </c>
      <c r="V225" s="14">
        <v>5</v>
      </c>
      <c r="W225" s="14">
        <v>0.1</v>
      </c>
      <c r="X225" s="14">
        <v>0.1</v>
      </c>
      <c r="Y225" s="14">
        <v>1E-3</v>
      </c>
      <c r="Z225" s="10" t="str">
        <f>IF(AND(D225="TRADING",I225&lt;&gt;"",L225&lt;&gt;"",M225&lt;&gt;"",N225&lt;&gt;"",O225&lt;&gt;""),"Yes","No")</f>
        <v>No</v>
      </c>
      <c r="AA225" s="10" t="s">
        <v>56</v>
      </c>
    </row>
    <row r="226" spans="1:27">
      <c r="A226" s="10" t="s">
        <v>1116</v>
      </c>
      <c r="B226" s="10" t="s">
        <v>1117</v>
      </c>
      <c r="C226" s="10" t="s">
        <v>12</v>
      </c>
      <c r="D226" s="10" t="s">
        <v>55</v>
      </c>
      <c r="E226" s="11" t="b">
        <v>1</v>
      </c>
      <c r="F226" s="12">
        <v>44235</v>
      </c>
      <c r="G226" s="12">
        <v>44235.999999988424</v>
      </c>
      <c r="H226" s="13">
        <f>IF(F226="","",(Summary!$B$5-F226)/365.25)</f>
        <v>5.4812114752072416</v>
      </c>
      <c r="I226" s="14">
        <v>0.21479999999999999</v>
      </c>
      <c r="J226" s="15">
        <v>-1.2869999999999999E-2</v>
      </c>
      <c r="K226" s="16">
        <v>245905</v>
      </c>
      <c r="L226" s="16">
        <v>53306.0236</v>
      </c>
      <c r="M226" s="17">
        <v>1426</v>
      </c>
      <c r="N226" s="14">
        <v>0.2147</v>
      </c>
      <c r="O226" s="14">
        <v>0.21479999999999999</v>
      </c>
      <c r="P226" s="18">
        <f>IF(OR(N226="",O226="",N226=0,O226=0),"",(O226-N226)/((O226+N226)/2))</f>
        <v>4.6565774155990215E-4</v>
      </c>
      <c r="Q226" s="14">
        <v>0.21677487000000001</v>
      </c>
      <c r="R226" s="14">
        <v>0.21940000000000001</v>
      </c>
      <c r="S226" s="14">
        <v>0.21479999999999999</v>
      </c>
      <c r="T226" s="12">
        <v>46236.011775416664</v>
      </c>
      <c r="U226" s="12">
        <v>46237.011775416664</v>
      </c>
      <c r="V226" s="14">
        <v>5</v>
      </c>
      <c r="W226" s="14">
        <v>1</v>
      </c>
      <c r="X226" s="14">
        <v>1</v>
      </c>
      <c r="Y226" s="14">
        <v>1E-4</v>
      </c>
      <c r="Z226" s="10" t="str">
        <f>IF(AND(D226="TRADING",I226&lt;&gt;"",L226&lt;&gt;"",M226&lt;&gt;"",N226&lt;&gt;"",O226&lt;&gt;""),"Yes","No")</f>
        <v>Yes</v>
      </c>
      <c r="AA226" s="10" t="s">
        <v>56</v>
      </c>
    </row>
    <row r="227" spans="1:27">
      <c r="A227" s="10" t="s">
        <v>339</v>
      </c>
      <c r="B227" s="10" t="s">
        <v>340</v>
      </c>
      <c r="C227" s="10" t="s">
        <v>12</v>
      </c>
      <c r="D227" s="10" t="s">
        <v>55</v>
      </c>
      <c r="E227" s="11" t="b">
        <v>1</v>
      </c>
      <c r="F227" s="12">
        <v>44246</v>
      </c>
      <c r="G227" s="12">
        <v>44246.999999988424</v>
      </c>
      <c r="H227" s="13">
        <f>IF(F227="","",(Summary!$B$5-F227)/365.25)</f>
        <v>5.451095116548788</v>
      </c>
      <c r="I227" s="14">
        <v>1.4419999999999999</v>
      </c>
      <c r="J227" s="15">
        <v>2.2700000000000001E-2</v>
      </c>
      <c r="K227" s="16">
        <v>628162.17000000004</v>
      </c>
      <c r="L227" s="16">
        <v>899626.84346</v>
      </c>
      <c r="M227" s="17">
        <v>14378</v>
      </c>
      <c r="N227" s="14">
        <v>1.4410000000000001</v>
      </c>
      <c r="O227" s="14">
        <v>1.4419999999999999</v>
      </c>
      <c r="P227" s="18">
        <f>IF(OR(N227="",O227="",N227=0,O227=0),"",(O227-N227)/((O227+N227)/2))</f>
        <v>6.9372181755108554E-4</v>
      </c>
      <c r="Q227" s="14">
        <v>1.43215699</v>
      </c>
      <c r="R227" s="14">
        <v>1.4550000000000001</v>
      </c>
      <c r="S227" s="14">
        <v>1.407</v>
      </c>
      <c r="T227" s="12">
        <v>46236.012477245371</v>
      </c>
      <c r="U227" s="12">
        <v>46237.012477245371</v>
      </c>
      <c r="V227" s="14">
        <v>5</v>
      </c>
      <c r="W227" s="14">
        <v>0.01</v>
      </c>
      <c r="X227" s="14">
        <v>0.01</v>
      </c>
      <c r="Y227" s="14">
        <v>1E-3</v>
      </c>
      <c r="Z227" s="10" t="str">
        <f>IF(AND(D227="TRADING",I227&lt;&gt;"",L227&lt;&gt;"",M227&lt;&gt;"",N227&lt;&gt;"",O227&lt;&gt;""),"Yes","No")</f>
        <v>Yes</v>
      </c>
      <c r="AA227" s="10" t="s">
        <v>56</v>
      </c>
    </row>
    <row r="228" spans="1:27">
      <c r="A228" s="10" t="s">
        <v>439</v>
      </c>
      <c r="B228" s="10" t="s">
        <v>440</v>
      </c>
      <c r="C228" s="10" t="s">
        <v>12</v>
      </c>
      <c r="D228" s="10" t="s">
        <v>55</v>
      </c>
      <c r="E228" s="11" t="b">
        <v>1</v>
      </c>
      <c r="F228" s="12">
        <v>44246</v>
      </c>
      <c r="G228" s="12">
        <v>44246.999999988424</v>
      </c>
      <c r="H228" s="13">
        <f>IF(F228="","",(Summary!$B$5-F228)/365.25)</f>
        <v>5.451095116548788</v>
      </c>
      <c r="I228" s="14">
        <v>1.8429999999999998E-2</v>
      </c>
      <c r="J228" s="15">
        <v>3.81E-3</v>
      </c>
      <c r="K228" s="16">
        <v>108710140.59999999</v>
      </c>
      <c r="L228" s="16">
        <v>2058813.8204419999</v>
      </c>
      <c r="M228" s="17">
        <v>18370</v>
      </c>
      <c r="N228" s="14">
        <v>1.8419999999999999E-2</v>
      </c>
      <c r="O228" s="14">
        <v>1.8440000000000002E-2</v>
      </c>
      <c r="P228" s="18">
        <f>IF(OR(N228="",O228="",N228=0,O228=0),"",(O228-N228)/((O228+N228)/2))</f>
        <v>1.0851871947912455E-3</v>
      </c>
      <c r="Q228" s="14">
        <v>1.893856E-2</v>
      </c>
      <c r="R228" s="14">
        <v>2.018E-2</v>
      </c>
      <c r="S228" s="14">
        <v>1.8280000000000001E-2</v>
      </c>
      <c r="T228" s="12">
        <v>46236.012233298614</v>
      </c>
      <c r="U228" s="12">
        <v>46237.012233298614</v>
      </c>
      <c r="V228" s="14">
        <v>5</v>
      </c>
      <c r="W228" s="14">
        <v>0.1</v>
      </c>
      <c r="X228" s="14">
        <v>0.1</v>
      </c>
      <c r="Y228" s="14">
        <v>1.0000000000000001E-5</v>
      </c>
      <c r="Z228" s="10" t="str">
        <f>IF(AND(D228="TRADING",I228&lt;&gt;"",L228&lt;&gt;"",M228&lt;&gt;"",N228&lt;&gt;"",O228&lt;&gt;""),"Yes","No")</f>
        <v>Yes</v>
      </c>
      <c r="AA228" s="10" t="s">
        <v>56</v>
      </c>
    </row>
    <row r="229" spans="1:27">
      <c r="A229" s="10" t="s">
        <v>97</v>
      </c>
      <c r="B229" s="10" t="s">
        <v>98</v>
      </c>
      <c r="C229" s="10" t="s">
        <v>12</v>
      </c>
      <c r="D229" s="10" t="s">
        <v>55</v>
      </c>
      <c r="E229" s="11" t="b">
        <v>1</v>
      </c>
      <c r="F229" s="12">
        <v>44251</v>
      </c>
      <c r="G229" s="12">
        <v>44251.999999988424</v>
      </c>
      <c r="H229" s="13">
        <f>IF(F229="","",(Summary!$B$5-F229)/365.25)</f>
        <v>5.4374058626131276</v>
      </c>
      <c r="I229" s="14">
        <v>0.26800000000000002</v>
      </c>
      <c r="J229" s="15">
        <v>-3.7199999999999998E-3</v>
      </c>
      <c r="K229" s="16">
        <v>418643</v>
      </c>
      <c r="L229" s="16">
        <v>112468.1087</v>
      </c>
      <c r="M229" s="17">
        <v>2007</v>
      </c>
      <c r="N229" s="14">
        <v>0.26700000000000002</v>
      </c>
      <c r="O229" s="14">
        <v>0.26800000000000002</v>
      </c>
      <c r="P229" s="18">
        <f>IF(OR(N229="",O229="",N229=0,O229=0),"",(O229-N229)/((O229+N229)/2))</f>
        <v>3.738317757009349E-3</v>
      </c>
      <c r="Q229" s="14">
        <v>0.26864919999999998</v>
      </c>
      <c r="R229" s="14">
        <v>0.27300000000000002</v>
      </c>
      <c r="S229" s="14">
        <v>0.26600000000000001</v>
      </c>
      <c r="T229" s="12">
        <v>46236.012289085651</v>
      </c>
      <c r="U229" s="12">
        <v>46237.012289085651</v>
      </c>
      <c r="V229" s="14">
        <v>5</v>
      </c>
      <c r="W229" s="14">
        <v>0.1</v>
      </c>
      <c r="X229" s="14">
        <v>0.1</v>
      </c>
      <c r="Y229" s="14">
        <v>1E-3</v>
      </c>
      <c r="Z229" s="10" t="str">
        <f>IF(AND(D229="TRADING",I229&lt;&gt;"",L229&lt;&gt;"",M229&lt;&gt;"",N229&lt;&gt;"",O229&lt;&gt;""),"Yes","No")</f>
        <v>Yes</v>
      </c>
      <c r="AA229" s="10" t="s">
        <v>56</v>
      </c>
    </row>
    <row r="230" spans="1:27">
      <c r="A230" s="10" t="s">
        <v>231</v>
      </c>
      <c r="B230" s="10" t="s">
        <v>232</v>
      </c>
      <c r="C230" s="10" t="s">
        <v>12</v>
      </c>
      <c r="D230" s="10" t="s">
        <v>84</v>
      </c>
      <c r="E230" s="11" t="b">
        <v>1</v>
      </c>
      <c r="F230" s="12">
        <v>44257</v>
      </c>
      <c r="G230" s="12">
        <v>44257.999999988424</v>
      </c>
      <c r="H230" s="13">
        <f>IF(F230="","",(Summary!$B$5-F230)/365.25)</f>
        <v>5.4209787578903352</v>
      </c>
      <c r="I230" s="14">
        <v>0.76200000000000001</v>
      </c>
      <c r="J230" s="15">
        <v>-7.4120000000000005E-2</v>
      </c>
      <c r="K230" s="16">
        <v>232079.55</v>
      </c>
      <c r="L230" s="16">
        <v>183491.40946</v>
      </c>
      <c r="M230" s="17">
        <v>4001</v>
      </c>
      <c r="N230" s="14">
        <v>0</v>
      </c>
      <c r="O230" s="14">
        <v>0</v>
      </c>
      <c r="P230" s="18" t="str">
        <f>IF(OR(N230="",O230="",N230=0,O230=0),"",(O230-N230)/((O230+N230)/2))</f>
        <v/>
      </c>
      <c r="Q230" s="14">
        <v>0.79064014999999999</v>
      </c>
      <c r="R230" s="14">
        <v>0.83399999999999996</v>
      </c>
      <c r="S230" s="14">
        <v>0.74</v>
      </c>
      <c r="T230" s="12">
        <v>46209.261123090277</v>
      </c>
      <c r="U230" s="12">
        <v>46210.261123090277</v>
      </c>
      <c r="V230" s="14">
        <v>5</v>
      </c>
      <c r="W230" s="14">
        <v>0.01</v>
      </c>
      <c r="X230" s="14">
        <v>0.01</v>
      </c>
      <c r="Y230" s="14">
        <v>1E-3</v>
      </c>
      <c r="Z230" s="10" t="str">
        <f>IF(AND(D230="TRADING",I230&lt;&gt;"",L230&lt;&gt;"",M230&lt;&gt;"",N230&lt;&gt;"",O230&lt;&gt;""),"Yes","No")</f>
        <v>No</v>
      </c>
      <c r="AA230" s="10" t="s">
        <v>56</v>
      </c>
    </row>
    <row r="231" spans="1:27">
      <c r="A231" s="10" t="s">
        <v>532</v>
      </c>
      <c r="B231" s="10" t="s">
        <v>533</v>
      </c>
      <c r="C231" s="10" t="s">
        <v>12</v>
      </c>
      <c r="D231" s="10" t="s">
        <v>84</v>
      </c>
      <c r="E231" s="11" t="b">
        <v>1</v>
      </c>
      <c r="F231" s="12">
        <v>44258</v>
      </c>
      <c r="G231" s="12">
        <v>44258.999999988424</v>
      </c>
      <c r="H231" s="13">
        <f>IF(F231="","",(Summary!$B$5-F231)/365.25)</f>
        <v>5.4182409071032032</v>
      </c>
      <c r="I231" s="14">
        <v>1.9099999999999999E-2</v>
      </c>
      <c r="J231" s="15">
        <v>-2.5510000000000001E-2</v>
      </c>
      <c r="K231" s="16">
        <v>10613884</v>
      </c>
      <c r="L231" s="16">
        <v>203751.9179</v>
      </c>
      <c r="M231" s="17">
        <v>4001</v>
      </c>
      <c r="N231" s="14">
        <v>0</v>
      </c>
      <c r="O231" s="14">
        <v>0</v>
      </c>
      <c r="P231" s="18" t="str">
        <f>IF(OR(N231="",O231="",N231=0,O231=0),"",(O231-N231)/((O231+N231)/2))</f>
        <v/>
      </c>
      <c r="Q231" s="14">
        <v>1.9196729999999999E-2</v>
      </c>
      <c r="R231" s="14">
        <v>2.1899999999999999E-2</v>
      </c>
      <c r="S231" s="14">
        <v>1.7600000000000001E-2</v>
      </c>
      <c r="T231" s="12">
        <v>46209.261123090277</v>
      </c>
      <c r="U231" s="12">
        <v>46210.261123090277</v>
      </c>
      <c r="V231" s="14">
        <v>5</v>
      </c>
      <c r="W231" s="14">
        <v>1</v>
      </c>
      <c r="X231" s="14">
        <v>1</v>
      </c>
      <c r="Y231" s="14">
        <v>1E-4</v>
      </c>
      <c r="Z231" s="10" t="str">
        <f>IF(AND(D231="TRADING",I231&lt;&gt;"",L231&lt;&gt;"",M231&lt;&gt;"",N231&lt;&gt;"",O231&lt;&gt;""),"Yes","No")</f>
        <v>No</v>
      </c>
      <c r="AA231" s="10" t="s">
        <v>56</v>
      </c>
    </row>
    <row r="232" spans="1:27">
      <c r="A232" s="10" t="s">
        <v>920</v>
      </c>
      <c r="B232" s="10" t="s">
        <v>921</v>
      </c>
      <c r="C232" s="10" t="s">
        <v>12</v>
      </c>
      <c r="D232" s="10" t="s">
        <v>84</v>
      </c>
      <c r="E232" s="11" t="b">
        <v>1</v>
      </c>
      <c r="F232" s="12">
        <v>44263</v>
      </c>
      <c r="G232" s="12">
        <v>44263.999999988424</v>
      </c>
      <c r="H232" s="13">
        <f>IF(F232="","",(Summary!$B$5-F232)/365.25)</f>
        <v>5.4045516531675428</v>
      </c>
      <c r="I232" s="14">
        <v>6.6900000000000001E-2</v>
      </c>
      <c r="J232" s="15">
        <v>-5.1060000000000001E-2</v>
      </c>
      <c r="K232" s="16">
        <v>8174967.2000000002</v>
      </c>
      <c r="L232" s="16">
        <v>570825.51307999995</v>
      </c>
      <c r="M232" s="17">
        <v>4001</v>
      </c>
      <c r="N232" s="14">
        <v>0</v>
      </c>
      <c r="O232" s="14">
        <v>0</v>
      </c>
      <c r="P232" s="18" t="str">
        <f>IF(OR(N232="",O232="",N232=0,O232=0),"",(O232-N232)/((O232+N232)/2))</f>
        <v/>
      </c>
      <c r="Q232" s="14">
        <v>6.9826029999999997E-2</v>
      </c>
      <c r="R232" s="14">
        <v>7.2400000000000006E-2</v>
      </c>
      <c r="S232" s="14">
        <v>6.6000000000000003E-2</v>
      </c>
      <c r="T232" s="12">
        <v>46209.261123090277</v>
      </c>
      <c r="U232" s="12">
        <v>46210.261123090277</v>
      </c>
      <c r="V232" s="14">
        <v>5</v>
      </c>
      <c r="W232" s="14">
        <v>0.1</v>
      </c>
      <c r="X232" s="14">
        <v>0.1</v>
      </c>
      <c r="Y232" s="14">
        <v>1E-4</v>
      </c>
      <c r="Z232" s="10" t="str">
        <f>IF(AND(D232="TRADING",I232&lt;&gt;"",L232&lt;&gt;"",M232&lt;&gt;"",N232&lt;&gt;"",O232&lt;&gt;""),"Yes","No")</f>
        <v>No</v>
      </c>
      <c r="AA232" s="10" t="s">
        <v>56</v>
      </c>
    </row>
    <row r="233" spans="1:27">
      <c r="A233" s="10" t="s">
        <v>998</v>
      </c>
      <c r="B233" s="10" t="s">
        <v>999</v>
      </c>
      <c r="C233" s="10" t="s">
        <v>12</v>
      </c>
      <c r="D233" s="10" t="s">
        <v>84</v>
      </c>
      <c r="E233" s="11" t="b">
        <v>1</v>
      </c>
      <c r="F233" s="12">
        <v>44264</v>
      </c>
      <c r="G233" s="12">
        <v>44264.999999988424</v>
      </c>
      <c r="H233" s="13">
        <f>IF(F233="","",(Summary!$B$5-F233)/365.25)</f>
        <v>5.4018138023804108</v>
      </c>
      <c r="I233" s="14">
        <v>8.0999999999999996E-4</v>
      </c>
      <c r="J233" s="15">
        <v>-0.18181999999999998</v>
      </c>
      <c r="K233" s="16">
        <v>334870805</v>
      </c>
      <c r="L233" s="16">
        <v>293897.52587999997</v>
      </c>
      <c r="M233" s="17">
        <v>6002</v>
      </c>
      <c r="N233" s="14">
        <v>0</v>
      </c>
      <c r="O233" s="14">
        <v>0</v>
      </c>
      <c r="P233" s="18" t="str">
        <f>IF(OR(N233="",O233="",N233=0,O233=0),"",(O233-N233)/((O233+N233)/2))</f>
        <v/>
      </c>
      <c r="Q233" s="14">
        <v>8.7763999999999995E-4</v>
      </c>
      <c r="R233" s="14">
        <v>1.01E-3</v>
      </c>
      <c r="S233" s="14">
        <v>7.6000000000000004E-4</v>
      </c>
      <c r="T233" s="12">
        <v>46212.125127118059</v>
      </c>
      <c r="U233" s="12">
        <v>46213.125127118059</v>
      </c>
      <c r="V233" s="14">
        <v>5</v>
      </c>
      <c r="W233" s="14">
        <v>1</v>
      </c>
      <c r="X233" s="14">
        <v>1</v>
      </c>
      <c r="Y233" s="14">
        <v>1.0000000000000001E-5</v>
      </c>
      <c r="Z233" s="10" t="str">
        <f>IF(AND(D233="TRADING",I233&lt;&gt;"",L233&lt;&gt;"",M233&lt;&gt;"",N233&lt;&gt;"",O233&lt;&gt;""),"Yes","No")</f>
        <v>No</v>
      </c>
      <c r="AA233" s="10" t="s">
        <v>56</v>
      </c>
    </row>
    <row r="234" spans="1:27">
      <c r="A234" s="10" t="s">
        <v>421</v>
      </c>
      <c r="B234" s="10" t="s">
        <v>422</v>
      </c>
      <c r="C234" s="10" t="s">
        <v>12</v>
      </c>
      <c r="D234" s="10" t="s">
        <v>84</v>
      </c>
      <c r="E234" s="11" t="b">
        <v>1</v>
      </c>
      <c r="F234" s="12">
        <v>44265</v>
      </c>
      <c r="G234" s="12">
        <v>44265.999999988424</v>
      </c>
      <c r="H234" s="13">
        <f>IF(F234="","",(Summary!$B$5-F234)/365.25)</f>
        <v>5.3990759515932787</v>
      </c>
      <c r="I234" s="14">
        <v>2.8000000000000001E-2</v>
      </c>
      <c r="J234" s="15">
        <v>-0.50877000000000006</v>
      </c>
      <c r="K234" s="16">
        <v>17486766.030000001</v>
      </c>
      <c r="L234" s="16">
        <v>678681.72452000005</v>
      </c>
      <c r="M234" s="17">
        <v>7777</v>
      </c>
      <c r="N234" s="14">
        <v>0</v>
      </c>
      <c r="O234" s="14">
        <v>0</v>
      </c>
      <c r="P234" s="18" t="str">
        <f>IF(OR(N234="",O234="",N234=0,O234=0),"",(O234-N234)/((O234+N234)/2))</f>
        <v/>
      </c>
      <c r="Q234" s="14">
        <v>3.8811159999999997E-2</v>
      </c>
      <c r="R234" s="14">
        <v>5.8000000000000003E-2</v>
      </c>
      <c r="S234" s="14">
        <v>2.4E-2</v>
      </c>
      <c r="T234" s="12">
        <v>46209.261123090277</v>
      </c>
      <c r="U234" s="12">
        <v>46210.261123090277</v>
      </c>
      <c r="V234" s="14">
        <v>5</v>
      </c>
      <c r="W234" s="14">
        <v>0.01</v>
      </c>
      <c r="X234" s="14">
        <v>0.01</v>
      </c>
      <c r="Y234" s="14">
        <v>1E-3</v>
      </c>
      <c r="Z234" s="10" t="str">
        <f>IF(AND(D234="TRADING",I234&lt;&gt;"",L234&lt;&gt;"",M234&lt;&gt;"",N234&lt;&gt;"",O234&lt;&gt;""),"Yes","No")</f>
        <v>No</v>
      </c>
      <c r="AA234" s="10" t="s">
        <v>56</v>
      </c>
    </row>
    <row r="235" spans="1:27">
      <c r="A235" s="10" t="s">
        <v>133</v>
      </c>
      <c r="B235" s="10" t="s">
        <v>134</v>
      </c>
      <c r="C235" s="10" t="s">
        <v>12</v>
      </c>
      <c r="D235" s="10" t="s">
        <v>55</v>
      </c>
      <c r="E235" s="11" t="b">
        <v>1</v>
      </c>
      <c r="F235" s="12">
        <v>44270</v>
      </c>
      <c r="G235" s="12">
        <v>44270.999999988424</v>
      </c>
      <c r="H235" s="13">
        <f>IF(F235="","",(Summary!$B$5-F235)/365.25)</f>
        <v>5.3853866976576183</v>
      </c>
      <c r="I235" s="14">
        <v>0.1158</v>
      </c>
      <c r="J235" s="15">
        <v>2.751E-2</v>
      </c>
      <c r="K235" s="16">
        <v>2788587.28</v>
      </c>
      <c r="L235" s="16">
        <v>323350.53932699998</v>
      </c>
      <c r="M235" s="17">
        <v>3417</v>
      </c>
      <c r="N235" s="14">
        <v>0.1157</v>
      </c>
      <c r="O235" s="14">
        <v>0.1158</v>
      </c>
      <c r="P235" s="18">
        <f>IF(OR(N235="",O235="",N235=0,O235=0),"",(O235-N235)/((O235+N235)/2))</f>
        <v>8.6393088552918248E-4</v>
      </c>
      <c r="Q235" s="14">
        <v>0.11595496</v>
      </c>
      <c r="R235" s="14">
        <v>0.11799999999999999</v>
      </c>
      <c r="S235" s="14">
        <v>0.11269999999999999</v>
      </c>
      <c r="T235" s="12">
        <v>46236.012300428243</v>
      </c>
      <c r="U235" s="12">
        <v>46237.012300428243</v>
      </c>
      <c r="V235" s="14">
        <v>5</v>
      </c>
      <c r="W235" s="14">
        <v>0.01</v>
      </c>
      <c r="X235" s="14">
        <v>0.01</v>
      </c>
      <c r="Y235" s="14">
        <v>1E-4</v>
      </c>
      <c r="Z235" s="10" t="str">
        <f>IF(AND(D235="TRADING",I235&lt;&gt;"",L235&lt;&gt;"",M235&lt;&gt;"",N235&lt;&gt;"",O235&lt;&gt;""),"Yes","No")</f>
        <v>Yes</v>
      </c>
      <c r="AA235" s="10" t="s">
        <v>56</v>
      </c>
    </row>
    <row r="236" spans="1:27">
      <c r="A236" s="10" t="s">
        <v>746</v>
      </c>
      <c r="B236" s="10" t="s">
        <v>747</v>
      </c>
      <c r="C236" s="10" t="s">
        <v>12</v>
      </c>
      <c r="D236" s="10" t="s">
        <v>84</v>
      </c>
      <c r="E236" s="11" t="b">
        <v>1</v>
      </c>
      <c r="F236" s="12">
        <v>44273</v>
      </c>
      <c r="G236" s="12">
        <v>44273.999999988424</v>
      </c>
      <c r="H236" s="13">
        <f>IF(F236="","",(Summary!$B$5-F236)/365.25)</f>
        <v>5.3771731452962213</v>
      </c>
      <c r="I236" s="14">
        <v>3.3700000000000001E-4</v>
      </c>
      <c r="J236" s="15">
        <v>4.3339999999999997E-2</v>
      </c>
      <c r="K236" s="16">
        <v>533020119</v>
      </c>
      <c r="L236" s="16">
        <v>176157.586951</v>
      </c>
      <c r="M236" s="17">
        <v>4001</v>
      </c>
      <c r="N236" s="14">
        <v>0</v>
      </c>
      <c r="O236" s="14">
        <v>0</v>
      </c>
      <c r="P236" s="18" t="str">
        <f>IF(OR(N236="",O236="",N236=0,O236=0),"",(O236-N236)/((O236+N236)/2))</f>
        <v/>
      </c>
      <c r="Q236" s="14">
        <v>3.3049000000000002E-4</v>
      </c>
      <c r="R236" s="14">
        <v>3.4699999999999998E-4</v>
      </c>
      <c r="S236" s="14">
        <v>3.1599999999999998E-4</v>
      </c>
      <c r="T236" s="12">
        <v>46209.261123090277</v>
      </c>
      <c r="U236" s="12">
        <v>46210.261123090277</v>
      </c>
      <c r="V236" s="14">
        <v>5</v>
      </c>
      <c r="W236" s="14">
        <v>1</v>
      </c>
      <c r="X236" s="14">
        <v>1</v>
      </c>
      <c r="Y236" s="14">
        <v>9.9999999999999995E-7</v>
      </c>
      <c r="Z236" s="10" t="str">
        <f>IF(AND(D236="TRADING",I236&lt;&gt;"",L236&lt;&gt;"",M236&lt;&gt;"",N236&lt;&gt;"",O236&lt;&gt;""),"Yes","No")</f>
        <v>No</v>
      </c>
      <c r="AA236" s="10" t="s">
        <v>56</v>
      </c>
    </row>
    <row r="237" spans="1:27">
      <c r="A237" s="10" t="s">
        <v>970</v>
      </c>
      <c r="B237" s="10" t="s">
        <v>971</v>
      </c>
      <c r="C237" s="10" t="s">
        <v>12</v>
      </c>
      <c r="D237" s="10" t="s">
        <v>84</v>
      </c>
      <c r="E237" s="11" t="b">
        <v>1</v>
      </c>
      <c r="F237" s="12">
        <v>44274</v>
      </c>
      <c r="G237" s="12">
        <v>44274.999999988424</v>
      </c>
      <c r="H237" s="13">
        <f>IF(F237="","",(Summary!$B$5-F237)/365.25)</f>
        <v>5.3744352945090892</v>
      </c>
      <c r="I237" s="14">
        <v>0.125</v>
      </c>
      <c r="J237" s="15">
        <v>4.6900000000000004E-2</v>
      </c>
      <c r="K237" s="16">
        <v>774608.56</v>
      </c>
      <c r="L237" s="16">
        <v>95210.092317999995</v>
      </c>
      <c r="M237" s="17">
        <v>4001</v>
      </c>
      <c r="N237" s="14">
        <v>0</v>
      </c>
      <c r="O237" s="14">
        <v>0</v>
      </c>
      <c r="P237" s="18" t="str">
        <f>IF(OR(N237="",O237="",N237=0,O237=0),"",(O237-N237)/((O237+N237)/2))</f>
        <v/>
      </c>
      <c r="Q237" s="14">
        <v>0.12291381</v>
      </c>
      <c r="R237" s="14">
        <v>0.1273</v>
      </c>
      <c r="S237" s="14">
        <v>0.1188</v>
      </c>
      <c r="T237" s="12">
        <v>46209.261123090277</v>
      </c>
      <c r="U237" s="12">
        <v>46210.261123090277</v>
      </c>
      <c r="V237" s="14">
        <v>5</v>
      </c>
      <c r="W237" s="14">
        <v>0.01</v>
      </c>
      <c r="X237" s="14">
        <v>0.01</v>
      </c>
      <c r="Y237" s="14">
        <v>1E-4</v>
      </c>
      <c r="Z237" s="10" t="str">
        <f>IF(AND(D237="TRADING",I237&lt;&gt;"",L237&lt;&gt;"",M237&lt;&gt;"",N237&lt;&gt;"",O237&lt;&gt;""),"Yes","No")</f>
        <v>No</v>
      </c>
      <c r="AA237" s="10" t="s">
        <v>56</v>
      </c>
    </row>
    <row r="238" spans="1:27">
      <c r="A238" s="10" t="s">
        <v>1042</v>
      </c>
      <c r="B238" s="10" t="s">
        <v>1043</v>
      </c>
      <c r="C238" s="10" t="s">
        <v>12</v>
      </c>
      <c r="D238" s="10" t="s">
        <v>84</v>
      </c>
      <c r="E238" s="11" t="b">
        <v>1</v>
      </c>
      <c r="F238" s="12">
        <v>44277</v>
      </c>
      <c r="G238" s="12">
        <v>44277.999999988424</v>
      </c>
      <c r="H238" s="13">
        <f>IF(F238="","",(Summary!$B$5-F238)/365.25)</f>
        <v>5.366221742147693</v>
      </c>
      <c r="I238" s="14">
        <v>0</v>
      </c>
      <c r="J238" s="15">
        <v>0</v>
      </c>
      <c r="K238" s="16">
        <v>0</v>
      </c>
      <c r="L238" s="16">
        <v>0</v>
      </c>
      <c r="M238" s="17">
        <v>0</v>
      </c>
      <c r="N238" s="14">
        <v>0</v>
      </c>
      <c r="O238" s="14">
        <v>0</v>
      </c>
      <c r="P238" s="18" t="str">
        <f>IF(OR(N238="",O238="",N238=0,O238=0),"",(O238-N238)/((O238+N238)/2))</f>
        <v/>
      </c>
      <c r="Q238" s="14">
        <v>0</v>
      </c>
      <c r="R238" s="14">
        <v>0</v>
      </c>
      <c r="S238" s="14">
        <v>0</v>
      </c>
      <c r="T238" s="12">
        <v>46209.261123090277</v>
      </c>
      <c r="U238" s="12">
        <v>46210.261123090277</v>
      </c>
      <c r="V238" s="14">
        <v>10</v>
      </c>
      <c r="W238" s="14">
        <v>1</v>
      </c>
      <c r="X238" s="14">
        <v>1</v>
      </c>
      <c r="Y238" s="14">
        <v>1E-4</v>
      </c>
      <c r="Z238" s="10" t="str">
        <f>IF(AND(D238="TRADING",I238&lt;&gt;"",L238&lt;&gt;"",M238&lt;&gt;"",N238&lt;&gt;"",O238&lt;&gt;""),"Yes","No")</f>
        <v>No</v>
      </c>
      <c r="AA238" s="10" t="s">
        <v>56</v>
      </c>
    </row>
    <row r="239" spans="1:27">
      <c r="A239" s="10" t="s">
        <v>1193</v>
      </c>
      <c r="B239" s="10" t="s">
        <v>1194</v>
      </c>
      <c r="C239" s="10" t="s">
        <v>12</v>
      </c>
      <c r="D239" s="10" t="s">
        <v>55</v>
      </c>
      <c r="E239" s="11" t="b">
        <v>1</v>
      </c>
      <c r="F239" s="12">
        <v>44280</v>
      </c>
      <c r="G239" s="12">
        <v>44280.999999988424</v>
      </c>
      <c r="H239" s="13">
        <f>IF(F239="","",(Summary!$B$5-F239)/365.25)</f>
        <v>5.3580081897862968</v>
      </c>
      <c r="I239" s="14">
        <v>8.2100000000000006E-2</v>
      </c>
      <c r="J239" s="15">
        <v>8.6E-3</v>
      </c>
      <c r="K239" s="16">
        <v>1273016</v>
      </c>
      <c r="L239" s="16">
        <v>104269.3927</v>
      </c>
      <c r="M239" s="17">
        <v>1715</v>
      </c>
      <c r="N239" s="14">
        <v>8.1900000000000001E-2</v>
      </c>
      <c r="O239" s="14">
        <v>8.2100000000000006E-2</v>
      </c>
      <c r="P239" s="18">
        <f>IF(OR(N239="",O239="",N239=0,O239=0),"",(O239-N239)/((O239+N239)/2))</f>
        <v>2.4390243902439723E-3</v>
      </c>
      <c r="Q239" s="14">
        <v>8.1907369999999993E-2</v>
      </c>
      <c r="R239" s="14">
        <v>8.2699999999999996E-2</v>
      </c>
      <c r="S239" s="14">
        <v>8.1299999999999997E-2</v>
      </c>
      <c r="T239" s="12">
        <v>46236.012476388889</v>
      </c>
      <c r="U239" s="12">
        <v>46237.012476388889</v>
      </c>
      <c r="V239" s="14">
        <v>5</v>
      </c>
      <c r="W239" s="14">
        <v>1</v>
      </c>
      <c r="X239" s="14">
        <v>1</v>
      </c>
      <c r="Y239" s="14">
        <v>1E-4</v>
      </c>
      <c r="Z239" s="10" t="str">
        <f>IF(AND(D239="TRADING",I239&lt;&gt;"",L239&lt;&gt;"",M239&lt;&gt;"",N239&lt;&gt;"",O239&lt;&gt;""),"Yes","No")</f>
        <v>Yes</v>
      </c>
      <c r="AA239" s="10" t="s">
        <v>56</v>
      </c>
    </row>
    <row r="240" spans="1:27">
      <c r="A240" s="10" t="s">
        <v>353</v>
      </c>
      <c r="B240" s="10" t="s">
        <v>354</v>
      </c>
      <c r="C240" s="10" t="s">
        <v>12</v>
      </c>
      <c r="D240" s="10" t="s">
        <v>55</v>
      </c>
      <c r="E240" s="11" t="b">
        <v>1</v>
      </c>
      <c r="F240" s="12">
        <v>44284</v>
      </c>
      <c r="G240" s="12">
        <v>44284.999999988424</v>
      </c>
      <c r="H240" s="13">
        <f>IF(F240="","",(Summary!$B$5-F240)/365.25)</f>
        <v>5.3470567866377685</v>
      </c>
      <c r="I240" s="14">
        <v>4.1919999999999999E-2</v>
      </c>
      <c r="J240" s="15">
        <v>-2.5339999999999998E-2</v>
      </c>
      <c r="K240" s="16">
        <v>24918468</v>
      </c>
      <c r="L240" s="16">
        <v>1056784.7752</v>
      </c>
      <c r="M240" s="17">
        <v>21630</v>
      </c>
      <c r="N240" s="14">
        <v>4.1919999999999999E-2</v>
      </c>
      <c r="O240" s="14">
        <v>4.1930000000000002E-2</v>
      </c>
      <c r="P240" s="18">
        <f>IF(OR(N240="",O240="",N240=0,O240=0),"",(O240-N240)/((O240+N240)/2))</f>
        <v>2.3852116875379992E-4</v>
      </c>
      <c r="Q240" s="14">
        <v>4.2409700000000002E-2</v>
      </c>
      <c r="R240" s="14">
        <v>4.3339999999999997E-2</v>
      </c>
      <c r="S240" s="14">
        <v>4.1669999999999999E-2</v>
      </c>
      <c r="T240" s="12">
        <v>46236.012189861111</v>
      </c>
      <c r="U240" s="12">
        <v>46237.012189861111</v>
      </c>
      <c r="V240" s="14">
        <v>5</v>
      </c>
      <c r="W240" s="14">
        <v>1</v>
      </c>
      <c r="X240" s="14">
        <v>1</v>
      </c>
      <c r="Y240" s="14">
        <v>1.0000000000000001E-5</v>
      </c>
      <c r="Z240" s="10" t="str">
        <f>IF(AND(D240="TRADING",I240&lt;&gt;"",L240&lt;&gt;"",M240&lt;&gt;"",N240&lt;&gt;"",O240&lt;&gt;""),"Yes","No")</f>
        <v>Yes</v>
      </c>
      <c r="AA240" s="10" t="s">
        <v>56</v>
      </c>
    </row>
    <row r="241" spans="1:27">
      <c r="A241" s="10" t="s">
        <v>209</v>
      </c>
      <c r="B241" s="10" t="s">
        <v>210</v>
      </c>
      <c r="C241" s="10" t="s">
        <v>12</v>
      </c>
      <c r="D241" s="10" t="s">
        <v>84</v>
      </c>
      <c r="E241" s="11" t="b">
        <v>1</v>
      </c>
      <c r="F241" s="12">
        <v>44288</v>
      </c>
      <c r="G241" s="12">
        <v>44288.999999988424</v>
      </c>
      <c r="H241" s="13">
        <f>IF(F241="","",(Summary!$B$5-F241)/365.25)</f>
        <v>5.3361053834892402</v>
      </c>
      <c r="I241" s="14">
        <v>95.3</v>
      </c>
      <c r="J241" s="15">
        <v>-7.4759999999999993E-2</v>
      </c>
      <c r="K241" s="16">
        <v>5659.442</v>
      </c>
      <c r="L241" s="16">
        <v>570865.3382</v>
      </c>
      <c r="M241" s="17">
        <v>4001</v>
      </c>
      <c r="N241" s="14">
        <v>0</v>
      </c>
      <c r="O241" s="14">
        <v>0</v>
      </c>
      <c r="P241" s="18" t="str">
        <f>IF(OR(N241="",O241="",N241=0,O241=0),"",(O241-N241)/((O241+N241)/2))</f>
        <v/>
      </c>
      <c r="Q241" s="14">
        <v>100.86954477</v>
      </c>
      <c r="R241" s="14">
        <v>105</v>
      </c>
      <c r="S241" s="14">
        <v>95.1</v>
      </c>
      <c r="T241" s="12">
        <v>46209.261123090277</v>
      </c>
      <c r="U241" s="12">
        <v>46210.261123090277</v>
      </c>
      <c r="V241" s="14">
        <v>10</v>
      </c>
      <c r="W241" s="14">
        <v>1E-3</v>
      </c>
      <c r="X241" s="14">
        <v>1E-3</v>
      </c>
      <c r="Y241" s="14">
        <v>0.1</v>
      </c>
      <c r="Z241" s="10" t="str">
        <f>IF(AND(D241="TRADING",I241&lt;&gt;"",L241&lt;&gt;"",M241&lt;&gt;"",N241&lt;&gt;"",O241&lt;&gt;""),"Yes","No")</f>
        <v>No</v>
      </c>
      <c r="AA241" s="10" t="s">
        <v>56</v>
      </c>
    </row>
    <row r="242" spans="1:27">
      <c r="A242" s="10" t="s">
        <v>487</v>
      </c>
      <c r="B242" s="10" t="s">
        <v>488</v>
      </c>
      <c r="C242" s="10" t="s">
        <v>12</v>
      </c>
      <c r="D242" s="10" t="s">
        <v>84</v>
      </c>
      <c r="E242" s="11" t="b">
        <v>1</v>
      </c>
      <c r="F242" s="12">
        <v>44288</v>
      </c>
      <c r="G242" s="12">
        <v>44288.999999988424</v>
      </c>
      <c r="H242" s="13">
        <f>IF(F242="","",(Summary!$B$5-F242)/365.25)</f>
        <v>5.3361053834892402</v>
      </c>
      <c r="I242" s="14">
        <v>0</v>
      </c>
      <c r="J242" s="15">
        <v>0</v>
      </c>
      <c r="K242" s="16">
        <v>0</v>
      </c>
      <c r="L242" s="16">
        <v>0</v>
      </c>
      <c r="M242" s="17">
        <v>0</v>
      </c>
      <c r="N242" s="14">
        <v>0</v>
      </c>
      <c r="O242" s="14">
        <v>0</v>
      </c>
      <c r="P242" s="18" t="str">
        <f>IF(OR(N242="",O242="",N242=0,O242=0),"",(O242-N242)/((O242+N242)/2))</f>
        <v/>
      </c>
      <c r="Q242" s="14">
        <v>0</v>
      </c>
      <c r="R242" s="14">
        <v>0</v>
      </c>
      <c r="S242" s="14">
        <v>0</v>
      </c>
      <c r="T242" s="12">
        <v>46209.261123090277</v>
      </c>
      <c r="U242" s="12">
        <v>46210.261123090277</v>
      </c>
      <c r="V242" s="14">
        <v>10</v>
      </c>
      <c r="W242" s="14">
        <v>1</v>
      </c>
      <c r="X242" s="14">
        <v>1</v>
      </c>
      <c r="Y242" s="14">
        <v>1E-4</v>
      </c>
      <c r="Z242" s="10" t="str">
        <f>IF(AND(D242="TRADING",I242&lt;&gt;"",L242&lt;&gt;"",M242&lt;&gt;"",N242&lt;&gt;"",O242&lt;&gt;""),"Yes","No")</f>
        <v>No</v>
      </c>
      <c r="AA242" s="10" t="s">
        <v>56</v>
      </c>
    </row>
    <row r="243" spans="1:27">
      <c r="A243" s="10" t="s">
        <v>1223</v>
      </c>
      <c r="B243" s="10" t="s">
        <v>1224</v>
      </c>
      <c r="C243" s="10" t="s">
        <v>12</v>
      </c>
      <c r="D243" s="10" t="s">
        <v>55</v>
      </c>
      <c r="E243" s="11" t="b">
        <v>1</v>
      </c>
      <c r="F243" s="12">
        <v>44293</v>
      </c>
      <c r="G243" s="12">
        <v>44293.999999988424</v>
      </c>
      <c r="H243" s="13">
        <f>IF(F243="","",(Summary!$B$5-F243)/365.25)</f>
        <v>5.3224161295535799</v>
      </c>
      <c r="I243" s="14">
        <v>4.8300000000000003E-2</v>
      </c>
      <c r="J243" s="15">
        <v>4.3200000000000002E-2</v>
      </c>
      <c r="K243" s="16">
        <v>3373845.4</v>
      </c>
      <c r="L243" s="16">
        <v>160452.00206</v>
      </c>
      <c r="M243" s="17">
        <v>4477</v>
      </c>
      <c r="N243" s="14">
        <v>4.82E-2</v>
      </c>
      <c r="O243" s="14">
        <v>4.8300000000000003E-2</v>
      </c>
      <c r="P243" s="18">
        <f>IF(OR(N243="",O243="",N243=0,O243=0),"",(O243-N243)/((O243+N243)/2))</f>
        <v>2.0725388601036863E-3</v>
      </c>
      <c r="Q243" s="14">
        <v>4.7557599999999998E-2</v>
      </c>
      <c r="R243" s="14">
        <v>4.9500000000000002E-2</v>
      </c>
      <c r="S243" s="14">
        <v>4.6100000000000002E-2</v>
      </c>
      <c r="T243" s="12">
        <v>46236.012379004627</v>
      </c>
      <c r="U243" s="12">
        <v>46237.012379004627</v>
      </c>
      <c r="V243" s="14">
        <v>5</v>
      </c>
      <c r="W243" s="14">
        <v>0.1</v>
      </c>
      <c r="X243" s="14">
        <v>0.1</v>
      </c>
      <c r="Y243" s="14">
        <v>1E-4</v>
      </c>
      <c r="Z243" s="10" t="str">
        <f>IF(AND(D243="TRADING",I243&lt;&gt;"",L243&lt;&gt;"",M243&lt;&gt;"",N243&lt;&gt;"",O243&lt;&gt;""),"Yes","No")</f>
        <v>Yes</v>
      </c>
      <c r="AA243" s="10" t="s">
        <v>56</v>
      </c>
    </row>
    <row r="244" spans="1:27">
      <c r="A244" s="10" t="s">
        <v>1016</v>
      </c>
      <c r="B244" s="10" t="s">
        <v>1017</v>
      </c>
      <c r="C244" s="10" t="s">
        <v>12</v>
      </c>
      <c r="D244" s="10" t="s">
        <v>55</v>
      </c>
      <c r="E244" s="11" t="b">
        <v>1</v>
      </c>
      <c r="F244" s="12">
        <v>44295</v>
      </c>
      <c r="G244" s="12">
        <v>44295.999999988424</v>
      </c>
      <c r="H244" s="13">
        <f>IF(F244="","",(Summary!$B$5-F244)/365.25)</f>
        <v>5.3169404279793158</v>
      </c>
      <c r="I244" s="14">
        <v>7.5700000000000003E-2</v>
      </c>
      <c r="J244" s="15">
        <v>-3.9500000000000004E-3</v>
      </c>
      <c r="K244" s="16">
        <v>586522.19999999995</v>
      </c>
      <c r="L244" s="16">
        <v>44573.750010000003</v>
      </c>
      <c r="M244" s="17">
        <v>343</v>
      </c>
      <c r="N244" s="14">
        <v>7.5700000000000003E-2</v>
      </c>
      <c r="O244" s="14">
        <v>7.5800000000000006E-2</v>
      </c>
      <c r="P244" s="18">
        <f>IF(OR(N244="",O244="",N244=0,O244=0),"",(O244-N244)/((O244+N244)/2))</f>
        <v>1.3201320132013577E-3</v>
      </c>
      <c r="Q244" s="14">
        <v>7.59967E-2</v>
      </c>
      <c r="R244" s="14">
        <v>7.6700000000000004E-2</v>
      </c>
      <c r="S244" s="14">
        <v>7.5700000000000003E-2</v>
      </c>
      <c r="T244" s="12">
        <v>46236.012073194448</v>
      </c>
      <c r="U244" s="12">
        <v>46237.012073194448</v>
      </c>
      <c r="V244" s="14">
        <v>5</v>
      </c>
      <c r="W244" s="14">
        <v>0.1</v>
      </c>
      <c r="X244" s="14">
        <v>0.1</v>
      </c>
      <c r="Y244" s="14">
        <v>1E-4</v>
      </c>
      <c r="Z244" s="10" t="str">
        <f>IF(AND(D244="TRADING",I244&lt;&gt;"",L244&lt;&gt;"",M244&lt;&gt;"",N244&lt;&gt;"",O244&lt;&gt;""),"Yes","No")</f>
        <v>Yes</v>
      </c>
      <c r="AA244" s="10" t="s">
        <v>56</v>
      </c>
    </row>
    <row r="245" spans="1:27">
      <c r="A245" s="10" t="s">
        <v>1225</v>
      </c>
      <c r="B245" s="10" t="s">
        <v>1226</v>
      </c>
      <c r="C245" s="10" t="s">
        <v>12</v>
      </c>
      <c r="D245" s="10" t="s">
        <v>55</v>
      </c>
      <c r="E245" s="11" t="b">
        <v>1</v>
      </c>
      <c r="F245" s="12">
        <v>44299</v>
      </c>
      <c r="G245" s="12">
        <v>44299.999999988424</v>
      </c>
      <c r="H245" s="13">
        <f>IF(F245="","",(Summary!$B$5-F245)/365.25)</f>
        <v>5.3059890248307866</v>
      </c>
      <c r="I245" s="14">
        <v>1.6199999999999999E-3</v>
      </c>
      <c r="J245" s="15">
        <v>-1.2199999999999999E-2</v>
      </c>
      <c r="K245" s="16">
        <v>976919343</v>
      </c>
      <c r="L245" s="16">
        <v>1616703.3765700001</v>
      </c>
      <c r="M245" s="17">
        <v>28290</v>
      </c>
      <c r="N245" s="14">
        <v>1.619E-3</v>
      </c>
      <c r="O245" s="14">
        <v>1.621E-3</v>
      </c>
      <c r="P245" s="18">
        <f>IF(OR(N245="",O245="",N245=0,O245=0),"",(O245-N245)/((O245+N245)/2))</f>
        <v>1.234567901234598E-3</v>
      </c>
      <c r="Q245" s="14">
        <v>1.6548999999999999E-3</v>
      </c>
      <c r="R245" s="14">
        <v>1.7470000000000001E-3</v>
      </c>
      <c r="S245" s="14">
        <v>1.5740000000000001E-3</v>
      </c>
      <c r="T245" s="12">
        <v>46236.012318969908</v>
      </c>
      <c r="U245" s="12">
        <v>46237.012318969908</v>
      </c>
      <c r="V245" s="14">
        <v>5</v>
      </c>
      <c r="W245" s="14">
        <v>1</v>
      </c>
      <c r="X245" s="14">
        <v>1</v>
      </c>
      <c r="Y245" s="14">
        <v>9.9999999999999995E-7</v>
      </c>
      <c r="Z245" s="10" t="str">
        <f>IF(AND(D245="TRADING",I245&lt;&gt;"",L245&lt;&gt;"",M245&lt;&gt;"",N245&lt;&gt;"",O245&lt;&gt;""),"Yes","No")</f>
        <v>Yes</v>
      </c>
      <c r="AA245" s="10" t="s">
        <v>56</v>
      </c>
    </row>
    <row r="246" spans="1:27">
      <c r="A246" s="10" t="s">
        <v>321</v>
      </c>
      <c r="B246" s="10" t="s">
        <v>322</v>
      </c>
      <c r="C246" s="10" t="s">
        <v>12</v>
      </c>
      <c r="D246" s="10" t="s">
        <v>84</v>
      </c>
      <c r="E246" s="11" t="b">
        <v>1</v>
      </c>
      <c r="F246" s="12">
        <v>44302</v>
      </c>
      <c r="G246" s="12">
        <v>44302.999999988424</v>
      </c>
      <c r="H246" s="13">
        <f>IF(F246="","",(Summary!$B$5-F246)/365.25)</f>
        <v>5.2977754724693904</v>
      </c>
      <c r="I246" s="14">
        <v>17.649999999999999</v>
      </c>
      <c r="J246" s="15">
        <v>-1.8349999999999998E-2</v>
      </c>
      <c r="K246" s="16">
        <v>40036.54</v>
      </c>
      <c r="L246" s="16">
        <v>723201.96810000006</v>
      </c>
      <c r="M246" s="17">
        <v>4001</v>
      </c>
      <c r="N246" s="14">
        <v>0</v>
      </c>
      <c r="O246" s="14">
        <v>0</v>
      </c>
      <c r="P246" s="18" t="str">
        <f>IF(OR(N246="",O246="",N246=0,O246=0),"",(O246-N246)/((O246+N246)/2))</f>
        <v/>
      </c>
      <c r="Q246" s="14">
        <v>18.063548149999999</v>
      </c>
      <c r="R246" s="14">
        <v>19</v>
      </c>
      <c r="S246" s="14">
        <v>17.59</v>
      </c>
      <c r="T246" s="12">
        <v>46209.261123090277</v>
      </c>
      <c r="U246" s="12">
        <v>46210.261123090277</v>
      </c>
      <c r="V246" s="14">
        <v>10</v>
      </c>
      <c r="W246" s="14">
        <v>0.01</v>
      </c>
      <c r="X246" s="14">
        <v>0.01</v>
      </c>
      <c r="Y246" s="14">
        <v>0.01</v>
      </c>
      <c r="Z246" s="10" t="str">
        <f>IF(AND(D246="TRADING",I246&lt;&gt;"",L246&lt;&gt;"",M246&lt;&gt;"",N246&lt;&gt;"",O246&lt;&gt;""),"Yes","No")</f>
        <v>No</v>
      </c>
      <c r="AA246" s="10" t="s">
        <v>56</v>
      </c>
    </row>
    <row r="247" spans="1:27">
      <c r="A247" s="10" t="s">
        <v>824</v>
      </c>
      <c r="B247" s="10" t="s">
        <v>825</v>
      </c>
      <c r="C247" s="10" t="s">
        <v>12</v>
      </c>
      <c r="D247" s="10" t="s">
        <v>84</v>
      </c>
      <c r="E247" s="11" t="b">
        <v>1</v>
      </c>
      <c r="F247" s="12">
        <v>44305</v>
      </c>
      <c r="G247" s="12">
        <v>44305.999999988424</v>
      </c>
      <c r="H247" s="13">
        <f>IF(F247="","",(Summary!$B$5-F247)/365.25)</f>
        <v>5.2895619201079942</v>
      </c>
      <c r="I247" s="14">
        <v>0.14168</v>
      </c>
      <c r="J247" s="15">
        <v>-7.3869999999999991E-2</v>
      </c>
      <c r="K247" s="16">
        <v>3601038.7</v>
      </c>
      <c r="L247" s="16">
        <v>528567.84450899996</v>
      </c>
      <c r="M247" s="17">
        <v>4001</v>
      </c>
      <c r="N247" s="14">
        <v>0</v>
      </c>
      <c r="O247" s="14">
        <v>0</v>
      </c>
      <c r="P247" s="18" t="str">
        <f>IF(OR(N247="",O247="",N247=0,O247=0),"",(O247-N247)/((O247+N247)/2))</f>
        <v/>
      </c>
      <c r="Q247" s="14">
        <v>0.14678205</v>
      </c>
      <c r="R247" s="14">
        <v>0.15401000000000001</v>
      </c>
      <c r="S247" s="14">
        <v>0.14116000000000001</v>
      </c>
      <c r="T247" s="12">
        <v>46209.261123090277</v>
      </c>
      <c r="U247" s="12">
        <v>46210.261123090277</v>
      </c>
      <c r="V247" s="14">
        <v>10</v>
      </c>
      <c r="W247" s="14">
        <v>0.1</v>
      </c>
      <c r="X247" s="14">
        <v>0.1</v>
      </c>
      <c r="Y247" s="14">
        <v>1.0000000000000001E-5</v>
      </c>
      <c r="Z247" s="10" t="str">
        <f>IF(AND(D247="TRADING",I247&lt;&gt;"",L247&lt;&gt;"",M247&lt;&gt;"",N247&lt;&gt;"",O247&lt;&gt;""),"Yes","No")</f>
        <v>No</v>
      </c>
      <c r="AA247" s="10" t="s">
        <v>56</v>
      </c>
    </row>
    <row r="248" spans="1:27">
      <c r="A248" s="10" t="s">
        <v>247</v>
      </c>
      <c r="B248" s="10" t="s">
        <v>248</v>
      </c>
      <c r="C248" s="10" t="s">
        <v>12</v>
      </c>
      <c r="D248" s="10" t="s">
        <v>55</v>
      </c>
      <c r="E248" s="11" t="b">
        <v>1</v>
      </c>
      <c r="F248" s="12">
        <v>44307</v>
      </c>
      <c r="G248" s="12">
        <v>44307.999999988424</v>
      </c>
      <c r="H248" s="13">
        <f>IF(F248="","",(Summary!$B$5-F248)/365.25)</f>
        <v>5.2840862185337301</v>
      </c>
      <c r="I248" s="14">
        <v>0.26700000000000002</v>
      </c>
      <c r="J248" s="15">
        <v>7.5500000000000003E-3</v>
      </c>
      <c r="K248" s="16">
        <v>484382.64</v>
      </c>
      <c r="L248" s="16">
        <v>129201.11156999999</v>
      </c>
      <c r="M248" s="17">
        <v>1379</v>
      </c>
      <c r="N248" s="14">
        <v>0.26700000000000002</v>
      </c>
      <c r="O248" s="14">
        <v>0.26800000000000002</v>
      </c>
      <c r="P248" s="18">
        <f>IF(OR(N248="",O248="",N248=0,O248=0),"",(O248-N248)/((O248+N248)/2))</f>
        <v>3.738317757009349E-3</v>
      </c>
      <c r="Q248" s="14">
        <v>0.26673356999999998</v>
      </c>
      <c r="R248" s="14">
        <v>0.27</v>
      </c>
      <c r="S248" s="14">
        <v>0.26400000000000001</v>
      </c>
      <c r="T248" s="12">
        <v>46236.01200008102</v>
      </c>
      <c r="U248" s="12">
        <v>46237.01200008102</v>
      </c>
      <c r="V248" s="14">
        <v>5</v>
      </c>
      <c r="W248" s="14">
        <v>0.01</v>
      </c>
      <c r="X248" s="14">
        <v>0.01</v>
      </c>
      <c r="Y248" s="14">
        <v>1E-3</v>
      </c>
      <c r="Z248" s="10" t="str">
        <f>IF(AND(D248="TRADING",I248&lt;&gt;"",L248&lt;&gt;"",M248&lt;&gt;"",N248&lt;&gt;"",O248&lt;&gt;""),"Yes","No")</f>
        <v>Yes</v>
      </c>
      <c r="AA248" s="10" t="s">
        <v>56</v>
      </c>
    </row>
    <row r="249" spans="1:27">
      <c r="A249" s="10" t="s">
        <v>548</v>
      </c>
      <c r="B249" s="10" t="s">
        <v>549</v>
      </c>
      <c r="C249" s="10" t="s">
        <v>12</v>
      </c>
      <c r="D249" s="10" t="s">
        <v>84</v>
      </c>
      <c r="E249" s="11" t="b">
        <v>1</v>
      </c>
      <c r="F249" s="12">
        <v>44309</v>
      </c>
      <c r="G249" s="12">
        <v>44309.999999988424</v>
      </c>
      <c r="H249" s="13">
        <f>IF(F249="","",(Summary!$B$5-F249)/365.25)</f>
        <v>5.2786105169594659</v>
      </c>
      <c r="I249" s="14">
        <v>0.23699999999999999</v>
      </c>
      <c r="J249" s="15">
        <v>-0.33427000000000001</v>
      </c>
      <c r="K249" s="16">
        <v>1458656.09</v>
      </c>
      <c r="L249" s="16">
        <v>435103.33544</v>
      </c>
      <c r="M249" s="17">
        <v>11256</v>
      </c>
      <c r="N249" s="14">
        <v>0</v>
      </c>
      <c r="O249" s="14">
        <v>0</v>
      </c>
      <c r="P249" s="18" t="str">
        <f>IF(OR(N249="",O249="",N249=0,O249=0),"",(O249-N249)/((O249+N249)/2))</f>
        <v/>
      </c>
      <c r="Q249" s="14">
        <v>0.29829055999999998</v>
      </c>
      <c r="R249" s="14">
        <v>0.377</v>
      </c>
      <c r="S249" s="14">
        <v>0.221</v>
      </c>
      <c r="T249" s="12">
        <v>46209.261123090277</v>
      </c>
      <c r="U249" s="12">
        <v>46210.261123090277</v>
      </c>
      <c r="V249" s="14">
        <v>5</v>
      </c>
      <c r="W249" s="14">
        <v>0.01</v>
      </c>
      <c r="X249" s="14">
        <v>0.01</v>
      </c>
      <c r="Y249" s="14">
        <v>1E-3</v>
      </c>
      <c r="Z249" s="10" t="str">
        <f>IF(AND(D249="TRADING",I249&lt;&gt;"",L249&lt;&gt;"",M249&lt;&gt;"",N249&lt;&gt;"",O249&lt;&gt;""),"Yes","No")</f>
        <v>No</v>
      </c>
      <c r="AA249" s="10" t="s">
        <v>56</v>
      </c>
    </row>
    <row r="250" spans="1:27">
      <c r="A250" s="10" t="s">
        <v>233</v>
      </c>
      <c r="B250" s="10" t="s">
        <v>234</v>
      </c>
      <c r="C250" s="10" t="s">
        <v>12</v>
      </c>
      <c r="D250" s="10" t="s">
        <v>84</v>
      </c>
      <c r="E250" s="11" t="b">
        <v>1</v>
      </c>
      <c r="F250" s="12">
        <v>44316</v>
      </c>
      <c r="G250" s="12">
        <v>44316.999999988424</v>
      </c>
      <c r="H250" s="13">
        <f>IF(F250="","",(Summary!$B$5-F250)/365.25)</f>
        <v>5.2594455614495415</v>
      </c>
      <c r="I250" s="14">
        <v>5.1900000000000002E-2</v>
      </c>
      <c r="J250" s="15">
        <v>2.1649999999999999E-2</v>
      </c>
      <c r="K250" s="16">
        <v>13600840.9</v>
      </c>
      <c r="L250" s="16">
        <v>711688.37985999999</v>
      </c>
      <c r="M250" s="17">
        <v>4001</v>
      </c>
      <c r="N250" s="14">
        <v>0</v>
      </c>
      <c r="O250" s="14">
        <v>0</v>
      </c>
      <c r="P250" s="18" t="str">
        <f>IF(OR(N250="",O250="",N250=0,O250=0),"",(O250-N250)/((O250+N250)/2))</f>
        <v/>
      </c>
      <c r="Q250" s="14">
        <v>5.2326789999999998E-2</v>
      </c>
      <c r="R250" s="14">
        <v>5.5500000000000001E-2</v>
      </c>
      <c r="S250" s="14">
        <v>4.9099999999999998E-2</v>
      </c>
      <c r="T250" s="12">
        <v>46209.261123090277</v>
      </c>
      <c r="U250" s="12">
        <v>46210.261123090277</v>
      </c>
      <c r="V250" s="14">
        <v>5</v>
      </c>
      <c r="W250" s="14">
        <v>0.1</v>
      </c>
      <c r="X250" s="14">
        <v>0.1</v>
      </c>
      <c r="Y250" s="14">
        <v>1E-4</v>
      </c>
      <c r="Z250" s="10" t="str">
        <f>IF(AND(D250="TRADING",I250&lt;&gt;"",L250&lt;&gt;"",M250&lt;&gt;"",N250&lt;&gt;"",O250&lt;&gt;""),"Yes","No")</f>
        <v>No</v>
      </c>
      <c r="AA250" s="10" t="s">
        <v>56</v>
      </c>
    </row>
    <row r="251" spans="1:27">
      <c r="A251" s="10" t="s">
        <v>331</v>
      </c>
      <c r="B251" s="10" t="s">
        <v>332</v>
      </c>
      <c r="C251" s="10" t="s">
        <v>12</v>
      </c>
      <c r="D251" s="10" t="s">
        <v>84</v>
      </c>
      <c r="E251" s="11" t="b">
        <v>1</v>
      </c>
      <c r="F251" s="12">
        <v>44316</v>
      </c>
      <c r="G251" s="12">
        <v>44316.999999988424</v>
      </c>
      <c r="H251" s="13">
        <f>IF(F251="","",(Summary!$B$5-F251)/365.25)</f>
        <v>5.2594455614495415</v>
      </c>
      <c r="I251" s="14">
        <v>1.72E-2</v>
      </c>
      <c r="J251" s="15">
        <v>-0.28631000000000001</v>
      </c>
      <c r="K251" s="16">
        <v>10439094.1</v>
      </c>
      <c r="L251" s="16">
        <v>216978.21736000001</v>
      </c>
      <c r="M251" s="17">
        <v>4001</v>
      </c>
      <c r="N251" s="14">
        <v>0</v>
      </c>
      <c r="O251" s="14">
        <v>0</v>
      </c>
      <c r="P251" s="18" t="str">
        <f>IF(OR(N251="",O251="",N251=0,O251=0),"",(O251-N251)/((O251+N251)/2))</f>
        <v/>
      </c>
      <c r="Q251" s="14">
        <v>2.078516E-2</v>
      </c>
      <c r="R251" s="14">
        <v>2.5499999999999998E-2</v>
      </c>
      <c r="S251" s="14">
        <v>1.66E-2</v>
      </c>
      <c r="T251" s="12">
        <v>46209.261123090277</v>
      </c>
      <c r="U251" s="12">
        <v>46210.261123090277</v>
      </c>
      <c r="V251" s="14">
        <v>5</v>
      </c>
      <c r="W251" s="14">
        <v>0.1</v>
      </c>
      <c r="X251" s="14">
        <v>0.1</v>
      </c>
      <c r="Y251" s="14">
        <v>1E-4</v>
      </c>
      <c r="Z251" s="10" t="str">
        <f>IF(AND(D251="TRADING",I251&lt;&gt;"",L251&lt;&gt;"",M251&lt;&gt;"",N251&lt;&gt;"",O251&lt;&gt;""),"Yes","No")</f>
        <v>No</v>
      </c>
      <c r="AA251" s="10" t="s">
        <v>56</v>
      </c>
    </row>
    <row r="252" spans="1:27">
      <c r="A252" s="10" t="s">
        <v>1132</v>
      </c>
      <c r="B252" s="10" t="s">
        <v>1133</v>
      </c>
      <c r="C252" s="10" t="s">
        <v>12</v>
      </c>
      <c r="D252" s="10" t="s">
        <v>55</v>
      </c>
      <c r="E252" s="11" t="b">
        <v>1</v>
      </c>
      <c r="F252" s="12">
        <v>44316</v>
      </c>
      <c r="G252" s="12">
        <v>44316.999999988424</v>
      </c>
      <c r="H252" s="13">
        <f>IF(F252="","",(Summary!$B$5-F252)/365.25)</f>
        <v>5.2594455614495415</v>
      </c>
      <c r="I252" s="14">
        <v>5.1800000000000001E-4</v>
      </c>
      <c r="J252" s="15">
        <v>0</v>
      </c>
      <c r="K252" s="16">
        <v>109895080</v>
      </c>
      <c r="L252" s="16">
        <v>57182.927089999997</v>
      </c>
      <c r="M252" s="17">
        <v>1451</v>
      </c>
      <c r="N252" s="14">
        <v>5.1800000000000001E-4</v>
      </c>
      <c r="O252" s="14">
        <v>5.1900000000000004E-4</v>
      </c>
      <c r="P252" s="18">
        <f>IF(OR(N252="",O252="",N252=0,O252=0),"",(O252-N252)/((O252+N252)/2))</f>
        <v>1.9286403085824961E-3</v>
      </c>
      <c r="Q252" s="14">
        <v>5.2034E-4</v>
      </c>
      <c r="R252" s="14">
        <v>5.2499999999999997E-4</v>
      </c>
      <c r="S252" s="14">
        <v>5.1699999999999999E-4</v>
      </c>
      <c r="T252" s="12">
        <v>46236.012341041664</v>
      </c>
      <c r="U252" s="12">
        <v>46237.012341041664</v>
      </c>
      <c r="V252" s="14">
        <v>5</v>
      </c>
      <c r="W252" s="14">
        <v>1</v>
      </c>
      <c r="X252" s="14">
        <v>1</v>
      </c>
      <c r="Y252" s="14">
        <v>9.9999999999999995E-7</v>
      </c>
      <c r="Z252" s="10" t="str">
        <f>IF(AND(D252="TRADING",I252&lt;&gt;"",L252&lt;&gt;"",M252&lt;&gt;"",N252&lt;&gt;"",O252&lt;&gt;""),"Yes","No")</f>
        <v>Yes</v>
      </c>
      <c r="AA252" s="10" t="s">
        <v>56</v>
      </c>
    </row>
    <row r="253" spans="1:27">
      <c r="A253" s="10" t="s">
        <v>1120</v>
      </c>
      <c r="B253" s="10" t="s">
        <v>1121</v>
      </c>
      <c r="C253" s="10" t="s">
        <v>12</v>
      </c>
      <c r="D253" s="10" t="s">
        <v>55</v>
      </c>
      <c r="E253" s="11" t="b">
        <v>1</v>
      </c>
      <c r="F253" s="12">
        <v>44326</v>
      </c>
      <c r="G253" s="12">
        <v>44326.999999988424</v>
      </c>
      <c r="H253" s="13">
        <f>IF(F253="","",(Summary!$B$5-F253)/365.25)</f>
        <v>5.2320670535782199</v>
      </c>
      <c r="I253" s="14">
        <v>4.8999999999999997E-6</v>
      </c>
      <c r="J253" s="15">
        <v>1.4490000000000001E-2</v>
      </c>
      <c r="K253" s="16">
        <v>1057725601365</v>
      </c>
      <c r="L253" s="16">
        <v>5235584.4714717604</v>
      </c>
      <c r="M253" s="17">
        <v>35748</v>
      </c>
      <c r="N253" s="14">
        <v>4.8999999999999997E-6</v>
      </c>
      <c r="O253" s="14">
        <v>4.9100000000000004E-6</v>
      </c>
      <c r="P253" s="18">
        <f>IF(OR(N253="",O253="",N253=0,O253=0),"",(O253-N253)/((O253+N253)/2))</f>
        <v>2.0387359836902654E-3</v>
      </c>
      <c r="Q253" s="14">
        <v>4.95E-6</v>
      </c>
      <c r="R253" s="14">
        <v>5.0599999999999998E-6</v>
      </c>
      <c r="S253" s="14">
        <v>4.8099999999999997E-6</v>
      </c>
      <c r="T253" s="12">
        <v>46236.01246046296</v>
      </c>
      <c r="U253" s="12">
        <v>46237.01246046296</v>
      </c>
      <c r="V253" s="14">
        <v>1</v>
      </c>
      <c r="W253" s="14">
        <v>1</v>
      </c>
      <c r="X253" s="14">
        <v>1</v>
      </c>
      <c r="Y253" s="14">
        <v>1E-8</v>
      </c>
      <c r="Z253" s="10" t="str">
        <f>IF(AND(D253="TRADING",I253&lt;&gt;"",L253&lt;&gt;"",M253&lt;&gt;"",N253&lt;&gt;"",O253&lt;&gt;""),"Yes","No")</f>
        <v>Yes</v>
      </c>
      <c r="AA253" s="10" t="s">
        <v>56</v>
      </c>
    </row>
    <row r="254" spans="1:27">
      <c r="A254" s="10" t="s">
        <v>656</v>
      </c>
      <c r="B254" s="10" t="s">
        <v>657</v>
      </c>
      <c r="C254" s="10" t="s">
        <v>12</v>
      </c>
      <c r="D254" s="10" t="s">
        <v>55</v>
      </c>
      <c r="E254" s="11" t="b">
        <v>1</v>
      </c>
      <c r="F254" s="12">
        <v>44327</v>
      </c>
      <c r="G254" s="12">
        <v>44327.999999988424</v>
      </c>
      <c r="H254" s="13">
        <f>IF(F254="","",(Summary!$B$5-F254)/365.25)</f>
        <v>5.2293292027910878</v>
      </c>
      <c r="I254" s="14">
        <v>2.0739999999999998</v>
      </c>
      <c r="J254" s="15">
        <v>2.3690000000000003E-2</v>
      </c>
      <c r="K254" s="16">
        <v>840936.94</v>
      </c>
      <c r="L254" s="16">
        <v>1737791.54351</v>
      </c>
      <c r="M254" s="17">
        <v>9396</v>
      </c>
      <c r="N254" s="14">
        <v>2.073</v>
      </c>
      <c r="O254" s="14">
        <v>2.0739999999999998</v>
      </c>
      <c r="P254" s="18">
        <f>IF(OR(N254="",O254="",N254=0,O254=0),"",(O254-N254)/((O254+N254)/2))</f>
        <v>4.822763443452567E-4</v>
      </c>
      <c r="Q254" s="14">
        <v>2.0664944799999998</v>
      </c>
      <c r="R254" s="14">
        <v>2.0939999999999999</v>
      </c>
      <c r="S254" s="14">
        <v>2.0249999999999999</v>
      </c>
      <c r="T254" s="12">
        <v>46236.01247011574</v>
      </c>
      <c r="U254" s="12">
        <v>46237.01247011574</v>
      </c>
      <c r="V254" s="14">
        <v>5</v>
      </c>
      <c r="W254" s="14">
        <v>0.01</v>
      </c>
      <c r="X254" s="14">
        <v>0.01</v>
      </c>
      <c r="Y254" s="14">
        <v>1E-3</v>
      </c>
      <c r="Z254" s="10" t="str">
        <f>IF(AND(D254="TRADING",I254&lt;&gt;"",L254&lt;&gt;"",M254&lt;&gt;"",N254&lt;&gt;"",O254&lt;&gt;""),"Yes","No")</f>
        <v>Yes</v>
      </c>
      <c r="AA254" s="10" t="s">
        <v>56</v>
      </c>
    </row>
    <row r="255" spans="1:27">
      <c r="A255" s="10" t="s">
        <v>183</v>
      </c>
      <c r="B255" s="10" t="s">
        <v>184</v>
      </c>
      <c r="C255" s="10" t="s">
        <v>12</v>
      </c>
      <c r="D255" s="10" t="s">
        <v>55</v>
      </c>
      <c r="E255" s="11" t="b">
        <v>1</v>
      </c>
      <c r="F255" s="12">
        <v>44330</v>
      </c>
      <c r="G255" s="12">
        <v>44330.999999988424</v>
      </c>
      <c r="H255" s="13">
        <f>IF(F255="","",(Summary!$B$5-F255)/365.25)</f>
        <v>5.2211156504296916</v>
      </c>
      <c r="I255" s="14">
        <v>1.7509999999999999</v>
      </c>
      <c r="J255" s="15">
        <v>1.155E-2</v>
      </c>
      <c r="K255" s="16">
        <v>230089.62</v>
      </c>
      <c r="L255" s="16">
        <v>402265.39217000001</v>
      </c>
      <c r="M255" s="17">
        <v>6782</v>
      </c>
      <c r="N255" s="14">
        <v>1.7509999999999999</v>
      </c>
      <c r="O255" s="14">
        <v>1.752</v>
      </c>
      <c r="P255" s="18">
        <f>IF(OR(N255="",O255="",N255=0,O255=0),"",(O255-N255)/((O255+N255)/2))</f>
        <v>5.7093919497579898E-4</v>
      </c>
      <c r="Q255" s="14">
        <v>1.7482987400000001</v>
      </c>
      <c r="R255" s="14">
        <v>1.768</v>
      </c>
      <c r="S255" s="14">
        <v>1.728</v>
      </c>
      <c r="T255" s="12">
        <v>46236.012478356482</v>
      </c>
      <c r="U255" s="12">
        <v>46237.012478356482</v>
      </c>
      <c r="V255" s="14">
        <v>5</v>
      </c>
      <c r="W255" s="14">
        <v>0.01</v>
      </c>
      <c r="X255" s="14">
        <v>0.01</v>
      </c>
      <c r="Y255" s="14">
        <v>1E-3</v>
      </c>
      <c r="Z255" s="10" t="str">
        <f>IF(AND(D255="TRADING",I255&lt;&gt;"",L255&lt;&gt;"",M255&lt;&gt;"",N255&lt;&gt;"",O255&lt;&gt;""),"Yes","No")</f>
        <v>Yes</v>
      </c>
      <c r="AA255" s="10" t="s">
        <v>56</v>
      </c>
    </row>
    <row r="256" spans="1:27">
      <c r="A256" s="10" t="s">
        <v>990</v>
      </c>
      <c r="B256" s="10" t="s">
        <v>991</v>
      </c>
      <c r="C256" s="10" t="s">
        <v>12</v>
      </c>
      <c r="D256" s="10" t="s">
        <v>84</v>
      </c>
      <c r="E256" s="11" t="b">
        <v>1</v>
      </c>
      <c r="F256" s="12">
        <v>44335</v>
      </c>
      <c r="G256" s="12">
        <v>44335.999999988424</v>
      </c>
      <c r="H256" s="13">
        <f>IF(F256="","",(Summary!$B$5-F256)/365.25)</f>
        <v>5.2074263964940313</v>
      </c>
      <c r="I256" s="14">
        <v>0.30790000000000001</v>
      </c>
      <c r="J256" s="15">
        <v>-2.1610000000000001E-2</v>
      </c>
      <c r="K256" s="16">
        <v>917240.7</v>
      </c>
      <c r="L256" s="16">
        <v>285231.01397000003</v>
      </c>
      <c r="M256" s="17">
        <v>4001</v>
      </c>
      <c r="N256" s="14">
        <v>0</v>
      </c>
      <c r="O256" s="14">
        <v>0</v>
      </c>
      <c r="P256" s="18" t="str">
        <f>IF(OR(N256="",O256="",N256=0,O256=0),"",(O256-N256)/((O256+N256)/2))</f>
        <v/>
      </c>
      <c r="Q256" s="14">
        <v>0.31096636999999999</v>
      </c>
      <c r="R256" s="14">
        <v>0.31909999999999999</v>
      </c>
      <c r="S256" s="14">
        <v>0.30499999999999999</v>
      </c>
      <c r="T256" s="12">
        <v>46209.261123090277</v>
      </c>
      <c r="U256" s="12">
        <v>46210.261123090277</v>
      </c>
      <c r="V256" s="14">
        <v>5</v>
      </c>
      <c r="W256" s="14">
        <v>0.1</v>
      </c>
      <c r="X256" s="14">
        <v>0.1</v>
      </c>
      <c r="Y256" s="14">
        <v>1E-4</v>
      </c>
      <c r="Z256" s="10" t="str">
        <f>IF(AND(D256="TRADING",I256&lt;&gt;"",L256&lt;&gt;"",M256&lt;&gt;"",N256&lt;&gt;"",O256&lt;&gt;""),"Yes","No")</f>
        <v>No</v>
      </c>
      <c r="AA256" s="10" t="s">
        <v>56</v>
      </c>
    </row>
    <row r="257" spans="1:27">
      <c r="A257" s="10" t="s">
        <v>804</v>
      </c>
      <c r="B257" s="10" t="s">
        <v>805</v>
      </c>
      <c r="C257" s="10" t="s">
        <v>12</v>
      </c>
      <c r="D257" s="10" t="s">
        <v>84</v>
      </c>
      <c r="E257" s="11" t="b">
        <v>1</v>
      </c>
      <c r="F257" s="12">
        <v>44340</v>
      </c>
      <c r="G257" s="12">
        <v>44340.999999988424</v>
      </c>
      <c r="H257" s="13">
        <f>IF(F257="","",(Summary!$B$5-F257)/365.25)</f>
        <v>5.1937371425583709</v>
      </c>
      <c r="I257" s="14">
        <v>3.4500000000000003E-2</v>
      </c>
      <c r="J257" s="15">
        <v>0.13524</v>
      </c>
      <c r="K257" s="16">
        <v>8965485.0999999996</v>
      </c>
      <c r="L257" s="16">
        <v>314138.78590700001</v>
      </c>
      <c r="M257" s="17">
        <v>4001</v>
      </c>
      <c r="N257" s="14">
        <v>0</v>
      </c>
      <c r="O257" s="14">
        <v>0</v>
      </c>
      <c r="P257" s="18" t="str">
        <f>IF(OR(N257="",O257="",N257=0,O257=0),"",(O257-N257)/((O257+N257)/2))</f>
        <v/>
      </c>
      <c r="Q257" s="14">
        <v>3.5038680000000003E-2</v>
      </c>
      <c r="R257" s="14">
        <v>3.8300000000000001E-2</v>
      </c>
      <c r="S257" s="14">
        <v>2.9170000000000001E-2</v>
      </c>
      <c r="T257" s="12">
        <v>46209.261123090277</v>
      </c>
      <c r="U257" s="12">
        <v>46210.261123090277</v>
      </c>
      <c r="V257" s="14">
        <v>5</v>
      </c>
      <c r="W257" s="14">
        <v>0.1</v>
      </c>
      <c r="X257" s="14">
        <v>0.1</v>
      </c>
      <c r="Y257" s="14">
        <v>1.0000000000000001E-5</v>
      </c>
      <c r="Z257" s="10" t="str">
        <f>IF(AND(D257="TRADING",I257&lt;&gt;"",L257&lt;&gt;"",M257&lt;&gt;"",N257&lt;&gt;"",O257&lt;&gt;""),"Yes","No")</f>
        <v>No</v>
      </c>
      <c r="AA257" s="10" t="s">
        <v>56</v>
      </c>
    </row>
    <row r="258" spans="1:27">
      <c r="A258" s="10" t="s">
        <v>788</v>
      </c>
      <c r="B258" s="10" t="s">
        <v>789</v>
      </c>
      <c r="C258" s="10" t="s">
        <v>12</v>
      </c>
      <c r="D258" s="10" t="s">
        <v>55</v>
      </c>
      <c r="E258" s="11" t="b">
        <v>1</v>
      </c>
      <c r="F258" s="12">
        <v>44341</v>
      </c>
      <c r="G258" s="12">
        <v>44341.999999988424</v>
      </c>
      <c r="H258" s="13">
        <f>IF(F258="","",(Summary!$B$5-F258)/365.25)</f>
        <v>5.1909992917712389</v>
      </c>
      <c r="I258" s="14">
        <v>0.34899999999999998</v>
      </c>
      <c r="J258" s="15">
        <v>-5.6999999999999993E-3</v>
      </c>
      <c r="K258" s="16">
        <v>299781.90000000002</v>
      </c>
      <c r="L258" s="16">
        <v>105319.92600000001</v>
      </c>
      <c r="M258" s="17">
        <v>1115</v>
      </c>
      <c r="N258" s="14">
        <v>0.34799999999999998</v>
      </c>
      <c r="O258" s="14">
        <v>0.34899999999999998</v>
      </c>
      <c r="P258" s="18">
        <f>IF(OR(N258="",O258="",N258=0,O258=0),"",(O258-N258)/((O258+N258)/2))</f>
        <v>2.8694404591104762E-3</v>
      </c>
      <c r="Q258" s="14">
        <v>0.35132183</v>
      </c>
      <c r="R258" s="14">
        <v>0.35499999999999998</v>
      </c>
      <c r="S258" s="14">
        <v>0.34699999999999998</v>
      </c>
      <c r="T258" s="12">
        <v>46236.012478634257</v>
      </c>
      <c r="U258" s="12">
        <v>46237.012478634257</v>
      </c>
      <c r="V258" s="14">
        <v>5</v>
      </c>
      <c r="W258" s="14">
        <v>0.1</v>
      </c>
      <c r="X258" s="14">
        <v>0.1</v>
      </c>
      <c r="Y258" s="14">
        <v>1E-3</v>
      </c>
      <c r="Z258" s="10" t="str">
        <f>IF(AND(D258="TRADING",I258&lt;&gt;"",L258&lt;&gt;"",M258&lt;&gt;"",N258&lt;&gt;"",O258&lt;&gt;""),"Yes","No")</f>
        <v>Yes</v>
      </c>
      <c r="AA258" s="10" t="s">
        <v>56</v>
      </c>
    </row>
    <row r="259" spans="1:27">
      <c r="A259" s="10" t="s">
        <v>762</v>
      </c>
      <c r="B259" s="10" t="s">
        <v>763</v>
      </c>
      <c r="C259" s="10" t="s">
        <v>12</v>
      </c>
      <c r="D259" s="10" t="s">
        <v>55</v>
      </c>
      <c r="E259" s="11" t="b">
        <v>1</v>
      </c>
      <c r="F259" s="12">
        <v>44344</v>
      </c>
      <c r="G259" s="12">
        <v>44344.999999988424</v>
      </c>
      <c r="H259" s="13">
        <f>IF(F259="","",(Summary!$B$5-F259)/365.25)</f>
        <v>5.1827857394098427</v>
      </c>
      <c r="I259" s="14">
        <v>1.2829999999999999</v>
      </c>
      <c r="J259" s="15">
        <v>2.068E-2</v>
      </c>
      <c r="K259" s="16">
        <v>198648.2</v>
      </c>
      <c r="L259" s="16">
        <v>251757.93267000001</v>
      </c>
      <c r="M259" s="17">
        <v>3129</v>
      </c>
      <c r="N259" s="14">
        <v>1.2829999999999999</v>
      </c>
      <c r="O259" s="14">
        <v>1.284</v>
      </c>
      <c r="P259" s="18">
        <f>IF(OR(N259="",O259="",N259=0,O259=0),"",(O259-N259)/((O259+N259)/2))</f>
        <v>7.7911959485789785E-4</v>
      </c>
      <c r="Q259" s="14">
        <v>1.2673557200000001</v>
      </c>
      <c r="R259" s="14">
        <v>1.2949999999999999</v>
      </c>
      <c r="S259" s="14">
        <v>1.236</v>
      </c>
      <c r="T259" s="12">
        <v>46236.012019340276</v>
      </c>
      <c r="U259" s="12">
        <v>46237.012019340276</v>
      </c>
      <c r="V259" s="14">
        <v>5</v>
      </c>
      <c r="W259" s="14">
        <v>0.01</v>
      </c>
      <c r="X259" s="14">
        <v>0.01</v>
      </c>
      <c r="Y259" s="14">
        <v>1E-3</v>
      </c>
      <c r="Z259" s="10" t="str">
        <f>IF(AND(D259="TRADING",I259&lt;&gt;"",L259&lt;&gt;"",M259&lt;&gt;"",N259&lt;&gt;"",O259&lt;&gt;""),"Yes","No")</f>
        <v>Yes</v>
      </c>
      <c r="AA259" s="10" t="s">
        <v>56</v>
      </c>
    </row>
    <row r="260" spans="1:27">
      <c r="A260" s="10" t="s">
        <v>902</v>
      </c>
      <c r="B260" s="10" t="s">
        <v>903</v>
      </c>
      <c r="C260" s="10" t="s">
        <v>12</v>
      </c>
      <c r="D260" s="10" t="s">
        <v>84</v>
      </c>
      <c r="E260" s="11" t="b">
        <v>1</v>
      </c>
      <c r="F260" s="12">
        <v>44351</v>
      </c>
      <c r="G260" s="12">
        <v>44351.999999988424</v>
      </c>
      <c r="H260" s="13">
        <f>IF(F260="","",(Summary!$B$5-F260)/365.25)</f>
        <v>5.1636207838999182</v>
      </c>
      <c r="I260" s="14">
        <v>0</v>
      </c>
      <c r="J260" s="15">
        <v>0</v>
      </c>
      <c r="K260" s="16">
        <v>0</v>
      </c>
      <c r="L260" s="16">
        <v>0</v>
      </c>
      <c r="M260" s="17">
        <v>0</v>
      </c>
      <c r="N260" s="14">
        <v>0</v>
      </c>
      <c r="O260" s="14">
        <v>0</v>
      </c>
      <c r="P260" s="18" t="str">
        <f>IF(OR(N260="",O260="",N260=0,O260=0),"",(O260-N260)/((O260+N260)/2))</f>
        <v/>
      </c>
      <c r="Q260" s="14">
        <v>0</v>
      </c>
      <c r="R260" s="14">
        <v>0</v>
      </c>
      <c r="S260" s="14">
        <v>0</v>
      </c>
      <c r="T260" s="12">
        <v>46209.261123090277</v>
      </c>
      <c r="U260" s="12">
        <v>46210.261123090277</v>
      </c>
      <c r="V260" s="14">
        <v>10</v>
      </c>
      <c r="W260" s="14">
        <v>1</v>
      </c>
      <c r="X260" s="14">
        <v>1</v>
      </c>
      <c r="Y260" s="14">
        <v>1E-4</v>
      </c>
      <c r="Z260" s="10" t="str">
        <f>IF(AND(D260="TRADING",I260&lt;&gt;"",L260&lt;&gt;"",M260&lt;&gt;"",N260&lt;&gt;"",O260&lt;&gt;""),"Yes","No")</f>
        <v>No</v>
      </c>
      <c r="AA260" s="10" t="s">
        <v>56</v>
      </c>
    </row>
    <row r="261" spans="1:27">
      <c r="A261" s="10" t="s">
        <v>1391</v>
      </c>
      <c r="B261" s="10" t="s">
        <v>1392</v>
      </c>
      <c r="C261" s="10" t="s">
        <v>12</v>
      </c>
      <c r="D261" s="10" t="s">
        <v>55</v>
      </c>
      <c r="E261" s="11" t="b">
        <v>1</v>
      </c>
      <c r="F261" s="12">
        <v>44353</v>
      </c>
      <c r="G261" s="12">
        <v>44353.999999988424</v>
      </c>
      <c r="H261" s="13">
        <f>IF(F261="","",(Summary!$B$5-F261)/365.25)</f>
        <v>5.1581450823256532</v>
      </c>
      <c r="I261" s="14">
        <v>1.916E-3</v>
      </c>
      <c r="J261" s="15">
        <v>-1.4910000000000001E-2</v>
      </c>
      <c r="K261" s="16">
        <v>55038321</v>
      </c>
      <c r="L261" s="16">
        <v>105762.834065</v>
      </c>
      <c r="M261" s="17">
        <v>2212</v>
      </c>
      <c r="N261" s="14">
        <v>1.916E-3</v>
      </c>
      <c r="O261" s="14">
        <v>1.92E-3</v>
      </c>
      <c r="P261" s="18">
        <f>IF(OR(N261="",O261="",N261=0,O261=0),"",(O261-N261)/((O261+N261)/2))</f>
        <v>2.0855057351408224E-3</v>
      </c>
      <c r="Q261" s="14">
        <v>1.92162E-3</v>
      </c>
      <c r="R261" s="14">
        <v>1.9469999999999999E-3</v>
      </c>
      <c r="S261" s="14">
        <v>1.902E-3</v>
      </c>
      <c r="T261" s="12">
        <v>46236.012315868058</v>
      </c>
      <c r="U261" s="12">
        <v>46237.012315868058</v>
      </c>
      <c r="V261" s="14">
        <v>5</v>
      </c>
      <c r="W261" s="14">
        <v>1</v>
      </c>
      <c r="X261" s="14">
        <v>1</v>
      </c>
      <c r="Y261" s="14">
        <v>9.9999999999999995E-7</v>
      </c>
      <c r="Z261" s="10" t="str">
        <f>IF(AND(D261="TRADING",I261&lt;&gt;"",L261&lt;&gt;"",M261&lt;&gt;"",N261&lt;&gt;"",O261&lt;&gt;""),"Yes","No")</f>
        <v>Yes</v>
      </c>
      <c r="AA261" s="10" t="s">
        <v>56</v>
      </c>
    </row>
    <row r="262" spans="1:27">
      <c r="A262" s="10" t="s">
        <v>193</v>
      </c>
      <c r="B262" s="10" t="s">
        <v>194</v>
      </c>
      <c r="C262" s="10" t="s">
        <v>12</v>
      </c>
      <c r="D262" s="10" t="s">
        <v>84</v>
      </c>
      <c r="E262" s="11" t="b">
        <v>1</v>
      </c>
      <c r="F262" s="12">
        <v>44354</v>
      </c>
      <c r="G262" s="12">
        <v>44354.999999988424</v>
      </c>
      <c r="H262" s="13">
        <f>IF(F262="","",(Summary!$B$5-F262)/365.25)</f>
        <v>5.1554072315385211</v>
      </c>
      <c r="I262" s="14">
        <v>1.1999999999999999E-3</v>
      </c>
      <c r="J262" s="15">
        <v>-0.53845999999999994</v>
      </c>
      <c r="K262" s="16">
        <v>499299488</v>
      </c>
      <c r="L262" s="16">
        <v>1027614.017</v>
      </c>
      <c r="M262" s="17">
        <v>8502</v>
      </c>
      <c r="N262" s="14">
        <v>0</v>
      </c>
      <c r="O262" s="14">
        <v>0</v>
      </c>
      <c r="P262" s="18" t="str">
        <f>IF(OR(N262="",O262="",N262=0,O262=0),"",(O262-N262)/((O262+N262)/2))</f>
        <v/>
      </c>
      <c r="Q262" s="14">
        <v>2.0581100000000001E-3</v>
      </c>
      <c r="R262" s="14">
        <v>3.0000000000000001E-3</v>
      </c>
      <c r="S262" s="14">
        <v>1.1999999999999999E-3</v>
      </c>
      <c r="T262" s="12">
        <v>46209.261123090277</v>
      </c>
      <c r="U262" s="12">
        <v>46210.261123090277</v>
      </c>
      <c r="V262" s="14">
        <v>5</v>
      </c>
      <c r="W262" s="14">
        <v>1</v>
      </c>
      <c r="X262" s="14">
        <v>1</v>
      </c>
      <c r="Y262" s="14">
        <v>1E-4</v>
      </c>
      <c r="Z262" s="10" t="str">
        <f>IF(AND(D262="TRADING",I262&lt;&gt;"",L262&lt;&gt;"",M262&lt;&gt;"",N262&lt;&gt;"",O262&lt;&gt;""),"Yes","No")</f>
        <v>No</v>
      </c>
      <c r="AA262" s="10" t="s">
        <v>56</v>
      </c>
    </row>
    <row r="263" spans="1:27">
      <c r="A263" s="10" t="s">
        <v>606</v>
      </c>
      <c r="B263" s="10" t="s">
        <v>607</v>
      </c>
      <c r="C263" s="10" t="s">
        <v>12</v>
      </c>
      <c r="D263" s="10" t="s">
        <v>55</v>
      </c>
      <c r="E263" s="11" t="b">
        <v>1</v>
      </c>
      <c r="F263" s="12">
        <v>44357</v>
      </c>
      <c r="G263" s="12">
        <v>44357.999999988424</v>
      </c>
      <c r="H263" s="13">
        <f>IF(F263="","",(Summary!$B$5-F263)/365.25)</f>
        <v>5.1471936791771249</v>
      </c>
      <c r="I263" s="14">
        <v>7.6859999999999998E-2</v>
      </c>
      <c r="J263" s="15">
        <v>8.0000000000000002E-3</v>
      </c>
      <c r="K263" s="16">
        <v>3501395.7</v>
      </c>
      <c r="L263" s="16">
        <v>269014.82458999997</v>
      </c>
      <c r="M263" s="17">
        <v>9121</v>
      </c>
      <c r="N263" s="14">
        <v>7.6850000000000002E-2</v>
      </c>
      <c r="O263" s="14">
        <v>7.6950000000000005E-2</v>
      </c>
      <c r="P263" s="18">
        <f>IF(OR(N263="",O263="",N263=0,O263=0),"",(O263-N263)/((O263+N263)/2))</f>
        <v>1.3003901170351479E-3</v>
      </c>
      <c r="Q263" s="14">
        <v>7.6830739999999995E-2</v>
      </c>
      <c r="R263" s="14">
        <v>7.9500000000000001E-2</v>
      </c>
      <c r="S263" s="14">
        <v>7.4120000000000005E-2</v>
      </c>
      <c r="T263" s="12">
        <v>46236.01246766204</v>
      </c>
      <c r="U263" s="12">
        <v>46237.01246766204</v>
      </c>
      <c r="V263" s="14">
        <v>5</v>
      </c>
      <c r="W263" s="14">
        <v>0.1</v>
      </c>
      <c r="X263" s="14">
        <v>0.1</v>
      </c>
      <c r="Y263" s="14">
        <v>1.0000000000000001E-5</v>
      </c>
      <c r="Z263" s="10" t="str">
        <f>IF(AND(D263="TRADING",I263&lt;&gt;"",L263&lt;&gt;"",M263&lt;&gt;"",N263&lt;&gt;"",O263&lt;&gt;""),"Yes","No")</f>
        <v>Yes</v>
      </c>
      <c r="AA263" s="10" t="s">
        <v>56</v>
      </c>
    </row>
    <row r="264" spans="1:27">
      <c r="A264" s="10" t="s">
        <v>1233</v>
      </c>
      <c r="B264" s="10" t="s">
        <v>1234</v>
      </c>
      <c r="C264" s="10" t="s">
        <v>12</v>
      </c>
      <c r="D264" s="10" t="s">
        <v>84</v>
      </c>
      <c r="E264" s="11" t="b">
        <v>1</v>
      </c>
      <c r="F264" s="12">
        <v>44358</v>
      </c>
      <c r="G264" s="12">
        <v>44358.999999988424</v>
      </c>
      <c r="H264" s="13">
        <f>IF(F264="","",(Summary!$B$5-F264)/365.25)</f>
        <v>5.1444558283899928</v>
      </c>
      <c r="I264" s="14">
        <v>4.0599999999999996</v>
      </c>
      <c r="J264" s="15">
        <v>-4.0190000000000003E-2</v>
      </c>
      <c r="K264" s="16">
        <v>115850.15</v>
      </c>
      <c r="L264" s="16">
        <v>490754.27870000002</v>
      </c>
      <c r="M264" s="17">
        <v>4001</v>
      </c>
      <c r="N264" s="14">
        <v>0</v>
      </c>
      <c r="O264" s="14">
        <v>0</v>
      </c>
      <c r="P264" s="18" t="str">
        <f>IF(OR(N264="",O264="",N264=0,O264=0),"",(O264-N264)/((O264+N264)/2))</f>
        <v/>
      </c>
      <c r="Q264" s="14">
        <v>4.2361125900000003</v>
      </c>
      <c r="R264" s="14">
        <v>4.4400000000000004</v>
      </c>
      <c r="S264" s="14">
        <v>4</v>
      </c>
      <c r="T264" s="12">
        <v>46209.261123090277</v>
      </c>
      <c r="U264" s="12">
        <v>46210.261123090277</v>
      </c>
      <c r="V264" s="14">
        <v>10</v>
      </c>
      <c r="W264" s="14">
        <v>0.01</v>
      </c>
      <c r="X264" s="14">
        <v>0.01</v>
      </c>
      <c r="Y264" s="14">
        <v>0.01</v>
      </c>
      <c r="Z264" s="10" t="str">
        <f>IF(AND(D264="TRADING",I264&lt;&gt;"",L264&lt;&gt;"",M264&lt;&gt;"",N264&lt;&gt;"",O264&lt;&gt;""),"Yes","No")</f>
        <v>No</v>
      </c>
      <c r="AA264" s="10" t="s">
        <v>56</v>
      </c>
    </row>
    <row r="265" spans="1:27">
      <c r="A265" s="10" t="s">
        <v>710</v>
      </c>
      <c r="B265" s="10" t="s">
        <v>711</v>
      </c>
      <c r="C265" s="10" t="s">
        <v>12</v>
      </c>
      <c r="D265" s="10" t="s">
        <v>84</v>
      </c>
      <c r="E265" s="11" t="b">
        <v>1</v>
      </c>
      <c r="F265" s="12">
        <v>44364</v>
      </c>
      <c r="G265" s="12">
        <v>44364.999999988424</v>
      </c>
      <c r="H265" s="13">
        <f>IF(F265="","",(Summary!$B$5-F265)/365.25)</f>
        <v>5.1280287236672004</v>
      </c>
      <c r="I265" s="14">
        <v>0</v>
      </c>
      <c r="J265" s="15">
        <v>0</v>
      </c>
      <c r="K265" s="16">
        <v>0</v>
      </c>
      <c r="L265" s="16">
        <v>0</v>
      </c>
      <c r="M265" s="17">
        <v>0</v>
      </c>
      <c r="N265" s="14">
        <v>0</v>
      </c>
      <c r="O265" s="14">
        <v>0</v>
      </c>
      <c r="P265" s="18" t="str">
        <f>IF(OR(N265="",O265="",N265=0,O265=0),"",(O265-N265)/((O265+N265)/2))</f>
        <v/>
      </c>
      <c r="Q265" s="14">
        <v>0</v>
      </c>
      <c r="R265" s="14">
        <v>0</v>
      </c>
      <c r="S265" s="14">
        <v>0</v>
      </c>
      <c r="T265" s="12">
        <v>46209.261123090277</v>
      </c>
      <c r="U265" s="12">
        <v>46210.261123090277</v>
      </c>
      <c r="V265" s="14">
        <v>10</v>
      </c>
      <c r="W265" s="14">
        <v>1</v>
      </c>
      <c r="X265" s="14">
        <v>1</v>
      </c>
      <c r="Y265" s="14">
        <v>1E-4</v>
      </c>
      <c r="Z265" s="10" t="str">
        <f>IF(AND(D265="TRADING",I265&lt;&gt;"",L265&lt;&gt;"",M265&lt;&gt;"",N265&lt;&gt;"",O265&lt;&gt;""),"Yes","No")</f>
        <v>No</v>
      </c>
      <c r="AA265" s="10" t="s">
        <v>56</v>
      </c>
    </row>
    <row r="266" spans="1:27">
      <c r="A266" s="10" t="s">
        <v>495</v>
      </c>
      <c r="B266" s="10" t="s">
        <v>496</v>
      </c>
      <c r="C266" s="10" t="s">
        <v>12</v>
      </c>
      <c r="D266" s="10" t="s">
        <v>84</v>
      </c>
      <c r="E266" s="11" t="b">
        <v>1</v>
      </c>
      <c r="F266" s="12">
        <v>44369</v>
      </c>
      <c r="G266" s="12">
        <v>44369.999999988424</v>
      </c>
      <c r="H266" s="13">
        <f>IF(F266="","",(Summary!$B$5-F266)/365.25)</f>
        <v>5.1143394697315401</v>
      </c>
      <c r="I266" s="14">
        <v>2.1829999999999998</v>
      </c>
      <c r="J266" s="15">
        <v>5.663E-2</v>
      </c>
      <c r="K266" s="16">
        <v>297375.7</v>
      </c>
      <c r="L266" s="16">
        <v>639411.69460000005</v>
      </c>
      <c r="M266" s="17">
        <v>4001</v>
      </c>
      <c r="N266" s="14">
        <v>0</v>
      </c>
      <c r="O266" s="14">
        <v>0</v>
      </c>
      <c r="P266" s="18" t="str">
        <f>IF(OR(N266="",O266="",N266=0,O266=0),"",(O266-N266)/((O266+N266)/2))</f>
        <v/>
      </c>
      <c r="Q266" s="14">
        <v>2.1501813900000002</v>
      </c>
      <c r="R266" s="14">
        <v>2.21</v>
      </c>
      <c r="S266" s="14">
        <v>2.0489999999999999</v>
      </c>
      <c r="T266" s="12">
        <v>46209.261123090277</v>
      </c>
      <c r="U266" s="12">
        <v>46210.261123090277</v>
      </c>
      <c r="V266" s="14">
        <v>5</v>
      </c>
      <c r="W266" s="14">
        <v>0.1</v>
      </c>
      <c r="X266" s="14">
        <v>0.1</v>
      </c>
      <c r="Y266" s="14">
        <v>1E-3</v>
      </c>
      <c r="Z266" s="10" t="str">
        <f>IF(AND(D266="TRADING",I266&lt;&gt;"",L266&lt;&gt;"",M266&lt;&gt;"",N266&lt;&gt;"",O266&lt;&gt;""),"Yes","No")</f>
        <v>No</v>
      </c>
      <c r="AA266" s="10" t="s">
        <v>56</v>
      </c>
    </row>
    <row r="267" spans="1:27">
      <c r="A267" s="10" t="s">
        <v>720</v>
      </c>
      <c r="B267" s="10" t="s">
        <v>721</v>
      </c>
      <c r="C267" s="10" t="s">
        <v>12</v>
      </c>
      <c r="D267" s="10" t="s">
        <v>84</v>
      </c>
      <c r="E267" s="11" t="b">
        <v>1</v>
      </c>
      <c r="F267" s="12">
        <v>44371</v>
      </c>
      <c r="G267" s="12">
        <v>44371.999999988424</v>
      </c>
      <c r="H267" s="13">
        <f>IF(F267="","",(Summary!$B$5-F267)/365.25)</f>
        <v>5.1088637681572759</v>
      </c>
      <c r="I267" s="14">
        <v>0.1255</v>
      </c>
      <c r="J267" s="15">
        <v>9.6499999999999989E-3</v>
      </c>
      <c r="K267" s="16">
        <v>6918382.7999999998</v>
      </c>
      <c r="L267" s="16">
        <v>865849.95174000005</v>
      </c>
      <c r="M267" s="17">
        <v>4001</v>
      </c>
      <c r="N267" s="14">
        <v>0</v>
      </c>
      <c r="O267" s="14">
        <v>0</v>
      </c>
      <c r="P267" s="18" t="str">
        <f>IF(OR(N267="",O267="",N267=0,O267=0),"",(O267-N267)/((O267+N267)/2))</f>
        <v/>
      </c>
      <c r="Q267" s="14">
        <v>0.12515207</v>
      </c>
      <c r="R267" s="14">
        <v>0.126</v>
      </c>
      <c r="S267" s="14">
        <v>0.1242</v>
      </c>
      <c r="T267" s="12">
        <v>46209.261123090277</v>
      </c>
      <c r="U267" s="12">
        <v>46210.261123090277</v>
      </c>
      <c r="V267" s="14">
        <v>5</v>
      </c>
      <c r="W267" s="14">
        <v>0.1</v>
      </c>
      <c r="X267" s="14">
        <v>0.1</v>
      </c>
      <c r="Y267" s="14">
        <v>1E-4</v>
      </c>
      <c r="Z267" s="10" t="str">
        <f>IF(AND(D267="TRADING",I267&lt;&gt;"",L267&lt;&gt;"",M267&lt;&gt;"",N267&lt;&gt;"",O267&lt;&gt;""),"Yes","No")</f>
        <v>No</v>
      </c>
      <c r="AA267" s="10" t="s">
        <v>56</v>
      </c>
    </row>
    <row r="268" spans="1:27">
      <c r="A268" s="10" t="s">
        <v>972</v>
      </c>
      <c r="B268" s="10" t="s">
        <v>973</v>
      </c>
      <c r="C268" s="10" t="s">
        <v>12</v>
      </c>
      <c r="D268" s="10" t="s">
        <v>55</v>
      </c>
      <c r="E268" s="11" t="b">
        <v>1</v>
      </c>
      <c r="F268" s="12">
        <v>44372</v>
      </c>
      <c r="G268" s="12">
        <v>44372.999999988424</v>
      </c>
      <c r="H268" s="13">
        <f>IF(F268="","",(Summary!$B$5-F268)/365.25)</f>
        <v>5.1061259173701439</v>
      </c>
      <c r="I268" s="14">
        <v>0.02</v>
      </c>
      <c r="J268" s="15">
        <v>2.0409999999999998E-2</v>
      </c>
      <c r="K268" s="16">
        <v>12700963</v>
      </c>
      <c r="L268" s="16">
        <v>252757.0919</v>
      </c>
      <c r="M268" s="17">
        <v>1853</v>
      </c>
      <c r="N268" s="14">
        <v>1.9900000000000001E-2</v>
      </c>
      <c r="O268" s="14">
        <v>0.02</v>
      </c>
      <c r="P268" s="18">
        <f>IF(OR(N268="",O268="",N268=0,O268=0),"",(O268-N268)/((O268+N268)/2))</f>
        <v>5.0125313283207714E-3</v>
      </c>
      <c r="Q268" s="14">
        <v>1.9900620000000001E-2</v>
      </c>
      <c r="R268" s="14">
        <v>2.0299999999999999E-2</v>
      </c>
      <c r="S268" s="14">
        <v>1.9599999999999999E-2</v>
      </c>
      <c r="T268" s="12">
        <v>46236.012331990743</v>
      </c>
      <c r="U268" s="12">
        <v>46237.012331990743</v>
      </c>
      <c r="V268" s="14">
        <v>5</v>
      </c>
      <c r="W268" s="14">
        <v>1</v>
      </c>
      <c r="X268" s="14">
        <v>1</v>
      </c>
      <c r="Y268" s="14">
        <v>1E-4</v>
      </c>
      <c r="Z268" s="10" t="str">
        <f>IF(AND(D268="TRADING",I268&lt;&gt;"",L268&lt;&gt;"",M268&lt;&gt;"",N268&lt;&gt;"",O268&lt;&gt;""),"Yes","No")</f>
        <v>Yes</v>
      </c>
      <c r="AA268" s="10" t="s">
        <v>56</v>
      </c>
    </row>
    <row r="269" spans="1:27">
      <c r="A269" s="10" t="s">
        <v>308</v>
      </c>
      <c r="B269" s="10" t="s">
        <v>309</v>
      </c>
      <c r="C269" s="10" t="s">
        <v>12</v>
      </c>
      <c r="D269" s="10" t="s">
        <v>84</v>
      </c>
      <c r="E269" s="11" t="b">
        <v>1</v>
      </c>
      <c r="F269" s="12">
        <v>44382</v>
      </c>
      <c r="G269" s="12">
        <v>44382.999999988424</v>
      </c>
      <c r="H269" s="13">
        <f>IF(F269="","",(Summary!$B$5-F269)/365.25)</f>
        <v>5.0787474094988223</v>
      </c>
      <c r="I269" s="14">
        <v>2.1520000000000001</v>
      </c>
      <c r="J269" s="15">
        <v>4.4150000000000002E-2</v>
      </c>
      <c r="K269" s="16">
        <v>338710.59</v>
      </c>
      <c r="L269" s="16">
        <v>704422.82223000005</v>
      </c>
      <c r="M269" s="17">
        <v>4001</v>
      </c>
      <c r="N269" s="14">
        <v>0</v>
      </c>
      <c r="O269" s="14">
        <v>0</v>
      </c>
      <c r="P269" s="18" t="str">
        <f>IF(OR(N269="",O269="",N269=0,O269=0),"",(O269-N269)/((O269+N269)/2))</f>
        <v/>
      </c>
      <c r="Q269" s="14">
        <v>2.0797189199999999</v>
      </c>
      <c r="R269" s="14">
        <v>2.17</v>
      </c>
      <c r="S269" s="14">
        <v>2.0230000000000001</v>
      </c>
      <c r="T269" s="12">
        <v>46209.261123090277</v>
      </c>
      <c r="U269" s="12">
        <v>46210.261123090277</v>
      </c>
      <c r="V269" s="14">
        <v>5</v>
      </c>
      <c r="W269" s="14">
        <v>0.01</v>
      </c>
      <c r="X269" s="14">
        <v>0.01</v>
      </c>
      <c r="Y269" s="14">
        <v>1E-3</v>
      </c>
      <c r="Z269" s="10" t="str">
        <f>IF(AND(D269="TRADING",I269&lt;&gt;"",L269&lt;&gt;"",M269&lt;&gt;"",N269&lt;&gt;"",O269&lt;&gt;""),"Yes","No")</f>
        <v>No</v>
      </c>
      <c r="AA269" s="10" t="s">
        <v>56</v>
      </c>
    </row>
    <row r="270" spans="1:27">
      <c r="A270" s="10" t="s">
        <v>832</v>
      </c>
      <c r="B270" s="10" t="s">
        <v>833</v>
      </c>
      <c r="C270" s="10" t="s">
        <v>12</v>
      </c>
      <c r="D270" s="10" t="s">
        <v>84</v>
      </c>
      <c r="E270" s="11" t="b">
        <v>1</v>
      </c>
      <c r="F270" s="12">
        <v>44382</v>
      </c>
      <c r="G270" s="12">
        <v>44382.999999988424</v>
      </c>
      <c r="H270" s="13">
        <f>IF(F270="","",(Summary!$B$5-F270)/365.25)</f>
        <v>5.0787474094988223</v>
      </c>
      <c r="I270" s="14">
        <v>1.7</v>
      </c>
      <c r="J270" s="15">
        <v>-0.14141000000000001</v>
      </c>
      <c r="K270" s="16">
        <v>183614.32</v>
      </c>
      <c r="L270" s="16">
        <v>335029.66441000003</v>
      </c>
      <c r="M270" s="17">
        <v>9680</v>
      </c>
      <c r="N270" s="14">
        <v>0</v>
      </c>
      <c r="O270" s="14">
        <v>0</v>
      </c>
      <c r="P270" s="18" t="str">
        <f>IF(OR(N270="",O270="",N270=0,O270=0),"",(O270-N270)/((O270+N270)/2))</f>
        <v/>
      </c>
      <c r="Q270" s="14">
        <v>1.82463799</v>
      </c>
      <c r="R270" s="14">
        <v>2.0099999999999998</v>
      </c>
      <c r="S270" s="14">
        <v>1.56</v>
      </c>
      <c r="T270" s="12">
        <v>46209.261123090277</v>
      </c>
      <c r="U270" s="12">
        <v>46210.261123090277</v>
      </c>
      <c r="V270" s="14">
        <v>5</v>
      </c>
      <c r="W270" s="14">
        <v>1E-3</v>
      </c>
      <c r="X270" s="14">
        <v>1E-3</v>
      </c>
      <c r="Y270" s="14">
        <v>0.01</v>
      </c>
      <c r="Z270" s="10" t="str">
        <f>IF(AND(D270="TRADING",I270&lt;&gt;"",L270&lt;&gt;"",M270&lt;&gt;"",N270&lt;&gt;"",O270&lt;&gt;""),"Yes","No")</f>
        <v>No</v>
      </c>
      <c r="AA270" s="10" t="s">
        <v>56</v>
      </c>
    </row>
    <row r="271" spans="1:27">
      <c r="A271" s="10" t="s">
        <v>337</v>
      </c>
      <c r="B271" s="10" t="s">
        <v>338</v>
      </c>
      <c r="C271" s="10" t="s">
        <v>12</v>
      </c>
      <c r="D271" s="10" t="s">
        <v>55</v>
      </c>
      <c r="E271" s="11" t="b">
        <v>1</v>
      </c>
      <c r="F271" s="12">
        <v>44400</v>
      </c>
      <c r="G271" s="12">
        <v>44400.999999988424</v>
      </c>
      <c r="H271" s="13">
        <f>IF(F271="","",(Summary!$B$5-F271)/365.25)</f>
        <v>5.0294660953304451</v>
      </c>
      <c r="I271" s="14">
        <v>1.1849999999999999E-2</v>
      </c>
      <c r="J271" s="15">
        <v>8.5100000000000002E-3</v>
      </c>
      <c r="K271" s="16">
        <v>5200538</v>
      </c>
      <c r="L271" s="16">
        <v>61703.504466999999</v>
      </c>
      <c r="M271" s="17">
        <v>954</v>
      </c>
      <c r="N271" s="14">
        <v>1.1849999999999999E-2</v>
      </c>
      <c r="O271" s="14">
        <v>1.1860000000000001E-2</v>
      </c>
      <c r="P271" s="18">
        <f>IF(OR(N271="",O271="",N271=0,O271=0),"",(O271-N271)/((O271+N271)/2))</f>
        <v>8.4352593842271836E-4</v>
      </c>
      <c r="Q271" s="14">
        <v>1.186483E-2</v>
      </c>
      <c r="R271" s="14">
        <v>1.196E-2</v>
      </c>
      <c r="S271" s="14">
        <v>1.172E-2</v>
      </c>
      <c r="T271" s="12">
        <v>46236.012355092593</v>
      </c>
      <c r="U271" s="12">
        <v>46237.012355092593</v>
      </c>
      <c r="V271" s="14">
        <v>5</v>
      </c>
      <c r="W271" s="14">
        <v>0.1</v>
      </c>
      <c r="X271" s="14">
        <v>0.1</v>
      </c>
      <c r="Y271" s="14">
        <v>1.0000000000000001E-5</v>
      </c>
      <c r="Z271" s="10" t="str">
        <f>IF(AND(D271="TRADING",I271&lt;&gt;"",L271&lt;&gt;"",M271&lt;&gt;"",N271&lt;&gt;"",O271&lt;&gt;""),"Yes","No")</f>
        <v>Yes</v>
      </c>
      <c r="AA271" s="10" t="s">
        <v>56</v>
      </c>
    </row>
    <row r="272" spans="1:27">
      <c r="A272" s="10" t="s">
        <v>427</v>
      </c>
      <c r="B272" s="10" t="s">
        <v>428</v>
      </c>
      <c r="C272" s="10" t="s">
        <v>12</v>
      </c>
      <c r="D272" s="10" t="s">
        <v>55</v>
      </c>
      <c r="E272" s="11" t="b">
        <v>1</v>
      </c>
      <c r="F272" s="12">
        <v>44400</v>
      </c>
      <c r="G272" s="12">
        <v>44400.999999988424</v>
      </c>
      <c r="H272" s="13">
        <f>IF(F272="","",(Summary!$B$5-F272)/365.25)</f>
        <v>5.0294660953304451</v>
      </c>
      <c r="I272" s="14">
        <v>2.323</v>
      </c>
      <c r="J272" s="15">
        <v>-1.107E-2</v>
      </c>
      <c r="K272" s="16">
        <v>3945054.38</v>
      </c>
      <c r="L272" s="16">
        <v>9355521.9286499992</v>
      </c>
      <c r="M272" s="17">
        <v>74896</v>
      </c>
      <c r="N272" s="14">
        <v>2.3220000000000001</v>
      </c>
      <c r="O272" s="14">
        <v>2.323</v>
      </c>
      <c r="P272" s="18">
        <f>IF(OR(N272="",O272="",N272=0,O272=0),"",(O272-N272)/((O272+N272)/2))</f>
        <v>4.3057050592029705E-4</v>
      </c>
      <c r="Q272" s="14">
        <v>2.3714557599999999</v>
      </c>
      <c r="R272" s="14">
        <v>2.504</v>
      </c>
      <c r="S272" s="14">
        <v>2.2730000000000001</v>
      </c>
      <c r="T272" s="12">
        <v>46236.012481979167</v>
      </c>
      <c r="U272" s="12">
        <v>46237.012481979167</v>
      </c>
      <c r="V272" s="14">
        <v>5</v>
      </c>
      <c r="W272" s="14">
        <v>0.01</v>
      </c>
      <c r="X272" s="14">
        <v>0.01</v>
      </c>
      <c r="Y272" s="14">
        <v>1E-3</v>
      </c>
      <c r="Z272" s="10" t="str">
        <f>IF(AND(D272="TRADING",I272&lt;&gt;"",L272&lt;&gt;"",M272&lt;&gt;"",N272&lt;&gt;"",O272&lt;&gt;""),"Yes","No")</f>
        <v>Yes</v>
      </c>
      <c r="AA272" s="10" t="s">
        <v>56</v>
      </c>
    </row>
    <row r="273" spans="1:27">
      <c r="A273" s="10" t="s">
        <v>369</v>
      </c>
      <c r="B273" s="10" t="s">
        <v>370</v>
      </c>
      <c r="C273" s="10" t="s">
        <v>12</v>
      </c>
      <c r="D273" s="10" t="s">
        <v>84</v>
      </c>
      <c r="E273" s="11" t="b">
        <v>1</v>
      </c>
      <c r="F273" s="12">
        <v>44406</v>
      </c>
      <c r="G273" s="12">
        <v>44406.999999988424</v>
      </c>
      <c r="H273" s="13">
        <f>IF(F273="","",(Summary!$B$5-F273)/365.25)</f>
        <v>5.0130389906076518</v>
      </c>
      <c r="I273" s="14">
        <v>2.937E-2</v>
      </c>
      <c r="J273" s="15">
        <v>0.13970000000000002</v>
      </c>
      <c r="K273" s="16">
        <v>13386084.699999999</v>
      </c>
      <c r="L273" s="16">
        <v>349014.84445400001</v>
      </c>
      <c r="M273" s="17">
        <v>4001</v>
      </c>
      <c r="N273" s="14">
        <v>0</v>
      </c>
      <c r="O273" s="14">
        <v>0</v>
      </c>
      <c r="P273" s="18" t="str">
        <f>IF(OR(N273="",O273="",N273=0,O273=0),"",(O273-N273)/((O273+N273)/2))</f>
        <v/>
      </c>
      <c r="Q273" s="14">
        <v>2.6072959999999999E-2</v>
      </c>
      <c r="R273" s="14">
        <v>3.082E-2</v>
      </c>
      <c r="S273" s="14">
        <v>2.0619999999999999E-2</v>
      </c>
      <c r="T273" s="12">
        <v>46209.261123090277</v>
      </c>
      <c r="U273" s="12">
        <v>46210.261123090277</v>
      </c>
      <c r="V273" s="14">
        <v>5</v>
      </c>
      <c r="W273" s="14">
        <v>0.1</v>
      </c>
      <c r="X273" s="14">
        <v>0.1</v>
      </c>
      <c r="Y273" s="14">
        <v>1.0000000000000001E-5</v>
      </c>
      <c r="Z273" s="10" t="str">
        <f>IF(AND(D273="TRADING",I273&lt;&gt;"",L273&lt;&gt;"",M273&lt;&gt;"",N273&lt;&gt;"",O273&lt;&gt;""),"Yes","No")</f>
        <v>No</v>
      </c>
      <c r="AA273" s="10" t="s">
        <v>56</v>
      </c>
    </row>
    <row r="274" spans="1:27">
      <c r="A274" s="10" t="s">
        <v>1032</v>
      </c>
      <c r="B274" s="10" t="s">
        <v>1033</v>
      </c>
      <c r="C274" s="10" t="s">
        <v>12</v>
      </c>
      <c r="D274" s="10" t="s">
        <v>55</v>
      </c>
      <c r="E274" s="11" t="b">
        <v>1</v>
      </c>
      <c r="F274" s="12">
        <v>44406</v>
      </c>
      <c r="G274" s="12">
        <v>44406.999999988424</v>
      </c>
      <c r="H274" s="13">
        <f>IF(F274="","",(Summary!$B$5-F274)/365.25)</f>
        <v>5.0130389906076518</v>
      </c>
      <c r="I274" s="14">
        <v>60.45</v>
      </c>
      <c r="J274" s="15">
        <v>-1.6910000000000001E-2</v>
      </c>
      <c r="K274" s="16">
        <v>11644.448</v>
      </c>
      <c r="L274" s="16">
        <v>706143.46678999998</v>
      </c>
      <c r="M274" s="17">
        <v>10524</v>
      </c>
      <c r="N274" s="14">
        <v>60.42</v>
      </c>
      <c r="O274" s="14">
        <v>60.45</v>
      </c>
      <c r="P274" s="18">
        <f>IF(OR(N274="",O274="",N274=0,O274=0),"",(O274-N274)/((O274+N274)/2))</f>
        <v>4.9640109208242138E-4</v>
      </c>
      <c r="Q274" s="14">
        <v>60.642073099999998</v>
      </c>
      <c r="R274" s="14">
        <v>62.03</v>
      </c>
      <c r="S274" s="14">
        <v>59.72</v>
      </c>
      <c r="T274" s="12">
        <v>46236.012477129632</v>
      </c>
      <c r="U274" s="12">
        <v>46237.012477129632</v>
      </c>
      <c r="V274" s="14">
        <v>5</v>
      </c>
      <c r="W274" s="14">
        <v>1E-3</v>
      </c>
      <c r="X274" s="14">
        <v>1E-3</v>
      </c>
      <c r="Y274" s="14">
        <v>0.01</v>
      </c>
      <c r="Z274" s="10" t="str">
        <f>IF(AND(D274="TRADING",I274&lt;&gt;"",L274&lt;&gt;"",M274&lt;&gt;"",N274&lt;&gt;"",O274&lt;&gt;""),"Yes","No")</f>
        <v>Yes</v>
      </c>
      <c r="AA274" s="10" t="s">
        <v>56</v>
      </c>
    </row>
    <row r="275" spans="1:27">
      <c r="A275" s="10" t="s">
        <v>540</v>
      </c>
      <c r="B275" s="10" t="s">
        <v>541</v>
      </c>
      <c r="C275" s="10" t="s">
        <v>12</v>
      </c>
      <c r="D275" s="10" t="s">
        <v>55</v>
      </c>
      <c r="E275" s="11" t="b">
        <v>1</v>
      </c>
      <c r="F275" s="12">
        <v>44407</v>
      </c>
      <c r="G275" s="12">
        <v>44407.999999988424</v>
      </c>
      <c r="H275" s="13">
        <f>IF(F275="","",(Summary!$B$5-F275)/365.25)</f>
        <v>5.0103011398205197</v>
      </c>
      <c r="I275" s="14">
        <v>2.7969999999999998E-2</v>
      </c>
      <c r="J275" s="15">
        <v>-2.5099999999999997E-2</v>
      </c>
      <c r="K275" s="16">
        <v>16096831.630000001</v>
      </c>
      <c r="L275" s="16">
        <v>451744.7977922</v>
      </c>
      <c r="M275" s="17">
        <v>7044</v>
      </c>
      <c r="N275" s="14">
        <v>2.7969999999999998E-2</v>
      </c>
      <c r="O275" s="14">
        <v>2.7990000000000001E-2</v>
      </c>
      <c r="P275" s="18">
        <f>IF(OR(N275="",O275="",N275=0,O275=0),"",(O275-N275)/((O275+N275)/2))</f>
        <v>7.1479628305942298E-4</v>
      </c>
      <c r="Q275" s="14">
        <v>2.8064209999999999E-2</v>
      </c>
      <c r="R275" s="14">
        <v>2.9069999999999999E-2</v>
      </c>
      <c r="S275" s="14">
        <v>2.7380000000000002E-2</v>
      </c>
      <c r="T275" s="12">
        <v>46236.01202008102</v>
      </c>
      <c r="U275" s="12">
        <v>46237.01202008102</v>
      </c>
      <c r="V275" s="14">
        <v>5</v>
      </c>
      <c r="W275" s="14">
        <v>0.01</v>
      </c>
      <c r="X275" s="14">
        <v>0.01</v>
      </c>
      <c r="Y275" s="14">
        <v>1.0000000000000001E-5</v>
      </c>
      <c r="Z275" s="10" t="str">
        <f>IF(AND(D275="TRADING",I275&lt;&gt;"",L275&lt;&gt;"",M275&lt;&gt;"",N275&lt;&gt;"",O275&lt;&gt;""),"Yes","No")</f>
        <v>Yes</v>
      </c>
      <c r="AA275" s="10" t="s">
        <v>56</v>
      </c>
    </row>
    <row r="276" spans="1:27">
      <c r="A276" s="10" t="s">
        <v>1269</v>
      </c>
      <c r="B276" s="10" t="s">
        <v>1270</v>
      </c>
      <c r="C276" s="10" t="s">
        <v>12</v>
      </c>
      <c r="D276" s="10" t="s">
        <v>84</v>
      </c>
      <c r="E276" s="11" t="b">
        <v>1</v>
      </c>
      <c r="F276" s="12">
        <v>44414</v>
      </c>
      <c r="G276" s="12">
        <v>44414.999999988424</v>
      </c>
      <c r="H276" s="13">
        <f>IF(F276="","",(Summary!$B$5-F276)/365.25)</f>
        <v>4.9911361843105952</v>
      </c>
      <c r="I276" s="14">
        <v>5.4050000000000001E-2</v>
      </c>
      <c r="J276" s="15">
        <v>3.6999999999999999E-4</v>
      </c>
      <c r="K276" s="16">
        <v>18996930</v>
      </c>
      <c r="L276" s="16">
        <v>1009874.25101</v>
      </c>
      <c r="M276" s="17">
        <v>4001</v>
      </c>
      <c r="N276" s="14">
        <v>0</v>
      </c>
      <c r="O276" s="14">
        <v>0</v>
      </c>
      <c r="P276" s="18" t="str">
        <f>IF(OR(N276="",O276="",N276=0,O276=0),"",(O276-N276)/((O276+N276)/2))</f>
        <v/>
      </c>
      <c r="Q276" s="14">
        <v>5.3159869999999998E-2</v>
      </c>
      <c r="R276" s="14">
        <v>5.4679999999999999E-2</v>
      </c>
      <c r="S276" s="14">
        <v>5.1799999999999999E-2</v>
      </c>
      <c r="T276" s="12">
        <v>46209.261123090277</v>
      </c>
      <c r="U276" s="12">
        <v>46210.261123090277</v>
      </c>
      <c r="V276" s="14">
        <v>5</v>
      </c>
      <c r="W276" s="14">
        <v>1</v>
      </c>
      <c r="X276" s="14">
        <v>1</v>
      </c>
      <c r="Y276" s="14">
        <v>1.0000000000000001E-5</v>
      </c>
      <c r="Z276" s="10" t="str">
        <f>IF(AND(D276="TRADING",I276&lt;&gt;"",L276&lt;&gt;"",M276&lt;&gt;"",N276&lt;&gt;"",O276&lt;&gt;""),"Yes","No")</f>
        <v>No</v>
      </c>
      <c r="AA276" s="10" t="s">
        <v>56</v>
      </c>
    </row>
    <row r="277" spans="1:27">
      <c r="A277" s="10" t="s">
        <v>820</v>
      </c>
      <c r="B277" s="10" t="s">
        <v>821</v>
      </c>
      <c r="C277" s="10" t="s">
        <v>12</v>
      </c>
      <c r="D277" s="10" t="s">
        <v>55</v>
      </c>
      <c r="E277" s="11" t="b">
        <v>1</v>
      </c>
      <c r="F277" s="12">
        <v>44418</v>
      </c>
      <c r="G277" s="12">
        <v>44418.999999988424</v>
      </c>
      <c r="H277" s="13">
        <f>IF(F277="","",(Summary!$B$5-F277)/365.25)</f>
        <v>4.980184781162067</v>
      </c>
      <c r="I277" s="14">
        <v>4.0800000000000003E-2</v>
      </c>
      <c r="J277" s="15">
        <v>4.9300000000000004E-3</v>
      </c>
      <c r="K277" s="16">
        <v>1809764.9</v>
      </c>
      <c r="L277" s="16">
        <v>74259.112980000005</v>
      </c>
      <c r="M277" s="17">
        <v>1049</v>
      </c>
      <c r="N277" s="14">
        <v>4.0800000000000003E-2</v>
      </c>
      <c r="O277" s="14">
        <v>4.0899999999999999E-2</v>
      </c>
      <c r="P277" s="18">
        <f>IF(OR(N277="",O277="",N277=0,O277=0),"",(O277-N277)/((O277+N277)/2))</f>
        <v>2.4479804161565712E-3</v>
      </c>
      <c r="Q277" s="14">
        <v>4.103246E-2</v>
      </c>
      <c r="R277" s="14">
        <v>4.1399999999999999E-2</v>
      </c>
      <c r="S277" s="14">
        <v>4.0500000000000001E-2</v>
      </c>
      <c r="T277" s="12">
        <v>46236.012478784723</v>
      </c>
      <c r="U277" s="12">
        <v>46237.012478784723</v>
      </c>
      <c r="V277" s="14">
        <v>5</v>
      </c>
      <c r="W277" s="14">
        <v>0.1</v>
      </c>
      <c r="X277" s="14">
        <v>0.1</v>
      </c>
      <c r="Y277" s="14">
        <v>1E-4</v>
      </c>
      <c r="Z277" s="10" t="str">
        <f>IF(AND(D277="TRADING",I277&lt;&gt;"",L277&lt;&gt;"",M277&lt;&gt;"",N277&lt;&gt;"",O277&lt;&gt;""),"Yes","No")</f>
        <v>Yes</v>
      </c>
      <c r="AA277" s="10" t="s">
        <v>56</v>
      </c>
    </row>
    <row r="278" spans="1:27">
      <c r="A278" s="10" t="s">
        <v>1046</v>
      </c>
      <c r="B278" s="10" t="s">
        <v>1047</v>
      </c>
      <c r="C278" s="10" t="s">
        <v>12</v>
      </c>
      <c r="D278" s="10" t="s">
        <v>55</v>
      </c>
      <c r="E278" s="11" t="b">
        <v>1</v>
      </c>
      <c r="F278" s="12">
        <v>44418</v>
      </c>
      <c r="G278" s="12">
        <v>44418.999999988424</v>
      </c>
      <c r="H278" s="13">
        <f>IF(F278="","",(Summary!$B$5-F278)/365.25)</f>
        <v>4.980184781162067</v>
      </c>
      <c r="I278" s="14">
        <v>0.61150000000000004</v>
      </c>
      <c r="J278" s="15">
        <v>1.3420000000000001E-2</v>
      </c>
      <c r="K278" s="16">
        <v>322148</v>
      </c>
      <c r="L278" s="16">
        <v>197086.50453999999</v>
      </c>
      <c r="M278" s="17">
        <v>2643</v>
      </c>
      <c r="N278" s="14">
        <v>0.6109</v>
      </c>
      <c r="O278" s="14">
        <v>0.61150000000000004</v>
      </c>
      <c r="P278" s="18">
        <f>IF(OR(N278="",O278="",N278=0,O278=0),"",(O278-N278)/((O278+N278)/2))</f>
        <v>9.8167539267023074E-4</v>
      </c>
      <c r="Q278" s="14">
        <v>0.61178869999999996</v>
      </c>
      <c r="R278" s="14">
        <v>0.61719999999999997</v>
      </c>
      <c r="S278" s="14">
        <v>0.60209999999999997</v>
      </c>
      <c r="T278" s="12">
        <v>46236.012384074071</v>
      </c>
      <c r="U278" s="12">
        <v>46237.012384074071</v>
      </c>
      <c r="V278" s="14">
        <v>5</v>
      </c>
      <c r="W278" s="14">
        <v>0.1</v>
      </c>
      <c r="X278" s="14">
        <v>0.1</v>
      </c>
      <c r="Y278" s="14">
        <v>1E-4</v>
      </c>
      <c r="Z278" s="10" t="str">
        <f>IF(AND(D278="TRADING",I278&lt;&gt;"",L278&lt;&gt;"",M278&lt;&gt;"",N278&lt;&gt;"",O278&lt;&gt;""),"Yes","No")</f>
        <v>Yes</v>
      </c>
      <c r="AA278" s="10" t="s">
        <v>56</v>
      </c>
    </row>
    <row r="279" spans="1:27">
      <c r="A279" s="10" t="s">
        <v>137</v>
      </c>
      <c r="B279" s="10" t="s">
        <v>138</v>
      </c>
      <c r="C279" s="10" t="s">
        <v>12</v>
      </c>
      <c r="D279" s="10" t="s">
        <v>84</v>
      </c>
      <c r="E279" s="11" t="b">
        <v>1</v>
      </c>
      <c r="F279" s="12">
        <v>44419</v>
      </c>
      <c r="G279" s="12">
        <v>44419.999999988424</v>
      </c>
      <c r="H279" s="13">
        <f>IF(F279="","",(Summary!$B$5-F279)/365.25)</f>
        <v>4.9774469303749349</v>
      </c>
      <c r="I279" s="14">
        <v>0.22439999999999999</v>
      </c>
      <c r="J279" s="15">
        <v>-5.3960000000000001E-2</v>
      </c>
      <c r="K279" s="16">
        <v>1179708.8999999999</v>
      </c>
      <c r="L279" s="16">
        <v>274900.36651999998</v>
      </c>
      <c r="M279" s="17">
        <v>4001</v>
      </c>
      <c r="N279" s="14">
        <v>0</v>
      </c>
      <c r="O279" s="14">
        <v>0</v>
      </c>
      <c r="P279" s="18" t="str">
        <f>IF(OR(N279="",O279="",N279=0,O279=0),"",(O279-N279)/((O279+N279)/2))</f>
        <v/>
      </c>
      <c r="Q279" s="14">
        <v>0.23302390000000001</v>
      </c>
      <c r="R279" s="14">
        <v>0.25480000000000003</v>
      </c>
      <c r="S279" s="14">
        <v>0.214</v>
      </c>
      <c r="T279" s="12">
        <v>46209.261123090277</v>
      </c>
      <c r="U279" s="12">
        <v>46210.261123090277</v>
      </c>
      <c r="V279" s="14">
        <v>5</v>
      </c>
      <c r="W279" s="14">
        <v>0.1</v>
      </c>
      <c r="X279" s="14">
        <v>0.1</v>
      </c>
      <c r="Y279" s="14">
        <v>1E-4</v>
      </c>
      <c r="Z279" s="10" t="str">
        <f>IF(AND(D279="TRADING",I279&lt;&gt;"",L279&lt;&gt;"",M279&lt;&gt;"",N279&lt;&gt;"",O279&lt;&gt;""),"Yes","No")</f>
        <v>No</v>
      </c>
      <c r="AA279" s="10" t="s">
        <v>56</v>
      </c>
    </row>
    <row r="280" spans="1:27">
      <c r="A280" s="10" t="s">
        <v>516</v>
      </c>
      <c r="B280" s="10" t="s">
        <v>517</v>
      </c>
      <c r="C280" s="10" t="s">
        <v>12</v>
      </c>
      <c r="D280" s="10" t="s">
        <v>84</v>
      </c>
      <c r="E280" s="11" t="b">
        <v>1</v>
      </c>
      <c r="F280" s="12">
        <v>44419</v>
      </c>
      <c r="G280" s="12">
        <v>44419.999999988424</v>
      </c>
      <c r="H280" s="13">
        <f>IF(F280="","",(Summary!$B$5-F280)/365.25)</f>
        <v>4.9774469303749349</v>
      </c>
      <c r="I280" s="14">
        <v>5.8</v>
      </c>
      <c r="J280" s="15">
        <v>-0.16547000000000001</v>
      </c>
      <c r="K280" s="16">
        <v>46879.394</v>
      </c>
      <c r="L280" s="16">
        <v>303293.40428000002</v>
      </c>
      <c r="M280" s="17">
        <v>8375</v>
      </c>
      <c r="N280" s="14">
        <v>0</v>
      </c>
      <c r="O280" s="14">
        <v>0</v>
      </c>
      <c r="P280" s="18" t="str">
        <f>IF(OR(N280="",O280="",N280=0,O280=0),"",(O280-N280)/((O280+N280)/2))</f>
        <v/>
      </c>
      <c r="Q280" s="14">
        <v>6.4696528300000002</v>
      </c>
      <c r="R280" s="14">
        <v>7.77</v>
      </c>
      <c r="S280" s="14">
        <v>5.49</v>
      </c>
      <c r="T280" s="12">
        <v>46209.261123090277</v>
      </c>
      <c r="U280" s="12">
        <v>46210.261123090277</v>
      </c>
      <c r="V280" s="14">
        <v>5</v>
      </c>
      <c r="W280" s="14">
        <v>1E-3</v>
      </c>
      <c r="X280" s="14">
        <v>1E-3</v>
      </c>
      <c r="Y280" s="14">
        <v>0.01</v>
      </c>
      <c r="Z280" s="10" t="str">
        <f>IF(AND(D280="TRADING",I280&lt;&gt;"",L280&lt;&gt;"",M280&lt;&gt;"",N280&lt;&gt;"",O280&lt;&gt;""),"Yes","No")</f>
        <v>No</v>
      </c>
      <c r="AA280" s="10" t="s">
        <v>56</v>
      </c>
    </row>
    <row r="281" spans="1:27">
      <c r="A281" s="10" t="s">
        <v>1038</v>
      </c>
      <c r="B281" s="10" t="s">
        <v>1039</v>
      </c>
      <c r="C281" s="10" t="s">
        <v>12</v>
      </c>
      <c r="D281" s="10" t="s">
        <v>55</v>
      </c>
      <c r="E281" s="11" t="b">
        <v>1</v>
      </c>
      <c r="F281" s="12">
        <v>44421</v>
      </c>
      <c r="G281" s="12">
        <v>44421.999999988424</v>
      </c>
      <c r="H281" s="13">
        <f>IF(F281="","",(Summary!$B$5-F281)/365.25)</f>
        <v>4.9719712288006708</v>
      </c>
      <c r="I281" s="14">
        <v>8.0099999999999998E-3</v>
      </c>
      <c r="J281" s="15">
        <v>6.28E-3</v>
      </c>
      <c r="K281" s="16">
        <v>7553267</v>
      </c>
      <c r="L281" s="16">
        <v>59995.436950000003</v>
      </c>
      <c r="M281" s="17">
        <v>1732</v>
      </c>
      <c r="N281" s="14">
        <v>7.9900000000000006E-3</v>
      </c>
      <c r="O281" s="14">
        <v>8.0300000000000007E-3</v>
      </c>
      <c r="P281" s="18">
        <f>IF(OR(N281="",O281="",N281=0,O281=0),"",(O281-N281)/((O281+N281)/2))</f>
        <v>4.9937578027465799E-3</v>
      </c>
      <c r="Q281" s="14">
        <v>7.9429800000000005E-3</v>
      </c>
      <c r="R281" s="14">
        <v>8.2100000000000003E-3</v>
      </c>
      <c r="S281" s="14">
        <v>7.7799999999999996E-3</v>
      </c>
      <c r="T281" s="12">
        <v>46236.012298148147</v>
      </c>
      <c r="U281" s="12">
        <v>46237.012298148147</v>
      </c>
      <c r="V281" s="14">
        <v>5</v>
      </c>
      <c r="W281" s="14">
        <v>1</v>
      </c>
      <c r="X281" s="14">
        <v>1</v>
      </c>
      <c r="Y281" s="14">
        <v>1.0000000000000001E-5</v>
      </c>
      <c r="Z281" s="10" t="str">
        <f>IF(AND(D281="TRADING",I281&lt;&gt;"",L281&lt;&gt;"",M281&lt;&gt;"",N281&lt;&gt;"",O281&lt;&gt;""),"Yes","No")</f>
        <v>Yes</v>
      </c>
      <c r="AA281" s="10" t="s">
        <v>56</v>
      </c>
    </row>
    <row r="282" spans="1:27">
      <c r="A282" s="10" t="s">
        <v>796</v>
      </c>
      <c r="B282" s="10" t="s">
        <v>797</v>
      </c>
      <c r="C282" s="10" t="s">
        <v>12</v>
      </c>
      <c r="D282" s="10" t="s">
        <v>84</v>
      </c>
      <c r="E282" s="11" t="b">
        <v>1</v>
      </c>
      <c r="F282" s="12">
        <v>44427</v>
      </c>
      <c r="G282" s="12">
        <v>44427.999999988424</v>
      </c>
      <c r="H282" s="13">
        <f>IF(F282="","",(Summary!$B$5-F282)/365.25)</f>
        <v>4.9555441240778784</v>
      </c>
      <c r="I282" s="14">
        <v>2.0999999999999999E-3</v>
      </c>
      <c r="J282" s="15">
        <v>-0.34375</v>
      </c>
      <c r="K282" s="16">
        <v>343000107.69999999</v>
      </c>
      <c r="L282" s="16">
        <v>861110.69984000002</v>
      </c>
      <c r="M282" s="17">
        <v>7761</v>
      </c>
      <c r="N282" s="14">
        <v>0</v>
      </c>
      <c r="O282" s="14">
        <v>0</v>
      </c>
      <c r="P282" s="18" t="str">
        <f>IF(OR(N282="",O282="",N282=0,O282=0),"",(O282-N282)/((O282+N282)/2))</f>
        <v/>
      </c>
      <c r="Q282" s="14">
        <v>2.51053E-3</v>
      </c>
      <c r="R282" s="14">
        <v>3.5000000000000001E-3</v>
      </c>
      <c r="S282" s="14">
        <v>1.6000000000000001E-3</v>
      </c>
      <c r="T282" s="12">
        <v>46209.261123090277</v>
      </c>
      <c r="U282" s="12">
        <v>46210.261123090277</v>
      </c>
      <c r="V282" s="14">
        <v>5</v>
      </c>
      <c r="W282" s="14">
        <v>0.1</v>
      </c>
      <c r="X282" s="14">
        <v>0.1</v>
      </c>
      <c r="Y282" s="14">
        <v>1E-4</v>
      </c>
      <c r="Z282" s="10" t="str">
        <f>IF(AND(D282="TRADING",I282&lt;&gt;"",L282&lt;&gt;"",M282&lt;&gt;"",N282&lt;&gt;"",O282&lt;&gt;""),"Yes","No")</f>
        <v>No</v>
      </c>
      <c r="AA282" s="10" t="s">
        <v>56</v>
      </c>
    </row>
    <row r="283" spans="1:27">
      <c r="A283" s="10" t="s">
        <v>550</v>
      </c>
      <c r="B283" s="10" t="s">
        <v>551</v>
      </c>
      <c r="C283" s="10" t="s">
        <v>12</v>
      </c>
      <c r="D283" s="10" t="s">
        <v>84</v>
      </c>
      <c r="E283" s="11" t="b">
        <v>1</v>
      </c>
      <c r="F283" s="12">
        <v>44428</v>
      </c>
      <c r="G283" s="12">
        <v>44428.999999988424</v>
      </c>
      <c r="H283" s="13">
        <f>IF(F283="","",(Summary!$B$5-F283)/365.25)</f>
        <v>4.9528062732907463</v>
      </c>
      <c r="I283" s="14">
        <v>3.0599999999999998E-3</v>
      </c>
      <c r="J283" s="15">
        <v>-0.16847999999999999</v>
      </c>
      <c r="K283" s="16">
        <v>112283124</v>
      </c>
      <c r="L283" s="16">
        <v>369393.67525999999</v>
      </c>
      <c r="M283" s="17">
        <v>4001</v>
      </c>
      <c r="N283" s="14">
        <v>0</v>
      </c>
      <c r="O283" s="14">
        <v>0</v>
      </c>
      <c r="P283" s="18" t="str">
        <f>IF(OR(N283="",O283="",N283=0,O283=0),"",(O283-N283)/((O283+N283)/2))</f>
        <v/>
      </c>
      <c r="Q283" s="14">
        <v>3.28984E-3</v>
      </c>
      <c r="R283" s="14">
        <v>3.7200000000000002E-3</v>
      </c>
      <c r="S283" s="14">
        <v>3.0000000000000001E-3</v>
      </c>
      <c r="T283" s="12">
        <v>46209.261123090277</v>
      </c>
      <c r="U283" s="12">
        <v>46210.261123090277</v>
      </c>
      <c r="V283" s="14">
        <v>5</v>
      </c>
      <c r="W283" s="14">
        <v>1</v>
      </c>
      <c r="X283" s="14">
        <v>1</v>
      </c>
      <c r="Y283" s="14">
        <v>1.0000000000000001E-5</v>
      </c>
      <c r="Z283" s="10" t="str">
        <f>IF(AND(D283="TRADING",I283&lt;&gt;"",L283&lt;&gt;"",M283&lt;&gt;"",N283&lt;&gt;"",O283&lt;&gt;""),"Yes","No")</f>
        <v>No</v>
      </c>
      <c r="AA283" s="10" t="s">
        <v>56</v>
      </c>
    </row>
    <row r="284" spans="1:27">
      <c r="A284" s="10" t="s">
        <v>578</v>
      </c>
      <c r="B284" s="10" t="s">
        <v>579</v>
      </c>
      <c r="C284" s="10" t="s">
        <v>12</v>
      </c>
      <c r="D284" s="10" t="s">
        <v>84</v>
      </c>
      <c r="E284" s="11" t="b">
        <v>1</v>
      </c>
      <c r="F284" s="12">
        <v>44428</v>
      </c>
      <c r="G284" s="12">
        <v>44428.999999988424</v>
      </c>
      <c r="H284" s="13">
        <f>IF(F284="","",(Summary!$B$5-F284)/365.25)</f>
        <v>4.9528062732907463</v>
      </c>
      <c r="I284" s="14">
        <v>0.108</v>
      </c>
      <c r="J284" s="15">
        <v>0</v>
      </c>
      <c r="K284" s="16">
        <v>1012047</v>
      </c>
      <c r="L284" s="16">
        <v>108841.868</v>
      </c>
      <c r="M284" s="17">
        <v>4001</v>
      </c>
      <c r="N284" s="14">
        <v>0</v>
      </c>
      <c r="O284" s="14">
        <v>0</v>
      </c>
      <c r="P284" s="18" t="str">
        <f>IF(OR(N284="",O284="",N284=0,O284=0),"",(O284-N284)/((O284+N284)/2))</f>
        <v/>
      </c>
      <c r="Q284" s="14">
        <v>0.10754626</v>
      </c>
      <c r="R284" s="14">
        <v>0.114</v>
      </c>
      <c r="S284" s="14">
        <v>0.10299999999999999</v>
      </c>
      <c r="T284" s="12">
        <v>46209.261123090277</v>
      </c>
      <c r="U284" s="12">
        <v>46210.261123090277</v>
      </c>
      <c r="V284" s="14">
        <v>5</v>
      </c>
      <c r="W284" s="14">
        <v>0.1</v>
      </c>
      <c r="X284" s="14">
        <v>0.1</v>
      </c>
      <c r="Y284" s="14">
        <v>1E-3</v>
      </c>
      <c r="Z284" s="10" t="str">
        <f>IF(AND(D284="TRADING",I284&lt;&gt;"",L284&lt;&gt;"",M284&lt;&gt;"",N284&lt;&gt;"",O284&lt;&gt;""),"Yes","No")</f>
        <v>No</v>
      </c>
      <c r="AA284" s="10" t="s">
        <v>56</v>
      </c>
    </row>
    <row r="285" spans="1:27">
      <c r="A285" s="10" t="s">
        <v>1062</v>
      </c>
      <c r="B285" s="10" t="s">
        <v>1063</v>
      </c>
      <c r="C285" s="10" t="s">
        <v>12</v>
      </c>
      <c r="D285" s="10" t="s">
        <v>55</v>
      </c>
      <c r="E285" s="11" t="b">
        <v>1</v>
      </c>
      <c r="F285" s="12">
        <v>44428</v>
      </c>
      <c r="G285" s="12">
        <v>44428.999999988424</v>
      </c>
      <c r="H285" s="13">
        <f>IF(F285="","",(Summary!$B$5-F285)/365.25)</f>
        <v>4.9528062732907463</v>
      </c>
      <c r="I285" s="14">
        <v>5.0599999999999999E-2</v>
      </c>
      <c r="J285" s="15">
        <v>-3.9399999999999999E-3</v>
      </c>
      <c r="K285" s="16">
        <v>2402861</v>
      </c>
      <c r="L285" s="16">
        <v>122168.933</v>
      </c>
      <c r="M285" s="17">
        <v>2887</v>
      </c>
      <c r="N285" s="14">
        <v>5.0500000000000003E-2</v>
      </c>
      <c r="O285" s="14">
        <v>5.0599999999999999E-2</v>
      </c>
      <c r="P285" s="18">
        <f>IF(OR(N285="",O285="",N285=0,O285=0),"",(O285-N285)/((O285+N285)/2))</f>
        <v>1.9782393669633223E-3</v>
      </c>
      <c r="Q285" s="14">
        <v>5.0843109999999997E-2</v>
      </c>
      <c r="R285" s="14">
        <v>5.1999999999999998E-2</v>
      </c>
      <c r="S285" s="14">
        <v>5.0299999999999997E-2</v>
      </c>
      <c r="T285" s="12">
        <v>46236.012193935188</v>
      </c>
      <c r="U285" s="12">
        <v>46237.012193935188</v>
      </c>
      <c r="V285" s="14">
        <v>5</v>
      </c>
      <c r="W285" s="14">
        <v>1</v>
      </c>
      <c r="X285" s="14">
        <v>1</v>
      </c>
      <c r="Y285" s="14">
        <v>1E-4</v>
      </c>
      <c r="Z285" s="10" t="str">
        <f>IF(AND(D285="TRADING",I285&lt;&gt;"",L285&lt;&gt;"",M285&lt;&gt;"",N285&lt;&gt;"",O285&lt;&gt;""),"Yes","No")</f>
        <v>Yes</v>
      </c>
      <c r="AA285" s="10" t="s">
        <v>56</v>
      </c>
    </row>
    <row r="286" spans="1:27">
      <c r="A286" s="10" t="s">
        <v>1335</v>
      </c>
      <c r="B286" s="10" t="s">
        <v>1336</v>
      </c>
      <c r="C286" s="10" t="s">
        <v>12</v>
      </c>
      <c r="D286" s="10" t="s">
        <v>55</v>
      </c>
      <c r="E286" s="11" t="b">
        <v>1</v>
      </c>
      <c r="F286" s="12">
        <v>44431</v>
      </c>
      <c r="G286" s="12">
        <v>44431.999999988424</v>
      </c>
      <c r="H286" s="13">
        <f>IF(F286="","",(Summary!$B$5-F286)/365.25)</f>
        <v>4.9445927209293501</v>
      </c>
      <c r="I286" s="14">
        <v>3.7399999999999998E-3</v>
      </c>
      <c r="J286" s="15">
        <v>-7.9600000000000001E-3</v>
      </c>
      <c r="K286" s="16">
        <v>16539858</v>
      </c>
      <c r="L286" s="16">
        <v>62030.616150000002</v>
      </c>
      <c r="M286" s="17">
        <v>1117</v>
      </c>
      <c r="N286" s="14">
        <v>3.7299999999999998E-3</v>
      </c>
      <c r="O286" s="14">
        <v>3.7399999999999998E-3</v>
      </c>
      <c r="P286" s="18">
        <f>IF(OR(N286="",O286="",N286=0,O286=0),"",(O286-N286)/((O286+N286)/2))</f>
        <v>2.6773761713520822E-3</v>
      </c>
      <c r="Q286" s="14">
        <v>3.7503699999999998E-3</v>
      </c>
      <c r="R286" s="14">
        <v>3.81E-3</v>
      </c>
      <c r="S286" s="14">
        <v>3.7200000000000002E-3</v>
      </c>
      <c r="T286" s="12">
        <v>46236.012280682873</v>
      </c>
      <c r="U286" s="12">
        <v>46237.012280682873</v>
      </c>
      <c r="V286" s="14">
        <v>5</v>
      </c>
      <c r="W286" s="14">
        <v>1</v>
      </c>
      <c r="X286" s="14">
        <v>1</v>
      </c>
      <c r="Y286" s="14">
        <v>1.0000000000000001E-5</v>
      </c>
      <c r="Z286" s="10" t="str">
        <f>IF(AND(D286="TRADING",I286&lt;&gt;"",L286&lt;&gt;"",M286&lt;&gt;"",N286&lt;&gt;"",O286&lt;&gt;""),"Yes","No")</f>
        <v>Yes</v>
      </c>
      <c r="AA286" s="10" t="s">
        <v>56</v>
      </c>
    </row>
    <row r="287" spans="1:27">
      <c r="A287" s="10" t="s">
        <v>1243</v>
      </c>
      <c r="B287" s="10" t="s">
        <v>1244</v>
      </c>
      <c r="C287" s="10" t="s">
        <v>12</v>
      </c>
      <c r="D287" s="10" t="s">
        <v>84</v>
      </c>
      <c r="E287" s="11" t="b">
        <v>1</v>
      </c>
      <c r="F287" s="12">
        <v>44432</v>
      </c>
      <c r="G287" s="12">
        <v>44432.999999988424</v>
      </c>
      <c r="H287" s="13">
        <f>IF(F287="","",(Summary!$B$5-F287)/365.25)</f>
        <v>4.9418548701422171</v>
      </c>
      <c r="I287" s="14">
        <v>0.20180000000000001</v>
      </c>
      <c r="J287" s="15">
        <v>-2.47E-3</v>
      </c>
      <c r="K287" s="16">
        <v>2401137</v>
      </c>
      <c r="L287" s="16">
        <v>485272.65500000003</v>
      </c>
      <c r="M287" s="17">
        <v>4000</v>
      </c>
      <c r="N287" s="14">
        <v>0</v>
      </c>
      <c r="O287" s="14">
        <v>0</v>
      </c>
      <c r="P287" s="18" t="str">
        <f>IF(OR(N287="",O287="",N287=0,O287=0),"",(O287-N287)/((O287+N287)/2))</f>
        <v/>
      </c>
      <c r="Q287" s="14">
        <v>0.20210118999999999</v>
      </c>
      <c r="R287" s="14">
        <v>0.20849999999999999</v>
      </c>
      <c r="S287" s="14">
        <v>0.19700000000000001</v>
      </c>
      <c r="T287" s="12">
        <v>46209.261123090277</v>
      </c>
      <c r="U287" s="12">
        <v>46210.261123090277</v>
      </c>
      <c r="V287" s="14">
        <v>10</v>
      </c>
      <c r="W287" s="14">
        <v>1</v>
      </c>
      <c r="X287" s="14">
        <v>1</v>
      </c>
      <c r="Y287" s="14">
        <v>1E-4</v>
      </c>
      <c r="Z287" s="10" t="str">
        <f>IF(AND(D287="TRADING",I287&lt;&gt;"",L287&lt;&gt;"",M287&lt;&gt;"",N287&lt;&gt;"",O287&lt;&gt;""),"Yes","No")</f>
        <v>No</v>
      </c>
      <c r="AA287" s="10" t="s">
        <v>56</v>
      </c>
    </row>
    <row r="288" spans="1:27">
      <c r="A288" s="10" t="s">
        <v>592</v>
      </c>
      <c r="B288" s="10" t="s">
        <v>593</v>
      </c>
      <c r="C288" s="10" t="s">
        <v>12</v>
      </c>
      <c r="D288" s="10" t="s">
        <v>55</v>
      </c>
      <c r="E288" s="11" t="b">
        <v>1</v>
      </c>
      <c r="F288" s="12">
        <v>44438</v>
      </c>
      <c r="G288" s="12">
        <v>44438.999999988424</v>
      </c>
      <c r="H288" s="13">
        <f>IF(F288="","",(Summary!$B$5-F288)/365.25)</f>
        <v>4.9254277654194247</v>
      </c>
      <c r="I288" s="14">
        <v>104.95</v>
      </c>
      <c r="J288" s="15">
        <v>1.5969999999999998E-2</v>
      </c>
      <c r="K288" s="16">
        <v>745.28</v>
      </c>
      <c r="L288" s="16">
        <v>77912.508679999999</v>
      </c>
      <c r="M288" s="17">
        <v>1949</v>
      </c>
      <c r="N288" s="14">
        <v>104.72</v>
      </c>
      <c r="O288" s="14">
        <v>104.95</v>
      </c>
      <c r="P288" s="18">
        <f>IF(OR(N288="",O288="",N288=0,O288=0),"",(O288-N288)/((O288+N288)/2))</f>
        <v>2.1939237849955069E-3</v>
      </c>
      <c r="Q288" s="14">
        <v>104.54125789</v>
      </c>
      <c r="R288" s="14">
        <v>106.03</v>
      </c>
      <c r="S288" s="14">
        <v>102.98</v>
      </c>
      <c r="T288" s="12">
        <v>46236.011997685186</v>
      </c>
      <c r="U288" s="12">
        <v>46237.011997685186</v>
      </c>
      <c r="V288" s="14">
        <v>5</v>
      </c>
      <c r="W288" s="14">
        <v>1E-3</v>
      </c>
      <c r="X288" s="14">
        <v>1E-3</v>
      </c>
      <c r="Y288" s="14">
        <v>0.01</v>
      </c>
      <c r="Z288" s="10" t="str">
        <f>IF(AND(D288="TRADING",I288&lt;&gt;"",L288&lt;&gt;"",M288&lt;&gt;"",N288&lt;&gt;"",O288&lt;&gt;""),"Yes","No")</f>
        <v>Yes</v>
      </c>
      <c r="AA288" s="10" t="s">
        <v>56</v>
      </c>
    </row>
    <row r="289" spans="1:27">
      <c r="A289" s="10" t="s">
        <v>1369</v>
      </c>
      <c r="B289" s="10" t="s">
        <v>1370</v>
      </c>
      <c r="C289" s="10" t="s">
        <v>12</v>
      </c>
      <c r="D289" s="10" t="s">
        <v>55</v>
      </c>
      <c r="E289" s="11" t="b">
        <v>1</v>
      </c>
      <c r="F289" s="12">
        <v>44442</v>
      </c>
      <c r="G289" s="12">
        <v>44442.999999988424</v>
      </c>
      <c r="H289" s="13">
        <f>IF(F289="","",(Summary!$B$5-F289)/365.25)</f>
        <v>4.9144763622708965</v>
      </c>
      <c r="I289" s="14">
        <v>6.8499999999999996E-6</v>
      </c>
      <c r="J289" s="15">
        <v>2.8530000000000003E-2</v>
      </c>
      <c r="K289" s="16">
        <v>142766446477</v>
      </c>
      <c r="L289" s="16">
        <v>978356.75846407004</v>
      </c>
      <c r="M289" s="17">
        <v>7832</v>
      </c>
      <c r="N289" s="14">
        <v>6.8399999999999997E-6</v>
      </c>
      <c r="O289" s="14">
        <v>6.8499999999999996E-6</v>
      </c>
      <c r="P289" s="18">
        <f>IF(OR(N289="",O289="",N289=0,O289=0),"",(O289-N289)/((O289+N289)/2))</f>
        <v>1.4609203798392849E-3</v>
      </c>
      <c r="Q289" s="14">
        <v>6.8499999999999996E-6</v>
      </c>
      <c r="R289" s="14">
        <v>7.2699999999999999E-6</v>
      </c>
      <c r="S289" s="14">
        <v>6.63E-6</v>
      </c>
      <c r="T289" s="12">
        <v>46236.012448611109</v>
      </c>
      <c r="U289" s="12">
        <v>46237.012448611109</v>
      </c>
      <c r="V289" s="14">
        <v>5</v>
      </c>
      <c r="W289" s="14">
        <v>1</v>
      </c>
      <c r="X289" s="14">
        <v>1</v>
      </c>
      <c r="Y289" s="14">
        <v>1E-8</v>
      </c>
      <c r="Z289" s="10" t="str">
        <f>IF(AND(D289="TRADING",I289&lt;&gt;"",L289&lt;&gt;"",M289&lt;&gt;"",N289&lt;&gt;"",O289&lt;&gt;""),"Yes","No")</f>
        <v>Yes</v>
      </c>
      <c r="AA289" s="10" t="s">
        <v>56</v>
      </c>
    </row>
    <row r="290" spans="1:27">
      <c r="A290" s="10" t="s">
        <v>469</v>
      </c>
      <c r="B290" s="10" t="s">
        <v>470</v>
      </c>
      <c r="C290" s="10" t="s">
        <v>12</v>
      </c>
      <c r="D290" s="10" t="s">
        <v>84</v>
      </c>
      <c r="E290" s="11" t="b">
        <v>1</v>
      </c>
      <c r="F290" s="12">
        <v>44447</v>
      </c>
      <c r="G290" s="12">
        <v>44447.999999988424</v>
      </c>
      <c r="H290" s="13">
        <f>IF(F290="","",(Summary!$B$5-F290)/365.25)</f>
        <v>4.9007871083352361</v>
      </c>
      <c r="I290" s="14">
        <v>0.22720000000000001</v>
      </c>
      <c r="J290" s="15">
        <v>8.811999999999999E-2</v>
      </c>
      <c r="K290" s="16">
        <v>2922677.5</v>
      </c>
      <c r="L290" s="16">
        <v>636799.68007999996</v>
      </c>
      <c r="M290" s="17">
        <v>4001</v>
      </c>
      <c r="N290" s="14">
        <v>0</v>
      </c>
      <c r="O290" s="14">
        <v>0</v>
      </c>
      <c r="P290" s="18" t="str">
        <f>IF(OR(N290="",O290="",N290=0,O290=0),"",(O290-N290)/((O290+N290)/2))</f>
        <v/>
      </c>
      <c r="Q290" s="14">
        <v>0.21788229000000001</v>
      </c>
      <c r="R290" s="14">
        <v>0.2374</v>
      </c>
      <c r="S290" s="14">
        <v>0.20300000000000001</v>
      </c>
      <c r="T290" s="12">
        <v>46209.261123090277</v>
      </c>
      <c r="U290" s="12">
        <v>46210.261123090277</v>
      </c>
      <c r="V290" s="14">
        <v>5</v>
      </c>
      <c r="W290" s="14">
        <v>0.1</v>
      </c>
      <c r="X290" s="14">
        <v>0.1</v>
      </c>
      <c r="Y290" s="14">
        <v>1E-4</v>
      </c>
      <c r="Z290" s="10" t="str">
        <f>IF(AND(D290="TRADING",I290&lt;&gt;"",L290&lt;&gt;"",M290&lt;&gt;"",N290&lt;&gt;"",O290&lt;&gt;""),"Yes","No")</f>
        <v>No</v>
      </c>
      <c r="AA290" s="10" t="s">
        <v>56</v>
      </c>
    </row>
    <row r="291" spans="1:27">
      <c r="A291" s="10" t="s">
        <v>457</v>
      </c>
      <c r="B291" s="10" t="s">
        <v>458</v>
      </c>
      <c r="C291" s="10" t="s">
        <v>12</v>
      </c>
      <c r="D291" s="10" t="s">
        <v>55</v>
      </c>
      <c r="E291" s="11" t="b">
        <v>1</v>
      </c>
      <c r="F291" s="12">
        <v>44448</v>
      </c>
      <c r="G291" s="12">
        <v>44448.999999988424</v>
      </c>
      <c r="H291" s="13">
        <f>IF(F291="","",(Summary!$B$5-F291)/365.25)</f>
        <v>4.8980492575481041</v>
      </c>
      <c r="I291" s="14">
        <v>0.11211</v>
      </c>
      <c r="J291" s="15">
        <v>-2.181E-2</v>
      </c>
      <c r="K291" s="16">
        <v>2146562.36</v>
      </c>
      <c r="L291" s="16">
        <v>243812.32848</v>
      </c>
      <c r="M291" s="17">
        <v>4441</v>
      </c>
      <c r="N291" s="14">
        <v>0.11208</v>
      </c>
      <c r="O291" s="14">
        <v>0.11212999999999999</v>
      </c>
      <c r="P291" s="18">
        <f>IF(OR(N291="",O291="",N291=0,O291=0),"",(O291-N291)/((O291+N291)/2))</f>
        <v>4.4601043664416835E-4</v>
      </c>
      <c r="Q291" s="14">
        <v>0.11358269</v>
      </c>
      <c r="R291" s="14">
        <v>0.11616</v>
      </c>
      <c r="S291" s="14">
        <v>0.11168</v>
      </c>
      <c r="T291" s="12">
        <v>46236.012252442131</v>
      </c>
      <c r="U291" s="12">
        <v>46237.012252442131</v>
      </c>
      <c r="V291" s="14">
        <v>5</v>
      </c>
      <c r="W291" s="14">
        <v>0.01</v>
      </c>
      <c r="X291" s="14">
        <v>0.01</v>
      </c>
      <c r="Y291" s="14">
        <v>1.0000000000000001E-5</v>
      </c>
      <c r="Z291" s="10" t="str">
        <f>IF(AND(D291="TRADING",I291&lt;&gt;"",L291&lt;&gt;"",M291&lt;&gt;"",N291&lt;&gt;"",O291&lt;&gt;""),"Yes","No")</f>
        <v>Yes</v>
      </c>
      <c r="AA291" s="10" t="s">
        <v>56</v>
      </c>
    </row>
    <row r="292" spans="1:27">
      <c r="A292" s="10" t="s">
        <v>660</v>
      </c>
      <c r="B292" s="10" t="s">
        <v>661</v>
      </c>
      <c r="C292" s="10" t="s">
        <v>12</v>
      </c>
      <c r="D292" s="10" t="s">
        <v>84</v>
      </c>
      <c r="E292" s="11" t="b">
        <v>1</v>
      </c>
      <c r="F292" s="12">
        <v>44448</v>
      </c>
      <c r="G292" s="12">
        <v>44448.999999988424</v>
      </c>
      <c r="H292" s="13">
        <f>IF(F292="","",(Summary!$B$5-F292)/365.25)</f>
        <v>4.8980492575481041</v>
      </c>
      <c r="I292" s="14">
        <v>1.99E-3</v>
      </c>
      <c r="J292" s="15">
        <v>-0.30175000000000002</v>
      </c>
      <c r="K292" s="16">
        <v>164208495.69999999</v>
      </c>
      <c r="L292" s="16">
        <v>401259.06731700001</v>
      </c>
      <c r="M292" s="17">
        <v>13784</v>
      </c>
      <c r="N292" s="14">
        <v>0</v>
      </c>
      <c r="O292" s="14">
        <v>0</v>
      </c>
      <c r="P292" s="18" t="str">
        <f>IF(OR(N292="",O292="",N292=0,O292=0),"",(O292-N292)/((O292+N292)/2))</f>
        <v/>
      </c>
      <c r="Q292" s="14">
        <v>2.4436000000000002E-3</v>
      </c>
      <c r="R292" s="14">
        <v>2.9099999999999998E-3</v>
      </c>
      <c r="S292" s="14">
        <v>1.99E-3</v>
      </c>
      <c r="T292" s="12">
        <v>46209.261123090277</v>
      </c>
      <c r="U292" s="12">
        <v>46210.261123090277</v>
      </c>
      <c r="V292" s="14">
        <v>5</v>
      </c>
      <c r="W292" s="14">
        <v>0.1</v>
      </c>
      <c r="X292" s="14">
        <v>0.1</v>
      </c>
      <c r="Y292" s="14">
        <v>1.0000000000000001E-5</v>
      </c>
      <c r="Z292" s="10" t="str">
        <f>IF(AND(D292="TRADING",I292&lt;&gt;"",L292&lt;&gt;"",M292&lt;&gt;"",N292&lt;&gt;"",O292&lt;&gt;""),"Yes","No")</f>
        <v>No</v>
      </c>
      <c r="AA292" s="10" t="s">
        <v>56</v>
      </c>
    </row>
    <row r="293" spans="1:27">
      <c r="A293" s="10" t="s">
        <v>994</v>
      </c>
      <c r="B293" s="10" t="s">
        <v>995</v>
      </c>
      <c r="C293" s="10" t="s">
        <v>12</v>
      </c>
      <c r="D293" s="10" t="s">
        <v>84</v>
      </c>
      <c r="E293" s="11" t="b">
        <v>1</v>
      </c>
      <c r="F293" s="12">
        <v>44448</v>
      </c>
      <c r="G293" s="12">
        <v>44448.999999988424</v>
      </c>
      <c r="H293" s="13">
        <f>IF(F293="","",(Summary!$B$5-F293)/365.25)</f>
        <v>4.8980492575481041</v>
      </c>
      <c r="I293" s="14">
        <v>0.26960000000000001</v>
      </c>
      <c r="J293" s="15">
        <v>5.2199999999999998E-3</v>
      </c>
      <c r="K293" s="16">
        <v>5552157.0999999996</v>
      </c>
      <c r="L293" s="16">
        <v>1490337.7875300001</v>
      </c>
      <c r="M293" s="17">
        <v>4001</v>
      </c>
      <c r="N293" s="14">
        <v>0</v>
      </c>
      <c r="O293" s="14">
        <v>0</v>
      </c>
      <c r="P293" s="18" t="str">
        <f>IF(OR(N293="",O293="",N293=0,O293=0),"",(O293-N293)/((O293+N293)/2))</f>
        <v/>
      </c>
      <c r="Q293" s="14">
        <v>0.26842500000000002</v>
      </c>
      <c r="R293" s="14">
        <v>0.27300000000000002</v>
      </c>
      <c r="S293" s="14">
        <v>0.26369999999999999</v>
      </c>
      <c r="T293" s="12">
        <v>46209.261123090277</v>
      </c>
      <c r="U293" s="12">
        <v>46210.261123090277</v>
      </c>
      <c r="V293" s="14">
        <v>10</v>
      </c>
      <c r="W293" s="14">
        <v>0.1</v>
      </c>
      <c r="X293" s="14">
        <v>0.1</v>
      </c>
      <c r="Y293" s="14">
        <v>1E-4</v>
      </c>
      <c r="Z293" s="10" t="str">
        <f>IF(AND(D293="TRADING",I293&lt;&gt;"",L293&lt;&gt;"",M293&lt;&gt;"",N293&lt;&gt;"",O293&lt;&gt;""),"Yes","No")</f>
        <v>No</v>
      </c>
      <c r="AA293" s="10" t="s">
        <v>56</v>
      </c>
    </row>
    <row r="294" spans="1:27">
      <c r="A294" s="10" t="s">
        <v>1319</v>
      </c>
      <c r="B294" s="10" t="s">
        <v>1320</v>
      </c>
      <c r="C294" s="10" t="s">
        <v>12</v>
      </c>
      <c r="D294" s="10" t="s">
        <v>84</v>
      </c>
      <c r="E294" s="11" t="b">
        <v>1</v>
      </c>
      <c r="F294" s="12">
        <v>44448</v>
      </c>
      <c r="G294" s="12">
        <v>44448.999999988424</v>
      </c>
      <c r="H294" s="13">
        <f>IF(F294="","",(Summary!$B$5-F294)/365.25)</f>
        <v>4.8980492575481041</v>
      </c>
      <c r="I294" s="14">
        <v>1.15E-3</v>
      </c>
      <c r="J294" s="15">
        <v>-0.19014</v>
      </c>
      <c r="K294" s="16">
        <v>148266713</v>
      </c>
      <c r="L294" s="16">
        <v>183519.31426000001</v>
      </c>
      <c r="M294" s="17">
        <v>4001</v>
      </c>
      <c r="N294" s="14">
        <v>0</v>
      </c>
      <c r="O294" s="14">
        <v>0</v>
      </c>
      <c r="P294" s="18" t="str">
        <f>IF(OR(N294="",O294="",N294=0,O294=0),"",(O294-N294)/((O294+N294)/2))</f>
        <v/>
      </c>
      <c r="Q294" s="14">
        <v>1.2377600000000001E-3</v>
      </c>
      <c r="R294" s="14">
        <v>1.5100000000000001E-3</v>
      </c>
      <c r="S294" s="14">
        <v>1.0499999999999999E-3</v>
      </c>
      <c r="T294" s="12">
        <v>46209.261123090277</v>
      </c>
      <c r="U294" s="12">
        <v>46210.261123090277</v>
      </c>
      <c r="V294" s="14">
        <v>5</v>
      </c>
      <c r="W294" s="14">
        <v>1</v>
      </c>
      <c r="X294" s="14">
        <v>1</v>
      </c>
      <c r="Y294" s="14">
        <v>1.0000000000000001E-5</v>
      </c>
      <c r="Z294" s="10" t="str">
        <f>IF(AND(D294="TRADING",I294&lt;&gt;"",L294&lt;&gt;"",M294&lt;&gt;"",N294&lt;&gt;"",O294&lt;&gt;""),"Yes","No")</f>
        <v>No</v>
      </c>
      <c r="AA294" s="10" t="s">
        <v>56</v>
      </c>
    </row>
    <row r="295" spans="1:27">
      <c r="A295" s="10" t="s">
        <v>1286</v>
      </c>
      <c r="B295" s="10" t="s">
        <v>1287</v>
      </c>
      <c r="C295" s="10" t="s">
        <v>12</v>
      </c>
      <c r="D295" s="10" t="s">
        <v>55</v>
      </c>
      <c r="E295" s="11" t="b">
        <v>1</v>
      </c>
      <c r="F295" s="12">
        <v>44449</v>
      </c>
      <c r="G295" s="12">
        <v>44449.999999988424</v>
      </c>
      <c r="H295" s="13">
        <f>IF(F295="","",(Summary!$B$5-F295)/365.25)</f>
        <v>4.895311406760972</v>
      </c>
      <c r="I295" s="14">
        <v>1.0006999999999999</v>
      </c>
      <c r="J295" s="15">
        <v>2.9999999999999997E-4</v>
      </c>
      <c r="K295" s="16">
        <v>88535</v>
      </c>
      <c r="L295" s="16">
        <v>88521.112699999998</v>
      </c>
      <c r="M295" s="17">
        <v>774</v>
      </c>
      <c r="N295" s="14">
        <v>1.0004999999999999</v>
      </c>
      <c r="O295" s="14">
        <v>1.0006999999999999</v>
      </c>
      <c r="P295" s="18">
        <f>IF(OR(N295="",O295="",N295=0,O295=0),"",(O295-N295)/((O295+N295)/2))</f>
        <v>1.998800719568039E-4</v>
      </c>
      <c r="Q295" s="14">
        <v>0.99984313999999996</v>
      </c>
      <c r="R295" s="14">
        <v>1.0006999999999999</v>
      </c>
      <c r="S295" s="14">
        <v>0.998</v>
      </c>
      <c r="T295" s="12">
        <v>46236.012011238425</v>
      </c>
      <c r="U295" s="12">
        <v>46237.012011238425</v>
      </c>
      <c r="V295" s="14">
        <v>5</v>
      </c>
      <c r="W295" s="14">
        <v>1</v>
      </c>
      <c r="X295" s="14">
        <v>1</v>
      </c>
      <c r="Y295" s="14">
        <v>1E-4</v>
      </c>
      <c r="Z295" s="10" t="str">
        <f>IF(AND(D295="TRADING",I295&lt;&gt;"",L295&lt;&gt;"",M295&lt;&gt;"",N295&lt;&gt;"",O295&lt;&gt;""),"Yes","No")</f>
        <v>Yes</v>
      </c>
      <c r="AA295" s="10" t="s">
        <v>56</v>
      </c>
    </row>
    <row r="296" spans="1:27">
      <c r="A296" s="10" t="s">
        <v>566</v>
      </c>
      <c r="B296" s="10" t="s">
        <v>567</v>
      </c>
      <c r="C296" s="10" t="s">
        <v>12</v>
      </c>
      <c r="D296" s="10" t="s">
        <v>55</v>
      </c>
      <c r="E296" s="11" t="b">
        <v>1</v>
      </c>
      <c r="F296" s="12">
        <v>44452</v>
      </c>
      <c r="G296" s="12">
        <v>44452.999999988424</v>
      </c>
      <c r="H296" s="13">
        <f>IF(F296="","",(Summary!$B$5-F296)/365.25)</f>
        <v>4.8870978543995758</v>
      </c>
      <c r="I296" s="14">
        <v>1.797E-3</v>
      </c>
      <c r="J296" s="15">
        <v>2.044E-2</v>
      </c>
      <c r="K296" s="16">
        <v>422558093</v>
      </c>
      <c r="L296" s="16">
        <v>751342.46329500002</v>
      </c>
      <c r="M296" s="17">
        <v>5556</v>
      </c>
      <c r="N296" s="14">
        <v>1.7960000000000001E-3</v>
      </c>
      <c r="O296" s="14">
        <v>1.797E-3</v>
      </c>
      <c r="P296" s="18">
        <f>IF(OR(N296="",O296="",N296=0,O296=0),"",(O296-N296)/((O296+N296)/2))</f>
        <v>5.5663790704142278E-4</v>
      </c>
      <c r="Q296" s="14">
        <v>1.77808E-3</v>
      </c>
      <c r="R296" s="14">
        <v>1.8109999999999999E-3</v>
      </c>
      <c r="S296" s="14">
        <v>1.75E-3</v>
      </c>
      <c r="T296" s="12">
        <v>46236.012476967589</v>
      </c>
      <c r="U296" s="12">
        <v>46237.012476967589</v>
      </c>
      <c r="V296" s="14">
        <v>5</v>
      </c>
      <c r="W296" s="14">
        <v>1</v>
      </c>
      <c r="X296" s="14">
        <v>1</v>
      </c>
      <c r="Y296" s="14">
        <v>9.9999999999999995E-7</v>
      </c>
      <c r="Z296" s="10" t="str">
        <f>IF(AND(D296="TRADING",I296&lt;&gt;"",L296&lt;&gt;"",M296&lt;&gt;"",N296&lt;&gt;"",O296&lt;&gt;""),"Yes","No")</f>
        <v>Yes</v>
      </c>
      <c r="AA296" s="10" t="s">
        <v>56</v>
      </c>
    </row>
    <row r="297" spans="1:27">
      <c r="A297" s="10" t="s">
        <v>664</v>
      </c>
      <c r="B297" s="10" t="s">
        <v>665</v>
      </c>
      <c r="C297" s="10" t="s">
        <v>12</v>
      </c>
      <c r="D297" s="10" t="s">
        <v>55</v>
      </c>
      <c r="E297" s="11" t="b">
        <v>1</v>
      </c>
      <c r="F297" s="12">
        <v>44461</v>
      </c>
      <c r="G297" s="12">
        <v>44461.999999988424</v>
      </c>
      <c r="H297" s="13">
        <f>IF(F297="","",(Summary!$B$5-F297)/365.25)</f>
        <v>4.8624571973153863</v>
      </c>
      <c r="I297" s="14">
        <v>2.85</v>
      </c>
      <c r="J297" s="15">
        <v>-3.4999999999999996E-3</v>
      </c>
      <c r="K297" s="16">
        <v>20990.824000000001</v>
      </c>
      <c r="L297" s="16">
        <v>60061.150560000002</v>
      </c>
      <c r="M297" s="17">
        <v>1384</v>
      </c>
      <c r="N297" s="14">
        <v>2.85</v>
      </c>
      <c r="O297" s="14">
        <v>2.86</v>
      </c>
      <c r="P297" s="18">
        <f>IF(OR(N297="",O297="",N297=0,O297=0),"",(O297-N297)/((O297+N297)/2))</f>
        <v>3.5026269702275962E-3</v>
      </c>
      <c r="Q297" s="14">
        <v>2.86130504</v>
      </c>
      <c r="R297" s="14">
        <v>2.9</v>
      </c>
      <c r="S297" s="14">
        <v>2.84</v>
      </c>
      <c r="T297" s="12">
        <v>46236.012318865738</v>
      </c>
      <c r="U297" s="12">
        <v>46237.012318865738</v>
      </c>
      <c r="V297" s="14">
        <v>5</v>
      </c>
      <c r="W297" s="14">
        <v>1E-3</v>
      </c>
      <c r="X297" s="14">
        <v>1E-3</v>
      </c>
      <c r="Y297" s="14">
        <v>0.01</v>
      </c>
      <c r="Z297" s="10" t="str">
        <f>IF(AND(D297="TRADING",I297&lt;&gt;"",L297&lt;&gt;"",M297&lt;&gt;"",N297&lt;&gt;"",O297&lt;&gt;""),"Yes","No")</f>
        <v>Yes</v>
      </c>
      <c r="AA297" s="10" t="s">
        <v>56</v>
      </c>
    </row>
    <row r="298" spans="1:27">
      <c r="A298" s="10" t="s">
        <v>429</v>
      </c>
      <c r="B298" s="10" t="s">
        <v>430</v>
      </c>
      <c r="C298" s="10" t="s">
        <v>12</v>
      </c>
      <c r="D298" s="10" t="s">
        <v>84</v>
      </c>
      <c r="E298" s="11" t="b">
        <v>1</v>
      </c>
      <c r="F298" s="12">
        <v>44463</v>
      </c>
      <c r="G298" s="12">
        <v>44463.999999988424</v>
      </c>
      <c r="H298" s="13">
        <f>IF(F298="","",(Summary!$B$5-F298)/365.25)</f>
        <v>4.8569814957411221</v>
      </c>
      <c r="I298" s="14">
        <v>1.64E-3</v>
      </c>
      <c r="J298" s="15">
        <v>-0.17588000000000001</v>
      </c>
      <c r="K298" s="16">
        <v>62177606</v>
      </c>
      <c r="L298" s="16">
        <v>107337.29702</v>
      </c>
      <c r="M298" s="17">
        <v>4001</v>
      </c>
      <c r="N298" s="14">
        <v>0</v>
      </c>
      <c r="O298" s="14">
        <v>0</v>
      </c>
      <c r="P298" s="18" t="str">
        <f>IF(OR(N298="",O298="",N298=0,O298=0),"",(O298-N298)/((O298+N298)/2))</f>
        <v/>
      </c>
      <c r="Q298" s="14">
        <v>1.7263000000000001E-3</v>
      </c>
      <c r="R298" s="14">
        <v>2.1199999999999999E-3</v>
      </c>
      <c r="S298" s="14">
        <v>1.2899999999999999E-3</v>
      </c>
      <c r="T298" s="12">
        <v>46209.261123090277</v>
      </c>
      <c r="U298" s="12">
        <v>46210.261123090277</v>
      </c>
      <c r="V298" s="14">
        <v>5</v>
      </c>
      <c r="W298" s="14">
        <v>1</v>
      </c>
      <c r="X298" s="14">
        <v>1</v>
      </c>
      <c r="Y298" s="14">
        <v>1.0000000000000001E-5</v>
      </c>
      <c r="Z298" s="10" t="str">
        <f>IF(AND(D298="TRADING",I298&lt;&gt;"",L298&lt;&gt;"",M298&lt;&gt;"",N298&lt;&gt;"",O298&lt;&gt;""),"Yes","No")</f>
        <v>No</v>
      </c>
      <c r="AA298" s="10" t="s">
        <v>56</v>
      </c>
    </row>
    <row r="299" spans="1:27">
      <c r="A299" s="10" t="s">
        <v>1209</v>
      </c>
      <c r="B299" s="10" t="s">
        <v>1210</v>
      </c>
      <c r="C299" s="10" t="s">
        <v>12</v>
      </c>
      <c r="D299" s="10" t="s">
        <v>84</v>
      </c>
      <c r="E299" s="11" t="b">
        <v>1</v>
      </c>
      <c r="F299" s="12">
        <v>44463</v>
      </c>
      <c r="G299" s="12">
        <v>44463.999999988424</v>
      </c>
      <c r="H299" s="13">
        <f>IF(F299="","",(Summary!$B$5-F299)/365.25)</f>
        <v>4.8569814957411221</v>
      </c>
      <c r="I299" s="14">
        <v>2.2300000000000002E-3</v>
      </c>
      <c r="J299" s="15">
        <v>-0.23103000000000001</v>
      </c>
      <c r="K299" s="16">
        <v>296087390</v>
      </c>
      <c r="L299" s="16">
        <v>873642.81093000004</v>
      </c>
      <c r="M299" s="17">
        <v>26638</v>
      </c>
      <c r="N299" s="14">
        <v>0</v>
      </c>
      <c r="O299" s="14">
        <v>0</v>
      </c>
      <c r="P299" s="18" t="str">
        <f>IF(OR(N299="",O299="",N299=0,O299=0),"",(O299-N299)/((O299+N299)/2))</f>
        <v/>
      </c>
      <c r="Q299" s="14">
        <v>2.9506200000000002E-3</v>
      </c>
      <c r="R299" s="14">
        <v>5.3800000000000002E-3</v>
      </c>
      <c r="S299" s="14">
        <v>1.9300000000000001E-3</v>
      </c>
      <c r="T299" s="12">
        <v>46209.261123090277</v>
      </c>
      <c r="U299" s="12">
        <v>46210.261123090277</v>
      </c>
      <c r="V299" s="14">
        <v>5</v>
      </c>
      <c r="W299" s="14">
        <v>1</v>
      </c>
      <c r="X299" s="14">
        <v>1</v>
      </c>
      <c r="Y299" s="14">
        <v>1.0000000000000001E-5</v>
      </c>
      <c r="Z299" s="10" t="str">
        <f>IF(AND(D299="TRADING",I299&lt;&gt;"",L299&lt;&gt;"",M299&lt;&gt;"",N299&lt;&gt;"",O299&lt;&gt;""),"Yes","No")</f>
        <v>No</v>
      </c>
      <c r="AA299" s="10" t="s">
        <v>56</v>
      </c>
    </row>
    <row r="300" spans="1:27">
      <c r="A300" s="10" t="s">
        <v>1403</v>
      </c>
      <c r="B300" s="10" t="s">
        <v>1404</v>
      </c>
      <c r="C300" s="10" t="s">
        <v>12</v>
      </c>
      <c r="D300" s="10" t="s">
        <v>55</v>
      </c>
      <c r="E300" s="11" t="b">
        <v>1</v>
      </c>
      <c r="F300" s="12">
        <v>44463</v>
      </c>
      <c r="G300" s="12">
        <v>44463.999999988424</v>
      </c>
      <c r="H300" s="13">
        <f>IF(F300="","",(Summary!$B$5-F300)/365.25)</f>
        <v>4.8569814957411221</v>
      </c>
      <c r="I300" s="14">
        <v>1.8120000000000001E-2</v>
      </c>
      <c r="J300" s="15">
        <v>4.9899999999999996E-3</v>
      </c>
      <c r="K300" s="16">
        <v>10737964.9</v>
      </c>
      <c r="L300" s="16">
        <v>194920.752412</v>
      </c>
      <c r="M300" s="17">
        <v>2440</v>
      </c>
      <c r="N300" s="14">
        <v>1.8110000000000001E-2</v>
      </c>
      <c r="O300" s="14">
        <v>1.813E-2</v>
      </c>
      <c r="P300" s="18">
        <f>IF(OR(N300="",O300="",N300=0,O300=0),"",(O300-N300)/((O300+N300)/2))</f>
        <v>1.1037527593818534E-3</v>
      </c>
      <c r="Q300" s="14">
        <v>1.815249E-2</v>
      </c>
      <c r="R300" s="14">
        <v>1.84E-2</v>
      </c>
      <c r="S300" s="14">
        <v>1.7940000000000001E-2</v>
      </c>
      <c r="T300" s="12">
        <v>46236.012476192132</v>
      </c>
      <c r="U300" s="12">
        <v>46237.012476192132</v>
      </c>
      <c r="V300" s="14">
        <v>5</v>
      </c>
      <c r="W300" s="14">
        <v>0.1</v>
      </c>
      <c r="X300" s="14">
        <v>0.1</v>
      </c>
      <c r="Y300" s="14">
        <v>1.0000000000000001E-5</v>
      </c>
      <c r="Z300" s="10" t="str">
        <f>IF(AND(D300="TRADING",I300&lt;&gt;"",L300&lt;&gt;"",M300&lt;&gt;"",N300&lt;&gt;"",O300&lt;&gt;""),"Yes","No")</f>
        <v>Yes</v>
      </c>
      <c r="AA300" s="10" t="s">
        <v>56</v>
      </c>
    </row>
    <row r="301" spans="1:27">
      <c r="A301" s="10" t="s">
        <v>524</v>
      </c>
      <c r="B301" s="10" t="s">
        <v>525</v>
      </c>
      <c r="C301" s="10" t="s">
        <v>12</v>
      </c>
      <c r="D301" s="10" t="s">
        <v>55</v>
      </c>
      <c r="E301" s="11" t="b">
        <v>1</v>
      </c>
      <c r="F301" s="12">
        <v>44469</v>
      </c>
      <c r="G301" s="12">
        <v>44469.999999988424</v>
      </c>
      <c r="H301" s="13">
        <f>IF(F301="","",(Summary!$B$5-F301)/365.25)</f>
        <v>4.8405543910183297</v>
      </c>
      <c r="I301" s="14">
        <v>1.7090000000000001E-2</v>
      </c>
      <c r="J301" s="15">
        <v>1.064E-2</v>
      </c>
      <c r="K301" s="16">
        <v>25500241.300000001</v>
      </c>
      <c r="L301" s="16">
        <v>444758.21367899998</v>
      </c>
      <c r="M301" s="17">
        <v>9509</v>
      </c>
      <c r="N301" s="14">
        <v>1.704E-2</v>
      </c>
      <c r="O301" s="14">
        <v>1.7049999999999999E-2</v>
      </c>
      <c r="P301" s="18">
        <f>IF(OR(N301="",O301="",N301=0,O301=0),"",(O301-N301)/((O301+N301)/2))</f>
        <v>5.8668231152828358E-4</v>
      </c>
      <c r="Q301" s="14">
        <v>1.7441330000000001E-2</v>
      </c>
      <c r="R301" s="14">
        <v>1.8069999999999999E-2</v>
      </c>
      <c r="S301" s="14">
        <v>1.6809999999999999E-2</v>
      </c>
      <c r="T301" s="12">
        <v>46236.012476979166</v>
      </c>
      <c r="U301" s="12">
        <v>46237.012476979166</v>
      </c>
      <c r="V301" s="14">
        <v>5</v>
      </c>
      <c r="W301" s="14">
        <v>0.1</v>
      </c>
      <c r="X301" s="14">
        <v>0.1</v>
      </c>
      <c r="Y301" s="14">
        <v>1.0000000000000001E-5</v>
      </c>
      <c r="Z301" s="10" t="str">
        <f>IF(AND(D301="TRADING",I301&lt;&gt;"",L301&lt;&gt;"",M301&lt;&gt;"",N301&lt;&gt;"",O301&lt;&gt;""),"Yes","No")</f>
        <v>Yes</v>
      </c>
      <c r="AA301" s="10" t="s">
        <v>56</v>
      </c>
    </row>
    <row r="302" spans="1:27">
      <c r="A302" s="10" t="s">
        <v>405</v>
      </c>
      <c r="B302" s="10" t="s">
        <v>406</v>
      </c>
      <c r="C302" s="10" t="s">
        <v>12</v>
      </c>
      <c r="D302" s="10" t="s">
        <v>84</v>
      </c>
      <c r="E302" s="11" t="b">
        <v>1</v>
      </c>
      <c r="F302" s="12">
        <v>44473</v>
      </c>
      <c r="G302" s="12">
        <v>44473.999999988424</v>
      </c>
      <c r="H302" s="13">
        <f>IF(F302="","",(Summary!$B$5-F302)/365.25)</f>
        <v>4.8296029878698015</v>
      </c>
      <c r="I302" s="14">
        <v>3.39E-2</v>
      </c>
      <c r="J302" s="15">
        <v>-0.23303000000000001</v>
      </c>
      <c r="K302" s="16">
        <v>10302989.300000001</v>
      </c>
      <c r="L302" s="16">
        <v>428914.93212999997</v>
      </c>
      <c r="M302" s="17">
        <v>4001</v>
      </c>
      <c r="N302" s="14">
        <v>0</v>
      </c>
      <c r="O302" s="14">
        <v>0</v>
      </c>
      <c r="P302" s="18" t="str">
        <f>IF(OR(N302="",O302="",N302=0,O302=0),"",(O302-N302)/((O302+N302)/2))</f>
        <v/>
      </c>
      <c r="Q302" s="14">
        <v>4.1630140000000003E-2</v>
      </c>
      <c r="R302" s="14">
        <v>4.9000000000000002E-2</v>
      </c>
      <c r="S302" s="14">
        <v>3.2800000000000003E-2</v>
      </c>
      <c r="T302" s="12">
        <v>46209.261123090277</v>
      </c>
      <c r="U302" s="12">
        <v>46210.261123090277</v>
      </c>
      <c r="V302" s="14">
        <v>5</v>
      </c>
      <c r="W302" s="14">
        <v>0.1</v>
      </c>
      <c r="X302" s="14">
        <v>0.1</v>
      </c>
      <c r="Y302" s="14">
        <v>1E-4</v>
      </c>
      <c r="Z302" s="10" t="str">
        <f>IF(AND(D302="TRADING",I302&lt;&gt;"",L302&lt;&gt;"",M302&lt;&gt;"",N302&lt;&gt;"",O302&lt;&gt;""),"Yes","No")</f>
        <v>No</v>
      </c>
      <c r="AA302" s="10" t="s">
        <v>56</v>
      </c>
    </row>
    <row r="303" spans="1:27">
      <c r="A303" s="10" t="s">
        <v>554</v>
      </c>
      <c r="B303" s="10" t="s">
        <v>555</v>
      </c>
      <c r="C303" s="10" t="s">
        <v>12</v>
      </c>
      <c r="D303" s="10" t="s">
        <v>84</v>
      </c>
      <c r="E303" s="11" t="b">
        <v>1</v>
      </c>
      <c r="F303" s="12">
        <v>44473</v>
      </c>
      <c r="G303" s="12">
        <v>44473.999999988424</v>
      </c>
      <c r="H303" s="13">
        <f>IF(F303="","",(Summary!$B$5-F303)/365.25)</f>
        <v>4.8296029878698015</v>
      </c>
      <c r="I303" s="14">
        <v>0.88</v>
      </c>
      <c r="J303" s="15">
        <v>1.9699999999999999E-2</v>
      </c>
      <c r="K303" s="16">
        <v>632357</v>
      </c>
      <c r="L303" s="16">
        <v>548328.15379999997</v>
      </c>
      <c r="M303" s="17">
        <v>4001</v>
      </c>
      <c r="N303" s="14">
        <v>0</v>
      </c>
      <c r="O303" s="14">
        <v>0</v>
      </c>
      <c r="P303" s="18" t="str">
        <f>IF(OR(N303="",O303="",N303=0,O303=0),"",(O303-N303)/((O303+N303)/2))</f>
        <v/>
      </c>
      <c r="Q303" s="14">
        <v>0.86711802999999998</v>
      </c>
      <c r="R303" s="14">
        <v>0.88800000000000001</v>
      </c>
      <c r="S303" s="14">
        <v>0.84699999999999998</v>
      </c>
      <c r="T303" s="12">
        <v>46209.261123090277</v>
      </c>
      <c r="U303" s="12">
        <v>46210.261123090277</v>
      </c>
      <c r="V303" s="14">
        <v>5</v>
      </c>
      <c r="W303" s="14">
        <v>0.1</v>
      </c>
      <c r="X303" s="14">
        <v>0.1</v>
      </c>
      <c r="Y303" s="14">
        <v>1E-3</v>
      </c>
      <c r="Z303" s="10" t="str">
        <f>IF(AND(D303="TRADING",I303&lt;&gt;"",L303&lt;&gt;"",M303&lt;&gt;"",N303&lt;&gt;"",O303&lt;&gt;""),"Yes","No")</f>
        <v>No</v>
      </c>
      <c r="AA303" s="10" t="s">
        <v>56</v>
      </c>
    </row>
    <row r="304" spans="1:27">
      <c r="A304" s="10" t="s">
        <v>117</v>
      </c>
      <c r="B304" s="10" t="s">
        <v>118</v>
      </c>
      <c r="C304" s="10" t="s">
        <v>12</v>
      </c>
      <c r="D304" s="10" t="s">
        <v>55</v>
      </c>
      <c r="E304" s="11" t="b">
        <v>1</v>
      </c>
      <c r="F304" s="12">
        <v>44474</v>
      </c>
      <c r="G304" s="12">
        <v>44474.999999988424</v>
      </c>
      <c r="H304" s="13">
        <f>IF(F304="","",(Summary!$B$5-F304)/365.25)</f>
        <v>4.8268651370826694</v>
      </c>
      <c r="I304" s="14">
        <v>0.1472</v>
      </c>
      <c r="J304" s="15">
        <v>-9.4199999999999996E-3</v>
      </c>
      <c r="K304" s="16">
        <v>890670.6</v>
      </c>
      <c r="L304" s="16">
        <v>132081.55397000001</v>
      </c>
      <c r="M304" s="17">
        <v>1916</v>
      </c>
      <c r="N304" s="14">
        <v>0.14699999999999999</v>
      </c>
      <c r="O304" s="14">
        <v>0.1472</v>
      </c>
      <c r="P304" s="18">
        <f>IF(OR(N304="",O304="",N304=0,O304=0),"",(O304-N304)/((O304+N304)/2))</f>
        <v>1.3596193065941926E-3</v>
      </c>
      <c r="Q304" s="14">
        <v>0.1482945</v>
      </c>
      <c r="R304" s="14">
        <v>0.15049999999999999</v>
      </c>
      <c r="S304" s="14">
        <v>0.14630000000000001</v>
      </c>
      <c r="T304" s="12">
        <v>46236.012355162035</v>
      </c>
      <c r="U304" s="12">
        <v>46237.012355162035</v>
      </c>
      <c r="V304" s="14">
        <v>5</v>
      </c>
      <c r="W304" s="14">
        <v>0.1</v>
      </c>
      <c r="X304" s="14">
        <v>0.1</v>
      </c>
      <c r="Y304" s="14">
        <v>1E-4</v>
      </c>
      <c r="Z304" s="10" t="str">
        <f>IF(AND(D304="TRADING",I304&lt;&gt;"",L304&lt;&gt;"",M304&lt;&gt;"",N304&lt;&gt;"",O304&lt;&gt;""),"Yes","No")</f>
        <v>Yes</v>
      </c>
      <c r="AA304" s="10" t="s">
        <v>56</v>
      </c>
    </row>
    <row r="305" spans="1:27">
      <c r="A305" s="10" t="s">
        <v>1040</v>
      </c>
      <c r="B305" s="10" t="s">
        <v>1041</v>
      </c>
      <c r="C305" s="10" t="s">
        <v>12</v>
      </c>
      <c r="D305" s="10" t="s">
        <v>55</v>
      </c>
      <c r="E305" s="11" t="b">
        <v>1</v>
      </c>
      <c r="F305" s="12">
        <v>44476</v>
      </c>
      <c r="G305" s="12">
        <v>44476.999999988424</v>
      </c>
      <c r="H305" s="13">
        <f>IF(F305="","",(Summary!$B$5-F305)/365.25)</f>
        <v>4.8213894355084053</v>
      </c>
      <c r="I305" s="14">
        <v>0.20499999999999999</v>
      </c>
      <c r="J305" s="15">
        <v>9.8499999999999994E-3</v>
      </c>
      <c r="K305" s="16">
        <v>398464.8</v>
      </c>
      <c r="L305" s="16">
        <v>81317.807499999995</v>
      </c>
      <c r="M305" s="17">
        <v>1306</v>
      </c>
      <c r="N305" s="14">
        <v>0.20399999999999999</v>
      </c>
      <c r="O305" s="14">
        <v>0.20499999999999999</v>
      </c>
      <c r="P305" s="18">
        <f>IF(OR(N305="",O305="",N305=0,O305=0),"",(O305-N305)/((O305+N305)/2))</f>
        <v>4.8899755501222537E-3</v>
      </c>
      <c r="Q305" s="14">
        <v>0.20407776999999999</v>
      </c>
      <c r="R305" s="14">
        <v>0.20599999999999999</v>
      </c>
      <c r="S305" s="14">
        <v>0.20200000000000001</v>
      </c>
      <c r="T305" s="12">
        <v>46236.011940937497</v>
      </c>
      <c r="U305" s="12">
        <v>46237.011940937497</v>
      </c>
      <c r="V305" s="14">
        <v>5</v>
      </c>
      <c r="W305" s="14">
        <v>0.1</v>
      </c>
      <c r="X305" s="14">
        <v>0.1</v>
      </c>
      <c r="Y305" s="14">
        <v>1E-3</v>
      </c>
      <c r="Z305" s="10" t="str">
        <f>IF(AND(D305="TRADING",I305&lt;&gt;"",L305&lt;&gt;"",M305&lt;&gt;"",N305&lt;&gt;"",O305&lt;&gt;""),"Yes","No")</f>
        <v>Yes</v>
      </c>
      <c r="AA305" s="10" t="s">
        <v>56</v>
      </c>
    </row>
    <row r="306" spans="1:27">
      <c r="A306" s="10" t="s">
        <v>273</v>
      </c>
      <c r="B306" s="10" t="s">
        <v>274</v>
      </c>
      <c r="C306" s="10" t="s">
        <v>12</v>
      </c>
      <c r="D306" s="10" t="s">
        <v>84</v>
      </c>
      <c r="E306" s="11" t="b">
        <v>1</v>
      </c>
      <c r="F306" s="12">
        <v>44477</v>
      </c>
      <c r="G306" s="12">
        <v>44477.999999988424</v>
      </c>
      <c r="H306" s="13">
        <f>IF(F306="","",(Summary!$B$5-F306)/365.25)</f>
        <v>4.8186515847212732</v>
      </c>
      <c r="I306" s="14">
        <v>3.6000000000000002E-4</v>
      </c>
      <c r="J306" s="15">
        <v>-0.64</v>
      </c>
      <c r="K306" s="16">
        <v>453655672</v>
      </c>
      <c r="L306" s="16">
        <v>296136.47499000002</v>
      </c>
      <c r="M306" s="17">
        <v>4001</v>
      </c>
      <c r="N306" s="14">
        <v>0</v>
      </c>
      <c r="O306" s="14">
        <v>0</v>
      </c>
      <c r="P306" s="18" t="str">
        <f>IF(OR(N306="",O306="",N306=0,O306=0),"",(O306-N306)/((O306+N306)/2))</f>
        <v/>
      </c>
      <c r="Q306" s="14">
        <v>6.5278000000000005E-4</v>
      </c>
      <c r="R306" s="14">
        <v>1.1000000000000001E-3</v>
      </c>
      <c r="S306" s="14">
        <v>3.1E-4</v>
      </c>
      <c r="T306" s="12">
        <v>46209.261123090277</v>
      </c>
      <c r="U306" s="12">
        <v>46210.261123090277</v>
      </c>
      <c r="V306" s="14">
        <v>5</v>
      </c>
      <c r="W306" s="14">
        <v>1</v>
      </c>
      <c r="X306" s="14">
        <v>1</v>
      </c>
      <c r="Y306" s="14">
        <v>1.0000000000000001E-5</v>
      </c>
      <c r="Z306" s="10" t="str">
        <f>IF(AND(D306="TRADING",I306&lt;&gt;"",L306&lt;&gt;"",M306&lt;&gt;"",N306&lt;&gt;"",O306&lt;&gt;""),"Yes","No")</f>
        <v>No</v>
      </c>
      <c r="AA306" s="10" t="s">
        <v>56</v>
      </c>
    </row>
    <row r="307" spans="1:27">
      <c r="A307" s="10" t="s">
        <v>1044</v>
      </c>
      <c r="B307" s="10" t="s">
        <v>1045</v>
      </c>
      <c r="C307" s="10" t="s">
        <v>12</v>
      </c>
      <c r="D307" s="10" t="s">
        <v>55</v>
      </c>
      <c r="E307" s="11" t="b">
        <v>1</v>
      </c>
      <c r="F307" s="12">
        <v>44480</v>
      </c>
      <c r="G307" s="12">
        <v>44480.999999988424</v>
      </c>
      <c r="H307" s="13">
        <f>IF(F307="","",(Summary!$B$5-F307)/365.25)</f>
        <v>4.810438032359877</v>
      </c>
      <c r="I307" s="14">
        <v>1.192E-2</v>
      </c>
      <c r="J307" s="15">
        <v>0</v>
      </c>
      <c r="K307" s="16">
        <v>3964332.4</v>
      </c>
      <c r="L307" s="16">
        <v>47305.713283999998</v>
      </c>
      <c r="M307" s="17">
        <v>905</v>
      </c>
      <c r="N307" s="14">
        <v>1.191E-2</v>
      </c>
      <c r="O307" s="14">
        <v>1.192E-2</v>
      </c>
      <c r="P307" s="18">
        <f>IF(OR(N307="",O307="",N307=0,O307=0),"",(O307-N307)/((O307+N307)/2))</f>
        <v>8.3927822073013789E-4</v>
      </c>
      <c r="Q307" s="14">
        <v>1.193283E-2</v>
      </c>
      <c r="R307" s="14">
        <v>1.208E-2</v>
      </c>
      <c r="S307" s="14">
        <v>1.1849999999999999E-2</v>
      </c>
      <c r="T307" s="12">
        <v>46236.011165057869</v>
      </c>
      <c r="U307" s="12">
        <v>46237.011165057869</v>
      </c>
      <c r="V307" s="14">
        <v>5</v>
      </c>
      <c r="W307" s="14">
        <v>0.1</v>
      </c>
      <c r="X307" s="14">
        <v>0.1</v>
      </c>
      <c r="Y307" s="14">
        <v>1.0000000000000001E-5</v>
      </c>
      <c r="Z307" s="10" t="str">
        <f>IF(AND(D307="TRADING",I307&lt;&gt;"",L307&lt;&gt;"",M307&lt;&gt;"",N307&lt;&gt;"",O307&lt;&gt;""),"Yes","No")</f>
        <v>Yes</v>
      </c>
      <c r="AA307" s="10" t="s">
        <v>56</v>
      </c>
    </row>
    <row r="308" spans="1:27">
      <c r="A308" s="10" t="s">
        <v>738</v>
      </c>
      <c r="B308" s="10" t="s">
        <v>739</v>
      </c>
      <c r="C308" s="10" t="s">
        <v>12</v>
      </c>
      <c r="D308" s="10" t="s">
        <v>55</v>
      </c>
      <c r="E308" s="11" t="b">
        <v>1</v>
      </c>
      <c r="F308" s="12">
        <v>44490</v>
      </c>
      <c r="G308" s="12">
        <v>44490.999999988424</v>
      </c>
      <c r="H308" s="13">
        <f>IF(F308="","",(Summary!$B$5-F308)/365.25)</f>
        <v>4.7830595244885554</v>
      </c>
      <c r="I308" s="14">
        <v>0.34300000000000003</v>
      </c>
      <c r="J308" s="15">
        <v>5.8699999999999994E-3</v>
      </c>
      <c r="K308" s="16">
        <v>1157941.0900000001</v>
      </c>
      <c r="L308" s="16">
        <v>394757.67251</v>
      </c>
      <c r="M308" s="17">
        <v>7344</v>
      </c>
      <c r="N308" s="14">
        <v>0.34200000000000003</v>
      </c>
      <c r="O308" s="14">
        <v>0.34300000000000003</v>
      </c>
      <c r="P308" s="18">
        <f>IF(OR(N308="",O308="",N308=0,O308=0),"",(O308-N308)/((O308+N308)/2))</f>
        <v>2.9197080291970827E-3</v>
      </c>
      <c r="Q308" s="14">
        <v>0.34091343000000002</v>
      </c>
      <c r="R308" s="14">
        <v>0.35199999999999998</v>
      </c>
      <c r="S308" s="14">
        <v>0.33300000000000002</v>
      </c>
      <c r="T308" s="12">
        <v>46236.012256493057</v>
      </c>
      <c r="U308" s="12">
        <v>46237.012256493057</v>
      </c>
      <c r="V308" s="14">
        <v>5</v>
      </c>
      <c r="W308" s="14">
        <v>0.01</v>
      </c>
      <c r="X308" s="14">
        <v>0.01</v>
      </c>
      <c r="Y308" s="14">
        <v>1E-3</v>
      </c>
      <c r="Z308" s="10" t="str">
        <f>IF(AND(D308="TRADING",I308&lt;&gt;"",L308&lt;&gt;"",M308&lt;&gt;"",N308&lt;&gt;"",O308&lt;&gt;""),"Yes","No")</f>
        <v>Yes</v>
      </c>
      <c r="AA308" s="10" t="s">
        <v>56</v>
      </c>
    </row>
    <row r="309" spans="1:27">
      <c r="A309" s="10" t="s">
        <v>357</v>
      </c>
      <c r="B309" s="10" t="s">
        <v>358</v>
      </c>
      <c r="C309" s="10" t="s">
        <v>12</v>
      </c>
      <c r="D309" s="10" t="s">
        <v>84</v>
      </c>
      <c r="E309" s="11" t="b">
        <v>1</v>
      </c>
      <c r="F309" s="12">
        <v>44491</v>
      </c>
      <c r="G309" s="12">
        <v>44491.999999988424</v>
      </c>
      <c r="H309" s="13">
        <f>IF(F309="","",(Summary!$B$5-F309)/365.25)</f>
        <v>4.7803216737014234</v>
      </c>
      <c r="I309" s="14">
        <v>2.81E-3</v>
      </c>
      <c r="J309" s="15">
        <v>-0.16864000000000001</v>
      </c>
      <c r="K309" s="16">
        <v>52870057.5</v>
      </c>
      <c r="L309" s="16">
        <v>167264.084137</v>
      </c>
      <c r="M309" s="17">
        <v>4001</v>
      </c>
      <c r="N309" s="14">
        <v>0</v>
      </c>
      <c r="O309" s="14">
        <v>0</v>
      </c>
      <c r="P309" s="18" t="str">
        <f>IF(OR(N309="",O309="",N309=0,O309=0),"",(O309-N309)/((O309+N309)/2))</f>
        <v/>
      </c>
      <c r="Q309" s="14">
        <v>3.1636799999999999E-3</v>
      </c>
      <c r="R309" s="14">
        <v>3.8800000000000002E-3</v>
      </c>
      <c r="S309" s="14">
        <v>2.5500000000000002E-3</v>
      </c>
      <c r="T309" s="12">
        <v>46209.261123090277</v>
      </c>
      <c r="U309" s="12">
        <v>46210.261123090277</v>
      </c>
      <c r="V309" s="14">
        <v>5</v>
      </c>
      <c r="W309" s="14">
        <v>0.1</v>
      </c>
      <c r="X309" s="14">
        <v>0.1</v>
      </c>
      <c r="Y309" s="14">
        <v>1.0000000000000001E-5</v>
      </c>
      <c r="Z309" s="10" t="str">
        <f>IF(AND(D309="TRADING",I309&lt;&gt;"",L309&lt;&gt;"",M309&lt;&gt;"",N309&lt;&gt;"",O309&lt;&gt;""),"Yes","No")</f>
        <v>No</v>
      </c>
      <c r="AA309" s="10" t="s">
        <v>56</v>
      </c>
    </row>
    <row r="310" spans="1:27">
      <c r="A310" s="10" t="s">
        <v>105</v>
      </c>
      <c r="B310" s="10" t="s">
        <v>106</v>
      </c>
      <c r="C310" s="10" t="s">
        <v>12</v>
      </c>
      <c r="D310" s="10" t="s">
        <v>55</v>
      </c>
      <c r="E310" s="11" t="b">
        <v>1</v>
      </c>
      <c r="F310" s="12">
        <v>44498</v>
      </c>
      <c r="G310" s="12">
        <v>44498.999999988424</v>
      </c>
      <c r="H310" s="13">
        <f>IF(F310="","",(Summary!$B$5-F310)/365.25)</f>
        <v>4.7611567181914989</v>
      </c>
      <c r="I310" s="14">
        <v>5.6500000000000002E-2</v>
      </c>
      <c r="J310" s="15">
        <v>1.2540000000000001E-2</v>
      </c>
      <c r="K310" s="16">
        <v>3556593</v>
      </c>
      <c r="L310" s="16">
        <v>204811.0257</v>
      </c>
      <c r="M310" s="17">
        <v>2662</v>
      </c>
      <c r="N310" s="14">
        <v>5.6399999999999999E-2</v>
      </c>
      <c r="O310" s="14">
        <v>5.6500000000000002E-2</v>
      </c>
      <c r="P310" s="18">
        <f>IF(OR(N310="",O310="",N310=0,O310=0),"",(O310-N310)/((O310+N310)/2))</f>
        <v>1.7714791851196256E-3</v>
      </c>
      <c r="Q310" s="14">
        <v>5.75863E-2</v>
      </c>
      <c r="R310" s="14">
        <v>5.8999999999999997E-2</v>
      </c>
      <c r="S310" s="14">
        <v>5.57E-2</v>
      </c>
      <c r="T310" s="12">
        <v>46236.012378611114</v>
      </c>
      <c r="U310" s="12">
        <v>46237.012378611114</v>
      </c>
      <c r="V310" s="14">
        <v>5</v>
      </c>
      <c r="W310" s="14">
        <v>1</v>
      </c>
      <c r="X310" s="14">
        <v>1</v>
      </c>
      <c r="Y310" s="14">
        <v>1E-4</v>
      </c>
      <c r="Z310" s="10" t="str">
        <f>IF(AND(D310="TRADING",I310&lt;&gt;"",L310&lt;&gt;"",M310&lt;&gt;"",N310&lt;&gt;"",O310&lt;&gt;""),"Yes","No")</f>
        <v>Yes</v>
      </c>
      <c r="AA310" s="10" t="s">
        <v>56</v>
      </c>
    </row>
    <row r="311" spans="1:27">
      <c r="A311" s="10" t="s">
        <v>201</v>
      </c>
      <c r="B311" s="10" t="s">
        <v>202</v>
      </c>
      <c r="C311" s="10" t="s">
        <v>12</v>
      </c>
      <c r="D311" s="10" t="s">
        <v>55</v>
      </c>
      <c r="E311" s="11" t="b">
        <v>1</v>
      </c>
      <c r="F311" s="12">
        <v>44498</v>
      </c>
      <c r="G311" s="12">
        <v>44498.999999988424</v>
      </c>
      <c r="H311" s="13">
        <f>IF(F311="","",(Summary!$B$5-F311)/365.25)</f>
        <v>4.7611567181914989</v>
      </c>
      <c r="I311" s="14">
        <v>2.9910000000000001</v>
      </c>
      <c r="J311" s="15">
        <v>-5.6499999999999996E-3</v>
      </c>
      <c r="K311" s="16">
        <v>28738.55</v>
      </c>
      <c r="L311" s="16">
        <v>86048.318530000004</v>
      </c>
      <c r="M311" s="17">
        <v>1579</v>
      </c>
      <c r="N311" s="14">
        <v>2.9929999999999999</v>
      </c>
      <c r="O311" s="14">
        <v>2.9940000000000002</v>
      </c>
      <c r="P311" s="18">
        <f>IF(OR(N311="",O311="",N311=0,O311=0),"",(O311-N311)/((O311+N311)/2))</f>
        <v>3.3405712376827592E-4</v>
      </c>
      <c r="Q311" s="14">
        <v>2.99417746</v>
      </c>
      <c r="R311" s="14">
        <v>3.032</v>
      </c>
      <c r="S311" s="14">
        <v>2.9670000000000001</v>
      </c>
      <c r="T311" s="12">
        <v>46236.012333634259</v>
      </c>
      <c r="U311" s="12">
        <v>46237.012333634259</v>
      </c>
      <c r="V311" s="14">
        <v>5</v>
      </c>
      <c r="W311" s="14">
        <v>0.01</v>
      </c>
      <c r="X311" s="14">
        <v>0.01</v>
      </c>
      <c r="Y311" s="14">
        <v>1E-3</v>
      </c>
      <c r="Z311" s="10" t="str">
        <f>IF(AND(D311="TRADING",I311&lt;&gt;"",L311&lt;&gt;"",M311&lt;&gt;"",N311&lt;&gt;"",O311&lt;&gt;""),"Yes","No")</f>
        <v>Yes</v>
      </c>
      <c r="AA311" s="10" t="s">
        <v>56</v>
      </c>
    </row>
    <row r="312" spans="1:27">
      <c r="A312" s="10" t="s">
        <v>304</v>
      </c>
      <c r="B312" s="10" t="s">
        <v>305</v>
      </c>
      <c r="C312" s="10" t="s">
        <v>12</v>
      </c>
      <c r="D312" s="10" t="s">
        <v>84</v>
      </c>
      <c r="E312" s="11" t="b">
        <v>1</v>
      </c>
      <c r="F312" s="12">
        <v>44504</v>
      </c>
      <c r="G312" s="12">
        <v>44504.999999988424</v>
      </c>
      <c r="H312" s="13">
        <f>IF(F312="","",(Summary!$B$5-F312)/365.25)</f>
        <v>4.7447296134687065</v>
      </c>
      <c r="I312" s="14">
        <v>1.7819</v>
      </c>
      <c r="J312" s="15">
        <v>2.81E-2</v>
      </c>
      <c r="K312" s="16">
        <v>433970.9</v>
      </c>
      <c r="L312" s="16">
        <v>768036.30934000004</v>
      </c>
      <c r="M312" s="17">
        <v>4001</v>
      </c>
      <c r="N312" s="14">
        <v>0</v>
      </c>
      <c r="O312" s="14">
        <v>0</v>
      </c>
      <c r="P312" s="18" t="str">
        <f>IF(OR(N312="",O312="",N312=0,O312=0),"",(O312-N312)/((O312+N312)/2))</f>
        <v/>
      </c>
      <c r="Q312" s="14">
        <v>1.76978758</v>
      </c>
      <c r="R312" s="14">
        <v>1.83</v>
      </c>
      <c r="S312" s="14">
        <v>1.7281</v>
      </c>
      <c r="T312" s="12">
        <v>46209.261123090277</v>
      </c>
      <c r="U312" s="12">
        <v>46210.261123090277</v>
      </c>
      <c r="V312" s="14">
        <v>5</v>
      </c>
      <c r="W312" s="14">
        <v>0.1</v>
      </c>
      <c r="X312" s="14">
        <v>0.1</v>
      </c>
      <c r="Y312" s="14">
        <v>1E-4</v>
      </c>
      <c r="Z312" s="10" t="str">
        <f>IF(AND(D312="TRADING",I312&lt;&gt;"",L312&lt;&gt;"",M312&lt;&gt;"",N312&lt;&gt;"",O312&lt;&gt;""),"Yes","No")</f>
        <v>No</v>
      </c>
      <c r="AA312" s="10" t="s">
        <v>56</v>
      </c>
    </row>
    <row r="313" spans="1:27">
      <c r="A313" s="10" t="s">
        <v>413</v>
      </c>
      <c r="B313" s="10" t="s">
        <v>414</v>
      </c>
      <c r="C313" s="10" t="s">
        <v>12</v>
      </c>
      <c r="D313" s="10" t="s">
        <v>84</v>
      </c>
      <c r="E313" s="11" t="b">
        <v>1</v>
      </c>
      <c r="F313" s="12">
        <v>44504</v>
      </c>
      <c r="G313" s="12">
        <v>44504.999999988424</v>
      </c>
      <c r="H313" s="13">
        <f>IF(F313="","",(Summary!$B$5-F313)/365.25)</f>
        <v>4.7447296134687065</v>
      </c>
      <c r="I313" s="14">
        <v>0.21707000000000001</v>
      </c>
      <c r="J313" s="15">
        <v>2.0209999999999999E-2</v>
      </c>
      <c r="K313" s="16">
        <v>3335747</v>
      </c>
      <c r="L313" s="16">
        <v>720889.29232000001</v>
      </c>
      <c r="M313" s="17">
        <v>4001</v>
      </c>
      <c r="N313" s="14">
        <v>0</v>
      </c>
      <c r="O313" s="14">
        <v>0</v>
      </c>
      <c r="P313" s="18" t="str">
        <f>IF(OR(N313="",O313="",N313=0,O313=0),"",(O313-N313)/((O313+N313)/2))</f>
        <v/>
      </c>
      <c r="Q313" s="14">
        <v>0.21611030000000001</v>
      </c>
      <c r="R313" s="14">
        <v>0.21848999999999999</v>
      </c>
      <c r="S313" s="14">
        <v>0.21198</v>
      </c>
      <c r="T313" s="12">
        <v>46209.261123090277</v>
      </c>
      <c r="U313" s="12">
        <v>46210.261123090277</v>
      </c>
      <c r="V313" s="14">
        <v>5</v>
      </c>
      <c r="W313" s="14">
        <v>1</v>
      </c>
      <c r="X313" s="14">
        <v>1</v>
      </c>
      <c r="Y313" s="14">
        <v>1.0000000000000001E-5</v>
      </c>
      <c r="Z313" s="10" t="str">
        <f>IF(AND(D313="TRADING",I313&lt;&gt;"",L313&lt;&gt;"",M313&lt;&gt;"",N313&lt;&gt;"",O313&lt;&gt;""),"Yes","No")</f>
        <v>No</v>
      </c>
      <c r="AA313" s="10" t="s">
        <v>56</v>
      </c>
    </row>
    <row r="314" spans="1:27">
      <c r="A314" s="10" t="s">
        <v>1070</v>
      </c>
      <c r="B314" s="10" t="s">
        <v>1071</v>
      </c>
      <c r="C314" s="10" t="s">
        <v>12</v>
      </c>
      <c r="D314" s="10" t="s">
        <v>84</v>
      </c>
      <c r="E314" s="11" t="b">
        <v>1</v>
      </c>
      <c r="F314" s="12">
        <v>44505</v>
      </c>
      <c r="G314" s="12">
        <v>44505.999999988424</v>
      </c>
      <c r="H314" s="13">
        <f>IF(F314="","",(Summary!$B$5-F314)/365.25)</f>
        <v>4.7419917626815744</v>
      </c>
      <c r="I314" s="14">
        <v>0</v>
      </c>
      <c r="J314" s="15">
        <v>0</v>
      </c>
      <c r="K314" s="16">
        <v>0</v>
      </c>
      <c r="L314" s="16">
        <v>0</v>
      </c>
      <c r="M314" s="17">
        <v>0</v>
      </c>
      <c r="N314" s="14">
        <v>0</v>
      </c>
      <c r="O314" s="14">
        <v>0</v>
      </c>
      <c r="P314" s="18" t="str">
        <f>IF(OR(N314="",O314="",N314=0,O314=0),"",(O314-N314)/((O314+N314)/2))</f>
        <v/>
      </c>
      <c r="Q314" s="14">
        <v>0</v>
      </c>
      <c r="R314" s="14">
        <v>0</v>
      </c>
      <c r="S314" s="14">
        <v>0</v>
      </c>
      <c r="T314" s="12">
        <v>46209.261123090277</v>
      </c>
      <c r="U314" s="12">
        <v>46210.261123090277</v>
      </c>
      <c r="V314" s="14">
        <v>10</v>
      </c>
      <c r="W314" s="14">
        <v>0.01</v>
      </c>
      <c r="X314" s="14">
        <v>0.01</v>
      </c>
      <c r="Y314" s="14">
        <v>0.01</v>
      </c>
      <c r="Z314" s="10" t="str">
        <f>IF(AND(D314="TRADING",I314&lt;&gt;"",L314&lt;&gt;"",M314&lt;&gt;"",N314&lt;&gt;"",O314&lt;&gt;""),"Yes","No")</f>
        <v>No</v>
      </c>
      <c r="AA314" s="10" t="s">
        <v>56</v>
      </c>
    </row>
    <row r="315" spans="1:27">
      <c r="A315" s="10" t="s">
        <v>842</v>
      </c>
      <c r="B315" s="10" t="s">
        <v>843</v>
      </c>
      <c r="C315" s="10" t="s">
        <v>12</v>
      </c>
      <c r="D315" s="10" t="s">
        <v>55</v>
      </c>
      <c r="E315" s="11" t="b">
        <v>1</v>
      </c>
      <c r="F315" s="12">
        <v>44508</v>
      </c>
      <c r="G315" s="12">
        <v>44508.999999988424</v>
      </c>
      <c r="H315" s="13">
        <f>IF(F315="","",(Summary!$B$5-F315)/365.25)</f>
        <v>4.7337782103201782</v>
      </c>
      <c r="I315" s="14">
        <v>1.151</v>
      </c>
      <c r="J315" s="15">
        <v>1.2310000000000001E-2</v>
      </c>
      <c r="K315" s="16">
        <v>101405.45</v>
      </c>
      <c r="L315" s="16">
        <v>116632.769076</v>
      </c>
      <c r="M315" s="17">
        <v>1525</v>
      </c>
      <c r="N315" s="14">
        <v>1.149</v>
      </c>
      <c r="O315" s="14">
        <v>1.151</v>
      </c>
      <c r="P315" s="18">
        <f>IF(OR(N315="",O315="",N315=0,O315=0),"",(O315-N315)/((O315+N315)/2))</f>
        <v>1.7391304347826103E-3</v>
      </c>
      <c r="Q315" s="14">
        <v>1.1501627299999999</v>
      </c>
      <c r="R315" s="14">
        <v>1.163</v>
      </c>
      <c r="S315" s="14">
        <v>1.131</v>
      </c>
      <c r="T315" s="12">
        <v>46236.012304849537</v>
      </c>
      <c r="U315" s="12">
        <v>46237.012304849537</v>
      </c>
      <c r="V315" s="14">
        <v>5</v>
      </c>
      <c r="W315" s="14">
        <v>1E-3</v>
      </c>
      <c r="X315" s="14">
        <v>1E-3</v>
      </c>
      <c r="Y315" s="14">
        <v>1E-3</v>
      </c>
      <c r="Z315" s="10" t="str">
        <f>IF(AND(D315="TRADING",I315&lt;&gt;"",L315&lt;&gt;"",M315&lt;&gt;"",N315&lt;&gt;"",O315&lt;&gt;""),"Yes","No")</f>
        <v>Yes</v>
      </c>
      <c r="AA315" s="10" t="s">
        <v>56</v>
      </c>
    </row>
    <row r="316" spans="1:27">
      <c r="A316" s="10" t="s">
        <v>365</v>
      </c>
      <c r="B316" s="10" t="s">
        <v>366</v>
      </c>
      <c r="C316" s="10" t="s">
        <v>12</v>
      </c>
      <c r="D316" s="10" t="s">
        <v>55</v>
      </c>
      <c r="E316" s="11" t="b">
        <v>1</v>
      </c>
      <c r="F316" s="12">
        <v>44510</v>
      </c>
      <c r="G316" s="12">
        <v>44510.999999988424</v>
      </c>
      <c r="H316" s="13">
        <f>IF(F316="","",(Summary!$B$5-F316)/365.25)</f>
        <v>4.7283025087459141</v>
      </c>
      <c r="I316" s="14">
        <v>0.36399999999999999</v>
      </c>
      <c r="J316" s="15">
        <v>5.5200000000000006E-3</v>
      </c>
      <c r="K316" s="16">
        <v>251837.13</v>
      </c>
      <c r="L316" s="16">
        <v>91741.460519999993</v>
      </c>
      <c r="M316" s="17">
        <v>2247</v>
      </c>
      <c r="N316" s="14">
        <v>0.36299999999999999</v>
      </c>
      <c r="O316" s="14">
        <v>0.36399999999999999</v>
      </c>
      <c r="P316" s="18">
        <f>IF(OR(N316="",O316="",N316=0,O316=0),"",(O316-N316)/((O316+N316)/2))</f>
        <v>2.7510316368638266E-3</v>
      </c>
      <c r="Q316" s="14">
        <v>0.36428885999999999</v>
      </c>
      <c r="R316" s="14">
        <v>0.36699999999999999</v>
      </c>
      <c r="S316" s="14">
        <v>0.36199999999999999</v>
      </c>
      <c r="T316" s="12">
        <v>46236.009423553238</v>
      </c>
      <c r="U316" s="12">
        <v>46237.009423553238</v>
      </c>
      <c r="V316" s="14">
        <v>5</v>
      </c>
      <c r="W316" s="14">
        <v>0.01</v>
      </c>
      <c r="X316" s="14">
        <v>0.01</v>
      </c>
      <c r="Y316" s="14">
        <v>1E-3</v>
      </c>
      <c r="Z316" s="10" t="str">
        <f>IF(AND(D316="TRADING",I316&lt;&gt;"",L316&lt;&gt;"",M316&lt;&gt;"",N316&lt;&gt;"",O316&lt;&gt;""),"Yes","No")</f>
        <v>Yes</v>
      </c>
      <c r="AA316" s="10" t="s">
        <v>56</v>
      </c>
    </row>
    <row r="317" spans="1:27">
      <c r="A317" s="10" t="s">
        <v>477</v>
      </c>
      <c r="B317" s="10" t="s">
        <v>478</v>
      </c>
      <c r="C317" s="10" t="s">
        <v>12</v>
      </c>
      <c r="D317" s="10" t="s">
        <v>55</v>
      </c>
      <c r="E317" s="11" t="b">
        <v>1</v>
      </c>
      <c r="F317" s="12">
        <v>44510</v>
      </c>
      <c r="G317" s="12">
        <v>44510.999999988424</v>
      </c>
      <c r="H317" s="13">
        <f>IF(F317="","",(Summary!$B$5-F317)/365.25)</f>
        <v>4.7283025087459141</v>
      </c>
      <c r="I317" s="14">
        <v>4.26</v>
      </c>
      <c r="J317" s="15">
        <v>1.188E-2</v>
      </c>
      <c r="K317" s="16">
        <v>33430.800000000003</v>
      </c>
      <c r="L317" s="16">
        <v>142269.53229999999</v>
      </c>
      <c r="M317" s="17">
        <v>1657</v>
      </c>
      <c r="N317" s="14">
        <v>4.25</v>
      </c>
      <c r="O317" s="14">
        <v>4.26</v>
      </c>
      <c r="P317" s="18">
        <f>IF(OR(N317="",O317="",N317=0,O317=0),"",(O317-N317)/((O317+N317)/2))</f>
        <v>2.3501762632196915E-3</v>
      </c>
      <c r="Q317" s="14">
        <v>4.2556424699999997</v>
      </c>
      <c r="R317" s="14">
        <v>4.3099999999999996</v>
      </c>
      <c r="S317" s="14">
        <v>4.2</v>
      </c>
      <c r="T317" s="12">
        <v>46236.01247642361</v>
      </c>
      <c r="U317" s="12">
        <v>46237.01247642361</v>
      </c>
      <c r="V317" s="14">
        <v>5</v>
      </c>
      <c r="W317" s="14">
        <v>0.01</v>
      </c>
      <c r="X317" s="14">
        <v>0.01</v>
      </c>
      <c r="Y317" s="14">
        <v>0.01</v>
      </c>
      <c r="Z317" s="10" t="str">
        <f>IF(AND(D317="TRADING",I317&lt;&gt;"",L317&lt;&gt;"",M317&lt;&gt;"",N317&lt;&gt;"",O317&lt;&gt;""),"Yes","No")</f>
        <v>Yes</v>
      </c>
      <c r="AA317" s="10" t="s">
        <v>56</v>
      </c>
    </row>
    <row r="318" spans="1:27">
      <c r="A318" s="10" t="s">
        <v>730</v>
      </c>
      <c r="B318" s="10" t="s">
        <v>731</v>
      </c>
      <c r="C318" s="10" t="s">
        <v>12</v>
      </c>
      <c r="D318" s="10" t="s">
        <v>84</v>
      </c>
      <c r="E318" s="11" t="b">
        <v>1</v>
      </c>
      <c r="F318" s="12">
        <v>44512</v>
      </c>
      <c r="G318" s="12">
        <v>44512.999999988424</v>
      </c>
      <c r="H318" s="13">
        <f>IF(F318="","",(Summary!$B$5-F318)/365.25)</f>
        <v>4.722826807171649</v>
      </c>
      <c r="I318" s="14">
        <v>16.48</v>
      </c>
      <c r="J318" s="15">
        <v>-3.9070000000000001E-2</v>
      </c>
      <c r="K318" s="16">
        <v>22226.5</v>
      </c>
      <c r="L318" s="16">
        <v>367918.21879999997</v>
      </c>
      <c r="M318" s="17">
        <v>4001</v>
      </c>
      <c r="N318" s="14">
        <v>0</v>
      </c>
      <c r="O318" s="14">
        <v>0</v>
      </c>
      <c r="P318" s="18" t="str">
        <f>IF(OR(N318="",O318="",N318=0,O318=0),"",(O318-N318)/((O318+N318)/2))</f>
        <v/>
      </c>
      <c r="Q318" s="14">
        <v>16.553133370000001</v>
      </c>
      <c r="R318" s="14">
        <v>17.260000000000002</v>
      </c>
      <c r="S318" s="14">
        <v>15.88</v>
      </c>
      <c r="T318" s="12">
        <v>46209.261123090277</v>
      </c>
      <c r="U318" s="12">
        <v>46210.261123090277</v>
      </c>
      <c r="V318" s="14">
        <v>5</v>
      </c>
      <c r="W318" s="14">
        <v>0.01</v>
      </c>
      <c r="X318" s="14">
        <v>0.01</v>
      </c>
      <c r="Y318" s="14">
        <v>0.01</v>
      </c>
      <c r="Z318" s="10" t="str">
        <f>IF(AND(D318="TRADING",I318&lt;&gt;"",L318&lt;&gt;"",M318&lt;&gt;"",N318&lt;&gt;"",O318&lt;&gt;""),"Yes","No")</f>
        <v>No</v>
      </c>
      <c r="AA318" s="10" t="s">
        <v>56</v>
      </c>
    </row>
    <row r="319" spans="1:27">
      <c r="A319" s="10" t="s">
        <v>1026</v>
      </c>
      <c r="B319" s="10" t="s">
        <v>1027</v>
      </c>
      <c r="C319" s="10" t="s">
        <v>12</v>
      </c>
      <c r="D319" s="10" t="s">
        <v>55</v>
      </c>
      <c r="E319" s="11" t="b">
        <v>1</v>
      </c>
      <c r="F319" s="12">
        <v>44515</v>
      </c>
      <c r="G319" s="12">
        <v>44515.999999988424</v>
      </c>
      <c r="H319" s="13">
        <f>IF(F319="","",(Summary!$B$5-F319)/365.25)</f>
        <v>4.7146132548102528</v>
      </c>
      <c r="I319" s="14">
        <v>1.256E-3</v>
      </c>
      <c r="J319" s="15">
        <v>-3.9700000000000004E-3</v>
      </c>
      <c r="K319" s="16">
        <v>233323858</v>
      </c>
      <c r="L319" s="16">
        <v>297128.85772199999</v>
      </c>
      <c r="M319" s="17">
        <v>9068</v>
      </c>
      <c r="N319" s="14">
        <v>1.255E-3</v>
      </c>
      <c r="O319" s="14">
        <v>1.2570000000000001E-3</v>
      </c>
      <c r="P319" s="18">
        <f>IF(OR(N319="",O319="",N319=0,O319=0),"",(O319-N319)/((O319+N319)/2))</f>
        <v>1.5923566878981276E-3</v>
      </c>
      <c r="Q319" s="14">
        <v>1.2734599999999999E-3</v>
      </c>
      <c r="R319" s="14">
        <v>1.31E-3</v>
      </c>
      <c r="S319" s="14">
        <v>1.243E-3</v>
      </c>
      <c r="T319" s="12">
        <v>46236.012454780095</v>
      </c>
      <c r="U319" s="12">
        <v>46237.012454780095</v>
      </c>
      <c r="V319" s="14">
        <v>5</v>
      </c>
      <c r="W319" s="14">
        <v>1</v>
      </c>
      <c r="X319" s="14">
        <v>1</v>
      </c>
      <c r="Y319" s="14">
        <v>9.9999999999999995E-7</v>
      </c>
      <c r="Z319" s="10" t="str">
        <f>IF(AND(D319="TRADING",I319&lt;&gt;"",L319&lt;&gt;"",M319&lt;&gt;"",N319&lt;&gt;"",O319&lt;&gt;""),"Yes","No")</f>
        <v>Yes</v>
      </c>
      <c r="AA319" s="10" t="s">
        <v>56</v>
      </c>
    </row>
    <row r="320" spans="1:27">
      <c r="A320" s="10" t="s">
        <v>1002</v>
      </c>
      <c r="B320" s="10" t="s">
        <v>1003</v>
      </c>
      <c r="C320" s="10" t="s">
        <v>12</v>
      </c>
      <c r="D320" s="10" t="s">
        <v>55</v>
      </c>
      <c r="E320" s="11" t="b">
        <v>1</v>
      </c>
      <c r="F320" s="12">
        <v>44516</v>
      </c>
      <c r="G320" s="12">
        <v>44516.999999988424</v>
      </c>
      <c r="H320" s="13">
        <f>IF(F320="","",(Summary!$B$5-F320)/365.25)</f>
        <v>4.7118754040231208</v>
      </c>
      <c r="I320" s="14">
        <v>0.45</v>
      </c>
      <c r="J320" s="15">
        <v>1.3509999999999999E-2</v>
      </c>
      <c r="K320" s="16">
        <v>488289.8</v>
      </c>
      <c r="L320" s="16">
        <v>217249.51235999999</v>
      </c>
      <c r="M320" s="17">
        <v>6251</v>
      </c>
      <c r="N320" s="14">
        <v>0.45</v>
      </c>
      <c r="O320" s="14">
        <v>0.45100000000000001</v>
      </c>
      <c r="P320" s="18">
        <f>IF(OR(N320="",O320="",N320=0,O320=0),"",(O320-N320)/((O320+N320)/2))</f>
        <v>2.2197558268590473E-3</v>
      </c>
      <c r="Q320" s="14">
        <v>0.44491921000000001</v>
      </c>
      <c r="R320" s="14">
        <v>0.45500000000000002</v>
      </c>
      <c r="S320" s="14">
        <v>0.437</v>
      </c>
      <c r="T320" s="12">
        <v>46236.01225871528</v>
      </c>
      <c r="U320" s="12">
        <v>46237.01225871528</v>
      </c>
      <c r="V320" s="14">
        <v>5</v>
      </c>
      <c r="W320" s="14">
        <v>0.01</v>
      </c>
      <c r="X320" s="14">
        <v>0.01</v>
      </c>
      <c r="Y320" s="14">
        <v>1E-3</v>
      </c>
      <c r="Z320" s="10" t="str">
        <f>IF(AND(D320="TRADING",I320&lt;&gt;"",L320&lt;&gt;"",M320&lt;&gt;"",N320&lt;&gt;"",O320&lt;&gt;""),"Yes","No")</f>
        <v>Yes</v>
      </c>
      <c r="AA320" s="10" t="s">
        <v>56</v>
      </c>
    </row>
    <row r="321" spans="1:27">
      <c r="A321" s="10" t="s">
        <v>1004</v>
      </c>
      <c r="B321" s="10" t="s">
        <v>1005</v>
      </c>
      <c r="C321" s="10" t="s">
        <v>12</v>
      </c>
      <c r="D321" s="10" t="s">
        <v>55</v>
      </c>
      <c r="E321" s="11" t="b">
        <v>1</v>
      </c>
      <c r="F321" s="12">
        <v>44517</v>
      </c>
      <c r="G321" s="12">
        <v>44517.999999988424</v>
      </c>
      <c r="H321" s="13">
        <f>IF(F321="","",(Summary!$B$5-F321)/365.25)</f>
        <v>4.7091375532359887</v>
      </c>
      <c r="I321" s="14">
        <v>3.9300000000000002E-2</v>
      </c>
      <c r="J321" s="15">
        <v>-2.5400000000000002E-3</v>
      </c>
      <c r="K321" s="16">
        <v>762846</v>
      </c>
      <c r="L321" s="16">
        <v>30060.7117</v>
      </c>
      <c r="M321" s="17">
        <v>449</v>
      </c>
      <c r="N321" s="14">
        <v>3.9300000000000002E-2</v>
      </c>
      <c r="O321" s="14">
        <v>3.9399999999999998E-2</v>
      </c>
      <c r="P321" s="18">
        <f>IF(OR(N321="",O321="",N321=0,O321=0),"",(O321-N321)/((O321+N321)/2))</f>
        <v>2.5412960609910024E-3</v>
      </c>
      <c r="Q321" s="14">
        <v>3.9405999999999997E-2</v>
      </c>
      <c r="R321" s="14">
        <v>3.9899999999999998E-2</v>
      </c>
      <c r="S321" s="14">
        <v>3.9100000000000003E-2</v>
      </c>
      <c r="T321" s="12">
        <v>46236.012328483797</v>
      </c>
      <c r="U321" s="12">
        <v>46237.012328483797</v>
      </c>
      <c r="V321" s="14">
        <v>5</v>
      </c>
      <c r="W321" s="14">
        <v>1</v>
      </c>
      <c r="X321" s="14">
        <v>1</v>
      </c>
      <c r="Y321" s="14">
        <v>1E-4</v>
      </c>
      <c r="Z321" s="10" t="str">
        <f>IF(AND(D321="TRADING",I321&lt;&gt;"",L321&lt;&gt;"",M321&lt;&gt;"",N321&lt;&gt;"",O321&lt;&gt;""),"Yes","No")</f>
        <v>Yes</v>
      </c>
      <c r="AA321" s="10" t="s">
        <v>56</v>
      </c>
    </row>
    <row r="322" spans="1:27">
      <c r="A322" s="10" t="s">
        <v>688</v>
      </c>
      <c r="B322" s="10" t="s">
        <v>689</v>
      </c>
      <c r="C322" s="10" t="s">
        <v>12</v>
      </c>
      <c r="D322" s="10" t="s">
        <v>55</v>
      </c>
      <c r="E322" s="11" t="b">
        <v>1</v>
      </c>
      <c r="F322" s="12">
        <v>44522</v>
      </c>
      <c r="G322" s="12">
        <v>44522.999999988424</v>
      </c>
      <c r="H322" s="13">
        <f>IF(F322="","",(Summary!$B$5-F322)/365.25)</f>
        <v>4.6954482993003284</v>
      </c>
      <c r="I322" s="14">
        <v>4.3099999999999996E-3</v>
      </c>
      <c r="J322" s="15">
        <v>-6.9099999999999995E-3</v>
      </c>
      <c r="K322" s="16">
        <v>45213243</v>
      </c>
      <c r="L322" s="16">
        <v>195020.52926000001</v>
      </c>
      <c r="M322" s="17">
        <v>4260</v>
      </c>
      <c r="N322" s="14">
        <v>4.3099999999999996E-3</v>
      </c>
      <c r="O322" s="14">
        <v>4.3200000000000001E-3</v>
      </c>
      <c r="P322" s="18">
        <f>IF(OR(N322="",O322="",N322=0,O322=0),"",(O322-N322)/((O322+N322)/2))</f>
        <v>2.3174971031287282E-3</v>
      </c>
      <c r="Q322" s="14">
        <v>4.3133499999999996E-3</v>
      </c>
      <c r="R322" s="14">
        <v>4.3800000000000002E-3</v>
      </c>
      <c r="S322" s="14">
        <v>4.2700000000000004E-3</v>
      </c>
      <c r="T322" s="12">
        <v>46236.012394583333</v>
      </c>
      <c r="U322" s="12">
        <v>46237.012394583333</v>
      </c>
      <c r="V322" s="14">
        <v>5</v>
      </c>
      <c r="W322" s="14">
        <v>0.1</v>
      </c>
      <c r="X322" s="14">
        <v>0.1</v>
      </c>
      <c r="Y322" s="14">
        <v>1.0000000000000001E-5</v>
      </c>
      <c r="Z322" s="10" t="str">
        <f>IF(AND(D322="TRADING",I322&lt;&gt;"",L322&lt;&gt;"",M322&lt;&gt;"",N322&lt;&gt;"",O322&lt;&gt;""),"Yes","No")</f>
        <v>Yes</v>
      </c>
      <c r="AA322" s="10" t="s">
        <v>56</v>
      </c>
    </row>
    <row r="323" spans="1:27">
      <c r="A323" s="10" t="s">
        <v>1313</v>
      </c>
      <c r="B323" s="10" t="s">
        <v>1314</v>
      </c>
      <c r="C323" s="10" t="s">
        <v>12</v>
      </c>
      <c r="D323" s="10" t="s">
        <v>84</v>
      </c>
      <c r="E323" s="11" t="b">
        <v>1</v>
      </c>
      <c r="F323" s="12">
        <v>44522</v>
      </c>
      <c r="G323" s="12">
        <v>44522.999999988424</v>
      </c>
      <c r="H323" s="13">
        <f>IF(F323="","",(Summary!$B$5-F323)/365.25)</f>
        <v>4.6954482993003284</v>
      </c>
      <c r="I323" s="14">
        <v>1.7999999999999999E-2</v>
      </c>
      <c r="J323" s="15">
        <v>1.695E-2</v>
      </c>
      <c r="K323" s="16">
        <v>29163929.899999999</v>
      </c>
      <c r="L323" s="16">
        <v>515639.20639000001</v>
      </c>
      <c r="M323" s="17">
        <v>4001</v>
      </c>
      <c r="N323" s="14">
        <v>0</v>
      </c>
      <c r="O323" s="14">
        <v>0</v>
      </c>
      <c r="P323" s="18" t="str">
        <f>IF(OR(N323="",O323="",N323=0,O323=0),"",(O323-N323)/((O323+N323)/2))</f>
        <v/>
      </c>
      <c r="Q323" s="14">
        <v>1.768072E-2</v>
      </c>
      <c r="R323" s="14">
        <v>1.8700000000000001E-2</v>
      </c>
      <c r="S323" s="14">
        <v>1.6400000000000001E-2</v>
      </c>
      <c r="T323" s="12">
        <v>46209.261123090277</v>
      </c>
      <c r="U323" s="12">
        <v>46210.261123090277</v>
      </c>
      <c r="V323" s="14">
        <v>5</v>
      </c>
      <c r="W323" s="14">
        <v>0.1</v>
      </c>
      <c r="X323" s="14">
        <v>0.1</v>
      </c>
      <c r="Y323" s="14">
        <v>1E-4</v>
      </c>
      <c r="Z323" s="10" t="str">
        <f>IF(AND(D323="TRADING",I323&lt;&gt;"",L323&lt;&gt;"",M323&lt;&gt;"",N323&lt;&gt;"",O323&lt;&gt;""),"Yes","No")</f>
        <v>No</v>
      </c>
      <c r="AA323" s="10" t="s">
        <v>56</v>
      </c>
    </row>
    <row r="324" spans="1:27">
      <c r="A324" s="10" t="s">
        <v>151</v>
      </c>
      <c r="B324" s="10" t="s">
        <v>152</v>
      </c>
      <c r="C324" s="10" t="s">
        <v>12</v>
      </c>
      <c r="D324" s="10" t="s">
        <v>55</v>
      </c>
      <c r="E324" s="11" t="b">
        <v>1</v>
      </c>
      <c r="F324" s="12">
        <v>44523</v>
      </c>
      <c r="G324" s="12">
        <v>44523.999999988424</v>
      </c>
      <c r="H324" s="13">
        <f>IF(F324="","",(Summary!$B$5-F324)/365.25)</f>
        <v>4.6927104485131963</v>
      </c>
      <c r="I324" s="14">
        <v>3.9399999999999998E-4</v>
      </c>
      <c r="J324" s="15">
        <v>1.2849999999999999E-2</v>
      </c>
      <c r="K324" s="16">
        <v>366948089</v>
      </c>
      <c r="L324" s="16">
        <v>144351.854177</v>
      </c>
      <c r="M324" s="17">
        <v>2669</v>
      </c>
      <c r="N324" s="14">
        <v>3.9399999999999998E-4</v>
      </c>
      <c r="O324" s="14">
        <v>3.9500000000000001E-4</v>
      </c>
      <c r="P324" s="18">
        <f>IF(OR(N324="",O324="",N324=0,O324=0),"",(O324-N324)/((O324+N324)/2))</f>
        <v>2.5348542458809237E-3</v>
      </c>
      <c r="Q324" s="14">
        <v>3.9337999999999998E-4</v>
      </c>
      <c r="R324" s="14">
        <v>4.0000000000000002E-4</v>
      </c>
      <c r="S324" s="14">
        <v>3.88E-4</v>
      </c>
      <c r="T324" s="12">
        <v>46236.011653402777</v>
      </c>
      <c r="U324" s="12">
        <v>46237.011653402777</v>
      </c>
      <c r="V324" s="14">
        <v>5</v>
      </c>
      <c r="W324" s="14">
        <v>1</v>
      </c>
      <c r="X324" s="14">
        <v>1</v>
      </c>
      <c r="Y324" s="14">
        <v>9.9999999999999995E-7</v>
      </c>
      <c r="Z324" s="10" t="str">
        <f>IF(AND(D324="TRADING",I324&lt;&gt;"",L324&lt;&gt;"",M324&lt;&gt;"",N324&lt;&gt;"",O324&lt;&gt;""),"Yes","No")</f>
        <v>Yes</v>
      </c>
      <c r="AA324" s="10" t="s">
        <v>56</v>
      </c>
    </row>
    <row r="325" spans="1:27">
      <c r="A325" s="10" t="s">
        <v>980</v>
      </c>
      <c r="B325" s="10" t="s">
        <v>981</v>
      </c>
      <c r="C325" s="10" t="s">
        <v>12</v>
      </c>
      <c r="D325" s="10" t="s">
        <v>84</v>
      </c>
      <c r="E325" s="11" t="b">
        <v>1</v>
      </c>
      <c r="F325" s="12">
        <v>44523</v>
      </c>
      <c r="G325" s="12">
        <v>44523.999999988424</v>
      </c>
      <c r="H325" s="13">
        <f>IF(F325="","",(Summary!$B$5-F325)/365.25)</f>
        <v>4.6927104485131963</v>
      </c>
      <c r="I325" s="14">
        <v>0.23469999999999999</v>
      </c>
      <c r="J325" s="15">
        <v>5.5309999999999998E-2</v>
      </c>
      <c r="K325" s="16">
        <v>3506608.82</v>
      </c>
      <c r="L325" s="16">
        <v>802650.28748199996</v>
      </c>
      <c r="M325" s="17">
        <v>4001</v>
      </c>
      <c r="N325" s="14">
        <v>0</v>
      </c>
      <c r="O325" s="14">
        <v>0</v>
      </c>
      <c r="P325" s="18" t="str">
        <f>IF(OR(N325="",O325="",N325=0,O325=0),"",(O325-N325)/((O325+N325)/2))</f>
        <v/>
      </c>
      <c r="Q325" s="14">
        <v>0.22889644000000001</v>
      </c>
      <c r="R325" s="14">
        <v>0.23799999999999999</v>
      </c>
      <c r="S325" s="14">
        <v>0.222</v>
      </c>
      <c r="T325" s="12">
        <v>46209.261123090277</v>
      </c>
      <c r="U325" s="12">
        <v>46210.261123090277</v>
      </c>
      <c r="V325" s="14">
        <v>5</v>
      </c>
      <c r="W325" s="14">
        <v>0.01</v>
      </c>
      <c r="X325" s="14">
        <v>0.01</v>
      </c>
      <c r="Y325" s="14">
        <v>1E-4</v>
      </c>
      <c r="Z325" s="10" t="str">
        <f>IF(AND(D325="TRADING",I325&lt;&gt;"",L325&lt;&gt;"",M325&lt;&gt;"",N325&lt;&gt;"",O325&lt;&gt;""),"Yes","No")</f>
        <v>No</v>
      </c>
      <c r="AA325" s="10" t="s">
        <v>56</v>
      </c>
    </row>
    <row r="326" spans="1:27">
      <c r="A326" s="10" t="s">
        <v>1020</v>
      </c>
      <c r="B326" s="10" t="s">
        <v>1021</v>
      </c>
      <c r="C326" s="10" t="s">
        <v>12</v>
      </c>
      <c r="D326" s="10" t="s">
        <v>55</v>
      </c>
      <c r="E326" s="11" t="b">
        <v>1</v>
      </c>
      <c r="F326" s="12">
        <v>44526</v>
      </c>
      <c r="G326" s="12">
        <v>44526.999999988424</v>
      </c>
      <c r="H326" s="13">
        <f>IF(F326="","",(Summary!$B$5-F326)/365.25)</f>
        <v>4.6844968961518001</v>
      </c>
      <c r="I326" s="14">
        <v>7.0999999999999994E-2</v>
      </c>
      <c r="J326" s="15">
        <v>-2.7400000000000001E-2</v>
      </c>
      <c r="K326" s="16">
        <v>4663879.9960000003</v>
      </c>
      <c r="L326" s="16">
        <v>336647.41908299999</v>
      </c>
      <c r="M326" s="17">
        <v>3261</v>
      </c>
      <c r="N326" s="14">
        <v>7.0000000000000007E-2</v>
      </c>
      <c r="O326" s="14">
        <v>7.0999999999999994E-2</v>
      </c>
      <c r="P326" s="18">
        <f>IF(OR(N326="",O326="",N326=0,O326=0),"",(O326-N326)/((O326+N326)/2))</f>
        <v>1.4184397163120381E-2</v>
      </c>
      <c r="Q326" s="14">
        <v>7.2181839999999997E-2</v>
      </c>
      <c r="R326" s="14">
        <v>7.5999999999999998E-2</v>
      </c>
      <c r="S326" s="14">
        <v>7.0000000000000007E-2</v>
      </c>
      <c r="T326" s="12">
        <v>46236.010744247687</v>
      </c>
      <c r="U326" s="12">
        <v>46237.010744247687</v>
      </c>
      <c r="V326" s="14">
        <v>5</v>
      </c>
      <c r="W326" s="14">
        <v>1E-3</v>
      </c>
      <c r="X326" s="14">
        <v>1E-3</v>
      </c>
      <c r="Y326" s="14">
        <v>1E-3</v>
      </c>
      <c r="Z326" s="10" t="str">
        <f>IF(AND(D326="TRADING",I326&lt;&gt;"",L326&lt;&gt;"",M326&lt;&gt;"",N326&lt;&gt;"",O326&lt;&gt;""),"Yes","No")</f>
        <v>Yes</v>
      </c>
      <c r="AA326" s="10" t="s">
        <v>56</v>
      </c>
    </row>
    <row r="327" spans="1:27">
      <c r="A327" s="10" t="s">
        <v>1080</v>
      </c>
      <c r="B327" s="10" t="s">
        <v>1081</v>
      </c>
      <c r="C327" s="10" t="s">
        <v>12</v>
      </c>
      <c r="D327" s="10" t="s">
        <v>84</v>
      </c>
      <c r="E327" s="11" t="b">
        <v>1</v>
      </c>
      <c r="F327" s="12">
        <v>44527</v>
      </c>
      <c r="G327" s="12">
        <v>44527.999999988424</v>
      </c>
      <c r="H327" s="13">
        <f>IF(F327="","",(Summary!$B$5-F327)/365.25)</f>
        <v>4.681759045364668</v>
      </c>
      <c r="I327" s="14">
        <v>7.03</v>
      </c>
      <c r="J327" s="15">
        <v>2.5830000000000002E-2</v>
      </c>
      <c r="K327" s="16">
        <v>233254.93</v>
      </c>
      <c r="L327" s="16">
        <v>1634692.1773999999</v>
      </c>
      <c r="M327" s="17">
        <v>4001</v>
      </c>
      <c r="N327" s="14">
        <v>0</v>
      </c>
      <c r="O327" s="14">
        <v>0</v>
      </c>
      <c r="P327" s="18" t="str">
        <f>IF(OR(N327="",O327="",N327=0,O327=0),"",(O327-N327)/((O327+N327)/2))</f>
        <v/>
      </c>
      <c r="Q327" s="14">
        <v>7.0081784699999998</v>
      </c>
      <c r="R327" s="14">
        <v>7.1050000000000004</v>
      </c>
      <c r="S327" s="14">
        <v>6.843</v>
      </c>
      <c r="T327" s="12">
        <v>46209.261123090277</v>
      </c>
      <c r="U327" s="12">
        <v>46210.261123090277</v>
      </c>
      <c r="V327" s="14">
        <v>5</v>
      </c>
      <c r="W327" s="14">
        <v>0.01</v>
      </c>
      <c r="X327" s="14">
        <v>0.01</v>
      </c>
      <c r="Y327" s="14">
        <v>1E-3</v>
      </c>
      <c r="Z327" s="10" t="str">
        <f>IF(AND(D327="TRADING",I327&lt;&gt;"",L327&lt;&gt;"",M327&lt;&gt;"",N327&lt;&gt;"",O327&lt;&gt;""),"Yes","No")</f>
        <v>No</v>
      </c>
      <c r="AA327" s="10" t="s">
        <v>56</v>
      </c>
    </row>
    <row r="328" spans="1:27">
      <c r="A328" s="10" t="s">
        <v>129</v>
      </c>
      <c r="B328" s="10" t="s">
        <v>130</v>
      </c>
      <c r="C328" s="10" t="s">
        <v>12</v>
      </c>
      <c r="D328" s="10" t="s">
        <v>84</v>
      </c>
      <c r="E328" s="11" t="b">
        <v>1</v>
      </c>
      <c r="F328" s="12">
        <v>44530</v>
      </c>
      <c r="G328" s="12">
        <v>44530.999999988424</v>
      </c>
      <c r="H328" s="13">
        <f>IF(F328="","",(Summary!$B$5-F328)/365.25)</f>
        <v>4.6735454930032718</v>
      </c>
      <c r="I328" s="14">
        <v>1.91</v>
      </c>
      <c r="J328" s="15">
        <v>-5.4459999999999995E-2</v>
      </c>
      <c r="K328" s="16">
        <v>142780.81090000001</v>
      </c>
      <c r="L328" s="16">
        <v>277340.49590500002</v>
      </c>
      <c r="M328" s="17">
        <v>7017</v>
      </c>
      <c r="N328" s="14">
        <v>0</v>
      </c>
      <c r="O328" s="14">
        <v>0</v>
      </c>
      <c r="P328" s="18" t="str">
        <f>IF(OR(N328="",O328="",N328=0,O328=0),"",(O328-N328)/((O328+N328)/2))</f>
        <v/>
      </c>
      <c r="Q328" s="14">
        <v>1.94242135</v>
      </c>
      <c r="R328" s="14">
        <v>2.39</v>
      </c>
      <c r="S328" s="14">
        <v>1.8</v>
      </c>
      <c r="T328" s="12">
        <v>46212.125029305556</v>
      </c>
      <c r="U328" s="12">
        <v>46213.125029305556</v>
      </c>
      <c r="V328" s="14">
        <v>5</v>
      </c>
      <c r="W328" s="14">
        <v>1E-4</v>
      </c>
      <c r="X328" s="14">
        <v>1E-4</v>
      </c>
      <c r="Y328" s="14">
        <v>0.01</v>
      </c>
      <c r="Z328" s="10" t="str">
        <f>IF(AND(D328="TRADING",I328&lt;&gt;"",L328&lt;&gt;"",M328&lt;&gt;"",N328&lt;&gt;"",O328&lt;&gt;""),"Yes","No")</f>
        <v>No</v>
      </c>
      <c r="AA328" s="10" t="s">
        <v>56</v>
      </c>
    </row>
    <row r="329" spans="1:27">
      <c r="A329" s="10" t="s">
        <v>1102</v>
      </c>
      <c r="B329" s="10" t="s">
        <v>1103</v>
      </c>
      <c r="C329" s="10" t="s">
        <v>12</v>
      </c>
      <c r="D329" s="10" t="s">
        <v>55</v>
      </c>
      <c r="E329" s="11" t="b">
        <v>1</v>
      </c>
      <c r="F329" s="12">
        <v>44531</v>
      </c>
      <c r="G329" s="12">
        <v>44531.999999988424</v>
      </c>
      <c r="H329" s="13">
        <f>IF(F329="","",(Summary!$B$5-F329)/365.25)</f>
        <v>4.6708076422161398</v>
      </c>
      <c r="I329" s="14">
        <v>0.47399999999999998</v>
      </c>
      <c r="J329" s="15">
        <v>-6.2900000000000005E-3</v>
      </c>
      <c r="K329" s="16">
        <v>250365.75</v>
      </c>
      <c r="L329" s="16">
        <v>119108.75018</v>
      </c>
      <c r="M329" s="17">
        <v>2623</v>
      </c>
      <c r="N329" s="14">
        <v>0.47299999999999998</v>
      </c>
      <c r="O329" s="14">
        <v>0.47399999999999998</v>
      </c>
      <c r="P329" s="18">
        <f>IF(OR(N329="",O329="",N329=0,O329=0),"",(O329-N329)/((O329+N329)/2))</f>
        <v>2.1119324181626208E-3</v>
      </c>
      <c r="Q329" s="14">
        <v>0.47573898999999997</v>
      </c>
      <c r="R329" s="14">
        <v>0.48099999999999998</v>
      </c>
      <c r="S329" s="14">
        <v>0.47099999999999997</v>
      </c>
      <c r="T329" s="12">
        <v>46236.012472175928</v>
      </c>
      <c r="U329" s="12">
        <v>46237.012472175928</v>
      </c>
      <c r="V329" s="14">
        <v>5</v>
      </c>
      <c r="W329" s="14">
        <v>0.01</v>
      </c>
      <c r="X329" s="14">
        <v>0.01</v>
      </c>
      <c r="Y329" s="14">
        <v>1E-3</v>
      </c>
      <c r="Z329" s="10" t="str">
        <f>IF(AND(D329="TRADING",I329&lt;&gt;"",L329&lt;&gt;"",M329&lt;&gt;"",N329&lt;&gt;"",O329&lt;&gt;""),"Yes","No")</f>
        <v>Yes</v>
      </c>
      <c r="AA329" s="10" t="s">
        <v>56</v>
      </c>
    </row>
    <row r="330" spans="1:27">
      <c r="A330" s="10" t="s">
        <v>800</v>
      </c>
      <c r="B330" s="10" t="s">
        <v>801</v>
      </c>
      <c r="C330" s="10" t="s">
        <v>12</v>
      </c>
      <c r="D330" s="10" t="s">
        <v>84</v>
      </c>
      <c r="E330" s="11" t="b">
        <v>1</v>
      </c>
      <c r="F330" s="12">
        <v>44532</v>
      </c>
      <c r="G330" s="12">
        <v>44532.999999988424</v>
      </c>
      <c r="H330" s="13">
        <f>IF(F330="","",(Summary!$B$5-F330)/365.25)</f>
        <v>4.6680697914290077</v>
      </c>
      <c r="I330" s="14">
        <v>0.48609999999999998</v>
      </c>
      <c r="J330" s="15">
        <v>2.1429999999999998E-2</v>
      </c>
      <c r="K330" s="16">
        <v>1286633.32</v>
      </c>
      <c r="L330" s="16">
        <v>628174.81909400003</v>
      </c>
      <c r="M330" s="17">
        <v>4001</v>
      </c>
      <c r="N330" s="14">
        <v>0</v>
      </c>
      <c r="O330" s="14">
        <v>0</v>
      </c>
      <c r="P330" s="18" t="str">
        <f>IF(OR(N330="",O330="",N330=0,O330=0),"",(O330-N330)/((O330+N330)/2))</f>
        <v/>
      </c>
      <c r="Q330" s="14">
        <v>0.48823142000000003</v>
      </c>
      <c r="R330" s="14">
        <v>0.50549999999999995</v>
      </c>
      <c r="S330" s="14">
        <v>0.47189999999999999</v>
      </c>
      <c r="T330" s="12">
        <v>46209.261123090277</v>
      </c>
      <c r="U330" s="12">
        <v>46210.261123090277</v>
      </c>
      <c r="V330" s="14">
        <v>5</v>
      </c>
      <c r="W330" s="14">
        <v>0.01</v>
      </c>
      <c r="X330" s="14">
        <v>0.01</v>
      </c>
      <c r="Y330" s="14">
        <v>1E-4</v>
      </c>
      <c r="Z330" s="10" t="str">
        <f>IF(AND(D330="TRADING",I330&lt;&gt;"",L330&lt;&gt;"",M330&lt;&gt;"",N330&lt;&gt;"",O330&lt;&gt;""),"Yes","No")</f>
        <v>No</v>
      </c>
      <c r="AA330" s="10" t="s">
        <v>56</v>
      </c>
    </row>
    <row r="331" spans="1:27">
      <c r="A331" s="10" t="s">
        <v>163</v>
      </c>
      <c r="B331" s="10" t="s">
        <v>164</v>
      </c>
      <c r="C331" s="10" t="s">
        <v>12</v>
      </c>
      <c r="D331" s="10" t="s">
        <v>84</v>
      </c>
      <c r="E331" s="11" t="b">
        <v>1</v>
      </c>
      <c r="F331" s="12">
        <v>44534</v>
      </c>
      <c r="G331" s="12">
        <v>44534.999999988424</v>
      </c>
      <c r="H331" s="13">
        <f>IF(F331="","",(Summary!$B$5-F331)/365.25)</f>
        <v>4.6625940898547436</v>
      </c>
      <c r="I331" s="14">
        <v>0</v>
      </c>
      <c r="J331" s="15">
        <v>0</v>
      </c>
      <c r="K331" s="16">
        <v>0</v>
      </c>
      <c r="L331" s="16">
        <v>0</v>
      </c>
      <c r="M331" s="17">
        <v>0</v>
      </c>
      <c r="N331" s="14">
        <v>0</v>
      </c>
      <c r="O331" s="14">
        <v>0</v>
      </c>
      <c r="P331" s="18" t="str">
        <f>IF(OR(N331="",O331="",N331=0,O331=0),"",(O331-N331)/((O331+N331)/2))</f>
        <v/>
      </c>
      <c r="Q331" s="14">
        <v>0</v>
      </c>
      <c r="R331" s="14">
        <v>0</v>
      </c>
      <c r="S331" s="14">
        <v>0</v>
      </c>
      <c r="T331" s="12">
        <v>46209.261123090277</v>
      </c>
      <c r="U331" s="12">
        <v>46210.261123090277</v>
      </c>
      <c r="V331" s="14">
        <v>10</v>
      </c>
      <c r="W331" s="14">
        <v>0.01</v>
      </c>
      <c r="X331" s="14">
        <v>0.01</v>
      </c>
      <c r="Y331" s="14">
        <v>0.01</v>
      </c>
      <c r="Z331" s="10" t="str">
        <f>IF(AND(D331="TRADING",I331&lt;&gt;"",L331&lt;&gt;"",M331&lt;&gt;"",N331&lt;&gt;"",O331&lt;&gt;""),"Yes","No")</f>
        <v>No</v>
      </c>
      <c r="AA331" s="10" t="s">
        <v>56</v>
      </c>
    </row>
    <row r="332" spans="1:27">
      <c r="A332" s="10" t="s">
        <v>279</v>
      </c>
      <c r="B332" s="10" t="s">
        <v>280</v>
      </c>
      <c r="C332" s="10" t="s">
        <v>12</v>
      </c>
      <c r="D332" s="10" t="s">
        <v>55</v>
      </c>
      <c r="E332" s="11" t="b">
        <v>1</v>
      </c>
      <c r="F332" s="12">
        <v>44539</v>
      </c>
      <c r="G332" s="12">
        <v>44539.999999988424</v>
      </c>
      <c r="H332" s="13">
        <f>IF(F332="","",(Summary!$B$5-F332)/365.25)</f>
        <v>4.6489048359190823</v>
      </c>
      <c r="I332" s="14">
        <v>1.627E-2</v>
      </c>
      <c r="J332" s="15">
        <v>0.38350000000000001</v>
      </c>
      <c r="K332" s="16">
        <v>264038419.25999999</v>
      </c>
      <c r="L332" s="16">
        <v>3816411.8193839998</v>
      </c>
      <c r="M332" s="17">
        <v>49545</v>
      </c>
      <c r="N332" s="14">
        <v>1.6289999999999999E-2</v>
      </c>
      <c r="O332" s="14">
        <v>1.6310000000000002E-2</v>
      </c>
      <c r="P332" s="18">
        <f>IF(OR(N332="",O332="",N332=0,O332=0),"",(O332-N332)/((O332+N332)/2))</f>
        <v>1.2269938650308375E-3</v>
      </c>
      <c r="Q332" s="14">
        <v>1.4454E-2</v>
      </c>
      <c r="R332" s="14">
        <v>1.668E-2</v>
      </c>
      <c r="S332" s="14">
        <v>1.174E-2</v>
      </c>
      <c r="T332" s="12">
        <v>46236.012486527776</v>
      </c>
      <c r="U332" s="12">
        <v>46237.012486527776</v>
      </c>
      <c r="V332" s="14">
        <v>5</v>
      </c>
      <c r="W332" s="14">
        <v>0.01</v>
      </c>
      <c r="X332" s="14">
        <v>0.01</v>
      </c>
      <c r="Y332" s="14">
        <v>1.0000000000000001E-5</v>
      </c>
      <c r="Z332" s="10" t="str">
        <f>IF(AND(D332="TRADING",I332&lt;&gt;"",L332&lt;&gt;"",M332&lt;&gt;"",N332&lt;&gt;"",O332&lt;&gt;""),"Yes","No")</f>
        <v>Yes</v>
      </c>
      <c r="AA332" s="10" t="s">
        <v>56</v>
      </c>
    </row>
    <row r="333" spans="1:27">
      <c r="A333" s="10" t="s">
        <v>542</v>
      </c>
      <c r="B333" s="10" t="s">
        <v>543</v>
      </c>
      <c r="C333" s="10" t="s">
        <v>12</v>
      </c>
      <c r="D333" s="10" t="s">
        <v>55</v>
      </c>
      <c r="E333" s="11" t="b">
        <v>1</v>
      </c>
      <c r="F333" s="12">
        <v>44540</v>
      </c>
      <c r="G333" s="12">
        <v>44540.999999988424</v>
      </c>
      <c r="H333" s="13">
        <f>IF(F333="","",(Summary!$B$5-F333)/365.25)</f>
        <v>4.6461669851319503</v>
      </c>
      <c r="I333" s="14">
        <v>4.0500000000000001E-2</v>
      </c>
      <c r="J333" s="15">
        <v>4.3810000000000002E-2</v>
      </c>
      <c r="K333" s="16">
        <v>1353788.56</v>
      </c>
      <c r="L333" s="16">
        <v>53725.937809000003</v>
      </c>
      <c r="M333" s="17">
        <v>2025</v>
      </c>
      <c r="N333" s="14">
        <v>4.0399999999999998E-2</v>
      </c>
      <c r="O333" s="14">
        <v>4.0500000000000001E-2</v>
      </c>
      <c r="P333" s="18">
        <f>IF(OR(N333="",O333="",N333=0,O333=0),"",(O333-N333)/((O333+N333)/2))</f>
        <v>2.4721878862794281E-3</v>
      </c>
      <c r="Q333" s="14">
        <v>3.9685619999999998E-2</v>
      </c>
      <c r="R333" s="14">
        <v>4.1000000000000002E-2</v>
      </c>
      <c r="S333" s="14">
        <v>3.8800000000000001E-2</v>
      </c>
      <c r="T333" s="12">
        <v>46236.012326770833</v>
      </c>
      <c r="U333" s="12">
        <v>46237.012326770833</v>
      </c>
      <c r="V333" s="14">
        <v>5</v>
      </c>
      <c r="W333" s="14">
        <v>0.01</v>
      </c>
      <c r="X333" s="14">
        <v>0.01</v>
      </c>
      <c r="Y333" s="14">
        <v>1E-4</v>
      </c>
      <c r="Z333" s="10" t="str">
        <f>IF(AND(D333="TRADING",I333&lt;&gt;"",L333&lt;&gt;"",M333&lt;&gt;"",N333&lt;&gt;"",O333&lt;&gt;""),"Yes","No")</f>
        <v>Yes</v>
      </c>
      <c r="AA333" s="10" t="s">
        <v>56</v>
      </c>
    </row>
    <row r="334" spans="1:27">
      <c r="A334" s="10" t="s">
        <v>564</v>
      </c>
      <c r="B334" s="10" t="s">
        <v>565</v>
      </c>
      <c r="C334" s="10" t="s">
        <v>12</v>
      </c>
      <c r="D334" s="10" t="s">
        <v>84</v>
      </c>
      <c r="E334" s="11" t="b">
        <v>1</v>
      </c>
      <c r="F334" s="12">
        <v>44540</v>
      </c>
      <c r="G334" s="12">
        <v>44540.999999988424</v>
      </c>
      <c r="H334" s="13">
        <f>IF(F334="","",(Summary!$B$5-F334)/365.25)</f>
        <v>4.6461669851319503</v>
      </c>
      <c r="I334" s="14">
        <v>0.81200000000000006</v>
      </c>
      <c r="J334" s="15">
        <v>-4.8070000000000002E-2</v>
      </c>
      <c r="K334" s="16">
        <v>558461.19999999995</v>
      </c>
      <c r="L334" s="16">
        <v>461501.88770000002</v>
      </c>
      <c r="M334" s="17">
        <v>4001</v>
      </c>
      <c r="N334" s="14">
        <v>0</v>
      </c>
      <c r="O334" s="14">
        <v>0</v>
      </c>
      <c r="P334" s="18" t="str">
        <f>IF(OR(N334="",O334="",N334=0,O334=0),"",(O334-N334)/((O334+N334)/2))</f>
        <v/>
      </c>
      <c r="Q334" s="14">
        <v>0.82638129000000005</v>
      </c>
      <c r="R334" s="14">
        <v>0.85499999999999998</v>
      </c>
      <c r="S334" s="14">
        <v>0.81100000000000005</v>
      </c>
      <c r="T334" s="12">
        <v>46209.261123090277</v>
      </c>
      <c r="U334" s="12">
        <v>46210.261123090277</v>
      </c>
      <c r="V334" s="14">
        <v>5</v>
      </c>
      <c r="W334" s="14">
        <v>0.1</v>
      </c>
      <c r="X334" s="14">
        <v>0.1</v>
      </c>
      <c r="Y334" s="14">
        <v>1E-3</v>
      </c>
      <c r="Z334" s="10" t="str">
        <f>IF(AND(D334="TRADING",I334&lt;&gt;"",L334&lt;&gt;"",M334&lt;&gt;"",N334&lt;&gt;"",O334&lt;&gt;""),"Yes","No")</f>
        <v>No</v>
      </c>
      <c r="AA334" s="10" t="s">
        <v>56</v>
      </c>
    </row>
    <row r="335" spans="1:27">
      <c r="A335" s="10" t="s">
        <v>1325</v>
      </c>
      <c r="B335" s="10" t="s">
        <v>1326</v>
      </c>
      <c r="C335" s="10" t="s">
        <v>12</v>
      </c>
      <c r="D335" s="10" t="s">
        <v>84</v>
      </c>
      <c r="E335" s="11" t="b">
        <v>1</v>
      </c>
      <c r="F335" s="12">
        <v>44544</v>
      </c>
      <c r="G335" s="12">
        <v>44544.999999988424</v>
      </c>
      <c r="H335" s="13">
        <f>IF(F335="","",(Summary!$B$5-F335)/365.25)</f>
        <v>4.635215581983422</v>
      </c>
      <c r="I335" s="14">
        <v>1.4E-2</v>
      </c>
      <c r="J335" s="15">
        <v>-3.4479999999999997E-2</v>
      </c>
      <c r="K335" s="16">
        <v>11872226.6</v>
      </c>
      <c r="L335" s="16">
        <v>163813.59403000001</v>
      </c>
      <c r="M335" s="17">
        <v>4001</v>
      </c>
      <c r="N335" s="14">
        <v>0</v>
      </c>
      <c r="O335" s="14">
        <v>0</v>
      </c>
      <c r="P335" s="18" t="str">
        <f>IF(OR(N335="",O335="",N335=0,O335=0),"",(O335-N335)/((O335+N335)/2))</f>
        <v/>
      </c>
      <c r="Q335" s="14">
        <v>1.3798049999999999E-2</v>
      </c>
      <c r="R335" s="14">
        <v>1.47E-2</v>
      </c>
      <c r="S335" s="14">
        <v>1.2999999999999999E-2</v>
      </c>
      <c r="T335" s="12">
        <v>46209.261123090277</v>
      </c>
      <c r="U335" s="12">
        <v>46210.261123090277</v>
      </c>
      <c r="V335" s="14">
        <v>5</v>
      </c>
      <c r="W335" s="14">
        <v>0.1</v>
      </c>
      <c r="X335" s="14">
        <v>0.1</v>
      </c>
      <c r="Y335" s="14">
        <v>1E-4</v>
      </c>
      <c r="Z335" s="10" t="str">
        <f>IF(AND(D335="TRADING",I335&lt;&gt;"",L335&lt;&gt;"",M335&lt;&gt;"",N335&lt;&gt;"",O335&lt;&gt;""),"Yes","No")</f>
        <v>No</v>
      </c>
      <c r="AA335" s="10" t="s">
        <v>56</v>
      </c>
    </row>
    <row r="336" spans="1:27">
      <c r="A336" s="10" t="s">
        <v>632</v>
      </c>
      <c r="B336" s="10" t="s">
        <v>633</v>
      </c>
      <c r="C336" s="10" t="s">
        <v>12</v>
      </c>
      <c r="D336" s="10" t="s">
        <v>84</v>
      </c>
      <c r="E336" s="11" t="b">
        <v>1</v>
      </c>
      <c r="F336" s="12">
        <v>44547</v>
      </c>
      <c r="G336" s="12">
        <v>44547.999999988424</v>
      </c>
      <c r="H336" s="13">
        <f>IF(F336="","",(Summary!$B$5-F336)/365.25)</f>
        <v>4.6270020296220258</v>
      </c>
      <c r="I336" s="14">
        <v>3.4000000000000002E-2</v>
      </c>
      <c r="J336" s="15">
        <v>-0.22727</v>
      </c>
      <c r="K336" s="16">
        <v>29496172.383000001</v>
      </c>
      <c r="L336" s="16">
        <v>1255373.8761</v>
      </c>
      <c r="M336" s="17">
        <v>10971</v>
      </c>
      <c r="N336" s="14">
        <v>0</v>
      </c>
      <c r="O336" s="14">
        <v>0</v>
      </c>
      <c r="P336" s="18" t="str">
        <f>IF(OR(N336="",O336="",N336=0,O336=0),"",(O336-N336)/((O336+N336)/2))</f>
        <v/>
      </c>
      <c r="Q336" s="14">
        <v>4.2560569999999999E-2</v>
      </c>
      <c r="R336" s="14">
        <v>5.5E-2</v>
      </c>
      <c r="S336" s="14">
        <v>3.3000000000000002E-2</v>
      </c>
      <c r="T336" s="12">
        <v>46209.261123090277</v>
      </c>
      <c r="U336" s="12">
        <v>46210.261123090277</v>
      </c>
      <c r="V336" s="14">
        <v>5</v>
      </c>
      <c r="W336" s="14">
        <v>1E-3</v>
      </c>
      <c r="X336" s="14">
        <v>1E-3</v>
      </c>
      <c r="Y336" s="14">
        <v>1E-3</v>
      </c>
      <c r="Z336" s="10" t="str">
        <f>IF(AND(D336="TRADING",I336&lt;&gt;"",L336&lt;&gt;"",M336&lt;&gt;"",N336&lt;&gt;"",O336&lt;&gt;""),"Yes","No")</f>
        <v>No</v>
      </c>
      <c r="AA336" s="10" t="s">
        <v>56</v>
      </c>
    </row>
    <row r="337" spans="1:27">
      <c r="A337" s="10" t="s">
        <v>407</v>
      </c>
      <c r="B337" s="10" t="s">
        <v>408</v>
      </c>
      <c r="C337" s="10" t="s">
        <v>12</v>
      </c>
      <c r="D337" s="10" t="s">
        <v>55</v>
      </c>
      <c r="E337" s="11" t="b">
        <v>1</v>
      </c>
      <c r="F337" s="12">
        <v>44553</v>
      </c>
      <c r="G337" s="12">
        <v>44553.999999988424</v>
      </c>
      <c r="H337" s="13">
        <f>IF(F337="","",(Summary!$B$5-F337)/365.25)</f>
        <v>4.6105749248992334</v>
      </c>
      <c r="I337" s="14">
        <v>1.3049999999999999</v>
      </c>
      <c r="J337" s="15">
        <v>2.8370000000000003E-2</v>
      </c>
      <c r="K337" s="16">
        <v>167511.85399999999</v>
      </c>
      <c r="L337" s="16">
        <v>217041.73884400001</v>
      </c>
      <c r="M337" s="17">
        <v>2760</v>
      </c>
      <c r="N337" s="14">
        <v>1.3029999999999999</v>
      </c>
      <c r="O337" s="14">
        <v>1.306</v>
      </c>
      <c r="P337" s="18">
        <f>IF(OR(N337="",O337="",N337=0,O337=0),"",(O337-N337)/((O337+N337)/2))</f>
        <v>2.2997316979686574E-3</v>
      </c>
      <c r="Q337" s="14">
        <v>1.29567988</v>
      </c>
      <c r="R337" s="14">
        <v>1.321</v>
      </c>
      <c r="S337" s="14">
        <v>1.2689999999999999</v>
      </c>
      <c r="T337" s="12">
        <v>46236.012354641207</v>
      </c>
      <c r="U337" s="12">
        <v>46237.012354641207</v>
      </c>
      <c r="V337" s="14">
        <v>5</v>
      </c>
      <c r="W337" s="14">
        <v>1E-3</v>
      </c>
      <c r="X337" s="14">
        <v>1E-3</v>
      </c>
      <c r="Y337" s="14">
        <v>1E-3</v>
      </c>
      <c r="Z337" s="10" t="str">
        <f>IF(AND(D337="TRADING",I337&lt;&gt;"",L337&lt;&gt;"",M337&lt;&gt;"",N337&lt;&gt;"",O337&lt;&gt;""),"Yes","No")</f>
        <v>Yes</v>
      </c>
      <c r="AA337" s="10" t="s">
        <v>56</v>
      </c>
    </row>
    <row r="338" spans="1:27">
      <c r="A338" s="10" t="s">
        <v>964</v>
      </c>
      <c r="B338" s="10" t="s">
        <v>965</v>
      </c>
      <c r="C338" s="10" t="s">
        <v>12</v>
      </c>
      <c r="D338" s="10" t="s">
        <v>55</v>
      </c>
      <c r="E338" s="11" t="b">
        <v>1</v>
      </c>
      <c r="F338" s="12">
        <v>44553</v>
      </c>
      <c r="G338" s="12">
        <v>44553.999999988424</v>
      </c>
      <c r="H338" s="13">
        <f>IF(F338="","",(Summary!$B$5-F338)/365.25)</f>
        <v>4.6105749248992334</v>
      </c>
      <c r="I338" s="14">
        <v>6.9800000000000001E-3</v>
      </c>
      <c r="J338" s="15">
        <v>7.5499999999999998E-2</v>
      </c>
      <c r="K338" s="16">
        <v>202331896.09999999</v>
      </c>
      <c r="L338" s="16">
        <v>1430553.426282</v>
      </c>
      <c r="M338" s="17">
        <v>25123</v>
      </c>
      <c r="N338" s="14">
        <v>6.9899999999999997E-3</v>
      </c>
      <c r="O338" s="14">
        <v>7.0000000000000001E-3</v>
      </c>
      <c r="P338" s="18">
        <f>IF(OR(N338="",O338="",N338=0,O338=0),"",(O338-N338)/((O338+N338)/2))</f>
        <v>1.4295925661187221E-3</v>
      </c>
      <c r="Q338" s="14">
        <v>7.0703299999999997E-3</v>
      </c>
      <c r="R338" s="14">
        <v>7.4400000000000004E-3</v>
      </c>
      <c r="S338" s="14">
        <v>6.4900000000000001E-3</v>
      </c>
      <c r="T338" s="12">
        <v>46236.012359548607</v>
      </c>
      <c r="U338" s="12">
        <v>46237.012359548607</v>
      </c>
      <c r="V338" s="14">
        <v>1</v>
      </c>
      <c r="W338" s="14">
        <v>0.1</v>
      </c>
      <c r="X338" s="14">
        <v>0.1</v>
      </c>
      <c r="Y338" s="14">
        <v>1.0000000000000001E-5</v>
      </c>
      <c r="Z338" s="10" t="str">
        <f>IF(AND(D338="TRADING",I338&lt;&gt;"",L338&lt;&gt;"",M338&lt;&gt;"",N338&lt;&gt;"",O338&lt;&gt;""),"Yes","No")</f>
        <v>Yes</v>
      </c>
      <c r="AA338" s="10" t="s">
        <v>56</v>
      </c>
    </row>
    <row r="339" spans="1:27">
      <c r="A339" s="10" t="s">
        <v>930</v>
      </c>
      <c r="B339" s="10" t="s">
        <v>931</v>
      </c>
      <c r="C339" s="10" t="s">
        <v>12</v>
      </c>
      <c r="D339" s="10" t="s">
        <v>84</v>
      </c>
      <c r="E339" s="11" t="b">
        <v>1</v>
      </c>
      <c r="F339" s="12">
        <v>44554</v>
      </c>
      <c r="G339" s="12">
        <v>44554.999999988424</v>
      </c>
      <c r="H339" s="13">
        <f>IF(F339="","",(Summary!$B$5-F339)/365.25)</f>
        <v>4.6078370741121013</v>
      </c>
      <c r="I339" s="14">
        <v>1.1900000000000001E-4</v>
      </c>
      <c r="J339" s="15">
        <v>-0.24684</v>
      </c>
      <c r="K339" s="16">
        <v>5406517123</v>
      </c>
      <c r="L339" s="16">
        <v>712370.49802499998</v>
      </c>
      <c r="M339" s="17">
        <v>4001</v>
      </c>
      <c r="N339" s="14">
        <v>0</v>
      </c>
      <c r="O339" s="14">
        <v>0</v>
      </c>
      <c r="P339" s="18" t="str">
        <f>IF(OR(N339="",O339="",N339=0,O339=0),"",(O339-N339)/((O339+N339)/2))</f>
        <v/>
      </c>
      <c r="Q339" s="14">
        <v>1.3176E-4</v>
      </c>
      <c r="R339" s="14">
        <v>1.63E-4</v>
      </c>
      <c r="S339" s="14">
        <v>1.16E-4</v>
      </c>
      <c r="T339" s="12">
        <v>46209.261123090277</v>
      </c>
      <c r="U339" s="12">
        <v>46210.261123090277</v>
      </c>
      <c r="V339" s="14">
        <v>5</v>
      </c>
      <c r="W339" s="14">
        <v>1</v>
      </c>
      <c r="X339" s="14">
        <v>1</v>
      </c>
      <c r="Y339" s="14">
        <v>9.9999999999999995E-7</v>
      </c>
      <c r="Z339" s="10" t="str">
        <f>IF(AND(D339="TRADING",I339&lt;&gt;"",L339&lt;&gt;"",M339&lt;&gt;"",N339&lt;&gt;"",O339&lt;&gt;""),"Yes","No")</f>
        <v>No</v>
      </c>
      <c r="AA339" s="10" t="s">
        <v>56</v>
      </c>
    </row>
    <row r="340" spans="1:27">
      <c r="A340" s="10" t="s">
        <v>1157</v>
      </c>
      <c r="B340" s="10" t="s">
        <v>1158</v>
      </c>
      <c r="C340" s="10" t="s">
        <v>12</v>
      </c>
      <c r="D340" s="10" t="s">
        <v>55</v>
      </c>
      <c r="E340" s="11" t="b">
        <v>1</v>
      </c>
      <c r="F340" s="12">
        <v>44554</v>
      </c>
      <c r="G340" s="12">
        <v>44554.999999988424</v>
      </c>
      <c r="H340" s="13">
        <f>IF(F340="","",(Summary!$B$5-F340)/365.25)</f>
        <v>4.6078370741121013</v>
      </c>
      <c r="I340" s="14">
        <v>7.7200000000000006E-5</v>
      </c>
      <c r="J340" s="15">
        <v>7.8300000000000002E-3</v>
      </c>
      <c r="K340" s="16">
        <v>1098369206</v>
      </c>
      <c r="L340" s="16">
        <v>84770.535662099996</v>
      </c>
      <c r="M340" s="17">
        <v>1820</v>
      </c>
      <c r="N340" s="14">
        <v>7.7100000000000004E-5</v>
      </c>
      <c r="O340" s="14">
        <v>7.7200000000000006E-5</v>
      </c>
      <c r="P340" s="18">
        <f>IF(OR(N340="",O340="",N340=0,O340=0),"",(O340-N340)/((O340+N340)/2))</f>
        <v>1.2961762799741079E-3</v>
      </c>
      <c r="Q340" s="14">
        <v>7.7180000000000003E-5</v>
      </c>
      <c r="R340" s="14">
        <v>7.7799999999999994E-5</v>
      </c>
      <c r="S340" s="14">
        <v>7.6500000000000003E-5</v>
      </c>
      <c r="T340" s="12">
        <v>46236.008931469907</v>
      </c>
      <c r="U340" s="12">
        <v>46237.008931469907</v>
      </c>
      <c r="V340" s="14">
        <v>5</v>
      </c>
      <c r="W340" s="14">
        <v>1</v>
      </c>
      <c r="X340" s="14">
        <v>1</v>
      </c>
      <c r="Y340" s="14">
        <v>9.9999999999999995E-8</v>
      </c>
      <c r="Z340" s="10" t="str">
        <f>IF(AND(D340="TRADING",I340&lt;&gt;"",L340&lt;&gt;"",M340&lt;&gt;"",N340&lt;&gt;"",O340&lt;&gt;""),"Yes","No")</f>
        <v>Yes</v>
      </c>
      <c r="AA340" s="10" t="s">
        <v>56</v>
      </c>
    </row>
    <row r="341" spans="1:27">
      <c r="A341" s="10" t="s">
        <v>1296</v>
      </c>
      <c r="B341" s="10" t="s">
        <v>1297</v>
      </c>
      <c r="C341" s="10" t="s">
        <v>12</v>
      </c>
      <c r="D341" s="10" t="s">
        <v>84</v>
      </c>
      <c r="E341" s="11" t="b">
        <v>1</v>
      </c>
      <c r="F341" s="12">
        <v>44554</v>
      </c>
      <c r="G341" s="12">
        <v>44554.999999988424</v>
      </c>
      <c r="H341" s="13">
        <f>IF(F341="","",(Summary!$B$5-F341)/365.25)</f>
        <v>4.6078370741121013</v>
      </c>
      <c r="I341" s="14">
        <v>0</v>
      </c>
      <c r="J341" s="15">
        <v>0</v>
      </c>
      <c r="K341" s="16">
        <v>0</v>
      </c>
      <c r="L341" s="16">
        <v>0</v>
      </c>
      <c r="M341" s="17">
        <v>0</v>
      </c>
      <c r="N341" s="14">
        <v>0</v>
      </c>
      <c r="O341" s="14">
        <v>0</v>
      </c>
      <c r="P341" s="18" t="str">
        <f>IF(OR(N341="",O341="",N341=0,O341=0),"",(O341-N341)/((O341+N341)/2))</f>
        <v/>
      </c>
      <c r="Q341" s="14">
        <v>0</v>
      </c>
      <c r="R341" s="14">
        <v>0</v>
      </c>
      <c r="S341" s="14">
        <v>0</v>
      </c>
      <c r="T341" s="12">
        <v>46209.261123090277</v>
      </c>
      <c r="U341" s="12">
        <v>46210.261123090277</v>
      </c>
      <c r="V341" s="14">
        <v>10</v>
      </c>
      <c r="W341" s="14">
        <v>1</v>
      </c>
      <c r="X341" s="14">
        <v>1</v>
      </c>
      <c r="Y341" s="14">
        <v>9.9999999999999995E-7</v>
      </c>
      <c r="Z341" s="10" t="str">
        <f>IF(AND(D341="TRADING",I341&lt;&gt;"",L341&lt;&gt;"",M341&lt;&gt;"",N341&lt;&gt;"",O341&lt;&gt;""),"Yes","No")</f>
        <v>No</v>
      </c>
      <c r="AA341" s="10" t="s">
        <v>56</v>
      </c>
    </row>
    <row r="342" spans="1:27">
      <c r="A342" s="10" t="s">
        <v>690</v>
      </c>
      <c r="B342" s="10" t="s">
        <v>691</v>
      </c>
      <c r="C342" s="10" t="s">
        <v>12</v>
      </c>
      <c r="D342" s="10" t="s">
        <v>55</v>
      </c>
      <c r="E342" s="11" t="b">
        <v>1</v>
      </c>
      <c r="F342" s="12">
        <v>44558</v>
      </c>
      <c r="G342" s="12">
        <v>44558.999999988424</v>
      </c>
      <c r="H342" s="13">
        <f>IF(F342="","",(Summary!$B$5-F342)/365.25)</f>
        <v>4.596885670963573</v>
      </c>
      <c r="I342" s="14">
        <v>2.4299999999999999E-2</v>
      </c>
      <c r="J342" s="15">
        <v>1.2500000000000001E-2</v>
      </c>
      <c r="K342" s="16">
        <v>4023317.64</v>
      </c>
      <c r="L342" s="16">
        <v>97302.669481000004</v>
      </c>
      <c r="M342" s="17">
        <v>1443</v>
      </c>
      <c r="N342" s="14">
        <v>2.4199999999999999E-2</v>
      </c>
      <c r="O342" s="14">
        <v>2.4299999999999999E-2</v>
      </c>
      <c r="P342" s="18">
        <f>IF(OR(N342="",O342="",N342=0,O342=0),"",(O342-N342)/((O342+N342)/2))</f>
        <v>4.1237113402061605E-3</v>
      </c>
      <c r="Q342" s="14">
        <v>2.418468E-2</v>
      </c>
      <c r="R342" s="14">
        <v>2.46E-2</v>
      </c>
      <c r="S342" s="14">
        <v>2.3800000000000002E-2</v>
      </c>
      <c r="T342" s="12">
        <v>46236.012401099535</v>
      </c>
      <c r="U342" s="12">
        <v>46237.012401099535</v>
      </c>
      <c r="V342" s="14">
        <v>5</v>
      </c>
      <c r="W342" s="14">
        <v>0.01</v>
      </c>
      <c r="X342" s="14">
        <v>0.01</v>
      </c>
      <c r="Y342" s="14">
        <v>1E-4</v>
      </c>
      <c r="Z342" s="10" t="str">
        <f>IF(AND(D342="TRADING",I342&lt;&gt;"",L342&lt;&gt;"",M342&lt;&gt;"",N342&lt;&gt;"",O342&lt;&gt;""),"Yes","No")</f>
        <v>Yes</v>
      </c>
      <c r="AA342" s="10" t="s">
        <v>56</v>
      </c>
    </row>
    <row r="343" spans="1:27">
      <c r="A343" s="10" t="s">
        <v>95</v>
      </c>
      <c r="B343" s="10" t="s">
        <v>96</v>
      </c>
      <c r="C343" s="10" t="s">
        <v>12</v>
      </c>
      <c r="D343" s="10" t="s">
        <v>55</v>
      </c>
      <c r="E343" s="11" t="b">
        <v>1</v>
      </c>
      <c r="F343" s="12">
        <v>44571</v>
      </c>
      <c r="G343" s="12">
        <v>44571.999999988424</v>
      </c>
      <c r="H343" s="13">
        <f>IF(F343="","",(Summary!$B$5-F343)/365.25)</f>
        <v>4.5612936107308553</v>
      </c>
      <c r="I343" s="14">
        <v>4.3200000000000001E-3</v>
      </c>
      <c r="J343" s="15">
        <v>-3.1390000000000001E-2</v>
      </c>
      <c r="K343" s="16">
        <v>143089521</v>
      </c>
      <c r="L343" s="16">
        <v>628233.60103999998</v>
      </c>
      <c r="M343" s="17">
        <v>8075</v>
      </c>
      <c r="N343" s="14">
        <v>4.3099999999999996E-3</v>
      </c>
      <c r="O343" s="14">
        <v>4.3200000000000001E-3</v>
      </c>
      <c r="P343" s="18">
        <f>IF(OR(N343="",O343="",N343=0,O343=0),"",(O343-N343)/((O343+N343)/2))</f>
        <v>2.3174971031287282E-3</v>
      </c>
      <c r="Q343" s="14">
        <v>4.3904900000000004E-3</v>
      </c>
      <c r="R343" s="14">
        <v>4.5100000000000001E-3</v>
      </c>
      <c r="S343" s="14">
        <v>4.3099999999999996E-3</v>
      </c>
      <c r="T343" s="12">
        <v>46236.012239641204</v>
      </c>
      <c r="U343" s="12">
        <v>46237.012239641204</v>
      </c>
      <c r="V343" s="14">
        <v>5</v>
      </c>
      <c r="W343" s="14">
        <v>1</v>
      </c>
      <c r="X343" s="14">
        <v>1</v>
      </c>
      <c r="Y343" s="14">
        <v>1.0000000000000001E-5</v>
      </c>
      <c r="Z343" s="10" t="str">
        <f>IF(AND(D343="TRADING",I343&lt;&gt;"",L343&lt;&gt;"",M343&lt;&gt;"",N343&lt;&gt;"",O343&lt;&gt;""),"Yes","No")</f>
        <v>Yes</v>
      </c>
      <c r="AA343" s="10" t="s">
        <v>56</v>
      </c>
    </row>
    <row r="344" spans="1:27">
      <c r="A344" s="10" t="s">
        <v>666</v>
      </c>
      <c r="B344" s="10" t="s">
        <v>667</v>
      </c>
      <c r="C344" s="10" t="s">
        <v>12</v>
      </c>
      <c r="D344" s="10" t="s">
        <v>55</v>
      </c>
      <c r="E344" s="11" t="b">
        <v>1</v>
      </c>
      <c r="F344" s="12">
        <v>44571</v>
      </c>
      <c r="G344" s="12">
        <v>44571.999999988424</v>
      </c>
      <c r="H344" s="13">
        <f>IF(F344="","",(Summary!$B$5-F344)/365.25)</f>
        <v>4.5612936107308553</v>
      </c>
      <c r="I344" s="14">
        <v>0.111</v>
      </c>
      <c r="J344" s="15">
        <v>1.4630000000000001E-2</v>
      </c>
      <c r="K344" s="16">
        <v>3274286.59</v>
      </c>
      <c r="L344" s="16">
        <v>363325.33973599999</v>
      </c>
      <c r="M344" s="17">
        <v>3684</v>
      </c>
      <c r="N344" s="14">
        <v>0.1109</v>
      </c>
      <c r="O344" s="14">
        <v>0.1111</v>
      </c>
      <c r="P344" s="18">
        <f>IF(OR(N344="",O344="",N344=0,O344=0),"",(O344-N344)/((O344+N344)/2))</f>
        <v>1.8018018018018534E-3</v>
      </c>
      <c r="Q344" s="14">
        <v>0.11096321000000001</v>
      </c>
      <c r="R344" s="14">
        <v>0.1129</v>
      </c>
      <c r="S344" s="14">
        <v>0.1085</v>
      </c>
      <c r="T344" s="12">
        <v>46236.012320648151</v>
      </c>
      <c r="U344" s="12">
        <v>46237.012320648151</v>
      </c>
      <c r="V344" s="14">
        <v>5</v>
      </c>
      <c r="W344" s="14">
        <v>0.01</v>
      </c>
      <c r="X344" s="14">
        <v>0.01</v>
      </c>
      <c r="Y344" s="14">
        <v>1E-4</v>
      </c>
      <c r="Z344" s="10" t="str">
        <f>IF(AND(D344="TRADING",I344&lt;&gt;"",L344&lt;&gt;"",M344&lt;&gt;"",N344&lt;&gt;"",O344&lt;&gt;""),"Yes","No")</f>
        <v>Yes</v>
      </c>
      <c r="AA344" s="10" t="s">
        <v>56</v>
      </c>
    </row>
    <row r="345" spans="1:27">
      <c r="A345" s="10" t="s">
        <v>582</v>
      </c>
      <c r="B345" s="10" t="s">
        <v>583</v>
      </c>
      <c r="C345" s="10" t="s">
        <v>12</v>
      </c>
      <c r="D345" s="10" t="s">
        <v>55</v>
      </c>
      <c r="E345" s="11" t="b">
        <v>1</v>
      </c>
      <c r="F345" s="12">
        <v>44572</v>
      </c>
      <c r="G345" s="12">
        <v>44572.999999988424</v>
      </c>
      <c r="H345" s="13">
        <f>IF(F345="","",(Summary!$B$5-F345)/365.25)</f>
        <v>4.5585557599437232</v>
      </c>
      <c r="I345" s="14">
        <v>7.4380000000000002E-3</v>
      </c>
      <c r="J345" s="15">
        <v>-5.0800000000000003E-3</v>
      </c>
      <c r="K345" s="16">
        <v>31143255.800000001</v>
      </c>
      <c r="L345" s="16">
        <v>235113.1015093</v>
      </c>
      <c r="M345" s="17">
        <v>5481</v>
      </c>
      <c r="N345" s="14">
        <v>7.4380000000000002E-3</v>
      </c>
      <c r="O345" s="14">
        <v>7.4510000000000002E-3</v>
      </c>
      <c r="P345" s="18">
        <f>IF(OR(N345="",O345="",N345=0,O345=0),"",(O345-N345)/((O345+N345)/2))</f>
        <v>1.7462556249580215E-3</v>
      </c>
      <c r="Q345" s="14">
        <v>7.5494100000000003E-3</v>
      </c>
      <c r="R345" s="14">
        <v>7.7739999999999997E-3</v>
      </c>
      <c r="S345" s="14">
        <v>7.4180000000000001E-3</v>
      </c>
      <c r="T345" s="12">
        <v>46236.011914479168</v>
      </c>
      <c r="U345" s="12">
        <v>46237.011914479168</v>
      </c>
      <c r="V345" s="14">
        <v>5</v>
      </c>
      <c r="W345" s="14">
        <v>0.1</v>
      </c>
      <c r="X345" s="14">
        <v>0.1</v>
      </c>
      <c r="Y345" s="14">
        <v>9.9999999999999995E-7</v>
      </c>
      <c r="Z345" s="10" t="str">
        <f>IF(AND(D345="TRADING",I345&lt;&gt;"",L345&lt;&gt;"",M345&lt;&gt;"",N345&lt;&gt;"",O345&lt;&gt;""),"Yes","No")</f>
        <v>Yes</v>
      </c>
      <c r="AA345" s="10" t="s">
        <v>56</v>
      </c>
    </row>
    <row r="346" spans="1:27">
      <c r="A346" s="10" t="s">
        <v>758</v>
      </c>
      <c r="B346" s="10" t="s">
        <v>759</v>
      </c>
      <c r="C346" s="10" t="s">
        <v>12</v>
      </c>
      <c r="D346" s="10" t="s">
        <v>84</v>
      </c>
      <c r="E346" s="11" t="b">
        <v>1</v>
      </c>
      <c r="F346" s="12">
        <v>44581</v>
      </c>
      <c r="G346" s="12">
        <v>44581.999999988424</v>
      </c>
      <c r="H346" s="13">
        <f>IF(F346="","",(Summary!$B$5-F346)/365.25)</f>
        <v>4.5339151028595346</v>
      </c>
      <c r="I346" s="14">
        <v>0.1237</v>
      </c>
      <c r="J346" s="15">
        <v>3.8620000000000002E-2</v>
      </c>
      <c r="K346" s="16">
        <v>7317699.5</v>
      </c>
      <c r="L346" s="16">
        <v>898447.18097999995</v>
      </c>
      <c r="M346" s="17">
        <v>4001</v>
      </c>
      <c r="N346" s="14">
        <v>0</v>
      </c>
      <c r="O346" s="14">
        <v>0</v>
      </c>
      <c r="P346" s="18" t="str">
        <f>IF(OR(N346="",O346="",N346=0,O346=0),"",(O346-N346)/((O346+N346)/2))</f>
        <v/>
      </c>
      <c r="Q346" s="14">
        <v>0.12277726999999999</v>
      </c>
      <c r="R346" s="14">
        <v>0.13</v>
      </c>
      <c r="S346" s="14">
        <v>0.1159</v>
      </c>
      <c r="T346" s="12">
        <v>46209.261123090277</v>
      </c>
      <c r="U346" s="12">
        <v>46210.261123090277</v>
      </c>
      <c r="V346" s="14">
        <v>5</v>
      </c>
      <c r="W346" s="14">
        <v>0.1</v>
      </c>
      <c r="X346" s="14">
        <v>0.1</v>
      </c>
      <c r="Y346" s="14">
        <v>1E-4</v>
      </c>
      <c r="Z346" s="10" t="str">
        <f>IF(AND(D346="TRADING",I346&lt;&gt;"",L346&lt;&gt;"",M346&lt;&gt;"",N346&lt;&gt;"",O346&lt;&gt;""),"Yes","No")</f>
        <v>No</v>
      </c>
      <c r="AA346" s="10" t="s">
        <v>56</v>
      </c>
    </row>
    <row r="347" spans="1:27">
      <c r="A347" s="10" t="s">
        <v>167</v>
      </c>
      <c r="B347" s="10" t="s">
        <v>168</v>
      </c>
      <c r="C347" s="10" t="s">
        <v>12</v>
      </c>
      <c r="D347" s="10" t="s">
        <v>55</v>
      </c>
      <c r="E347" s="11" t="b">
        <v>1</v>
      </c>
      <c r="F347" s="12">
        <v>44582</v>
      </c>
      <c r="G347" s="12">
        <v>44582.999999988424</v>
      </c>
      <c r="H347" s="13">
        <f>IF(F347="","",(Summary!$B$5-F347)/365.25)</f>
        <v>4.5311772520724025</v>
      </c>
      <c r="I347" s="14">
        <v>0.1885</v>
      </c>
      <c r="J347" s="15">
        <v>-2.027E-2</v>
      </c>
      <c r="K347" s="16">
        <v>1017940.92</v>
      </c>
      <c r="L347" s="16">
        <v>194175.660462</v>
      </c>
      <c r="M347" s="17">
        <v>3996</v>
      </c>
      <c r="N347" s="14">
        <v>0.18840000000000001</v>
      </c>
      <c r="O347" s="14">
        <v>0.1885</v>
      </c>
      <c r="P347" s="18">
        <f>IF(OR(N347="",O347="",N347=0,O347=0),"",(O347-N347)/((O347+N347)/2))</f>
        <v>5.30644733350963E-4</v>
      </c>
      <c r="Q347" s="14">
        <v>0.19075337000000001</v>
      </c>
      <c r="R347" s="14">
        <v>0.19339999999999999</v>
      </c>
      <c r="S347" s="14">
        <v>0.18820000000000001</v>
      </c>
      <c r="T347" s="12">
        <v>46236.012453240743</v>
      </c>
      <c r="U347" s="12">
        <v>46237.012453240743</v>
      </c>
      <c r="V347" s="14">
        <v>5</v>
      </c>
      <c r="W347" s="14">
        <v>0.01</v>
      </c>
      <c r="X347" s="14">
        <v>0.01</v>
      </c>
      <c r="Y347" s="14">
        <v>1E-4</v>
      </c>
      <c r="Z347" s="10" t="str">
        <f>IF(AND(D347="TRADING",I347&lt;&gt;"",L347&lt;&gt;"",M347&lt;&gt;"",N347&lt;&gt;"",O347&lt;&gt;""),"Yes","No")</f>
        <v>Yes</v>
      </c>
      <c r="AA347" s="10" t="s">
        <v>56</v>
      </c>
    </row>
    <row r="348" spans="1:27">
      <c r="A348" s="10" t="s">
        <v>1106</v>
      </c>
      <c r="B348" s="10" t="s">
        <v>1107</v>
      </c>
      <c r="C348" s="10" t="s">
        <v>12</v>
      </c>
      <c r="D348" s="10" t="s">
        <v>55</v>
      </c>
      <c r="E348" s="11" t="b">
        <v>1</v>
      </c>
      <c r="F348" s="12">
        <v>44582</v>
      </c>
      <c r="G348" s="12">
        <v>44582.999999988424</v>
      </c>
      <c r="H348" s="13">
        <f>IF(F348="","",(Summary!$B$5-F348)/365.25)</f>
        <v>4.5311772520724025</v>
      </c>
      <c r="I348" s="14">
        <v>3.1099999999999999E-2</v>
      </c>
      <c r="J348" s="15">
        <v>6.4700000000000001E-3</v>
      </c>
      <c r="K348" s="16">
        <v>4479903.8</v>
      </c>
      <c r="L348" s="16">
        <v>138309.19594999999</v>
      </c>
      <c r="M348" s="17">
        <v>2642</v>
      </c>
      <c r="N348" s="14">
        <v>3.1E-2</v>
      </c>
      <c r="O348" s="14">
        <v>3.1099999999999999E-2</v>
      </c>
      <c r="P348" s="18">
        <f>IF(OR(N348="",O348="",N348=0,O348=0),"",(O348-N348)/((O348+N348)/2))</f>
        <v>3.2206119162640707E-3</v>
      </c>
      <c r="Q348" s="14">
        <v>3.0873250000000001E-2</v>
      </c>
      <c r="R348" s="14">
        <v>3.1899999999999998E-2</v>
      </c>
      <c r="S348" s="14">
        <v>3.04E-2</v>
      </c>
      <c r="T348" s="12">
        <v>46236.012467071756</v>
      </c>
      <c r="U348" s="12">
        <v>46237.012467071756</v>
      </c>
      <c r="V348" s="14">
        <v>5</v>
      </c>
      <c r="W348" s="14">
        <v>0.1</v>
      </c>
      <c r="X348" s="14">
        <v>0.1</v>
      </c>
      <c r="Y348" s="14">
        <v>1E-4</v>
      </c>
      <c r="Z348" s="10" t="str">
        <f>IF(AND(D348="TRADING",I348&lt;&gt;"",L348&lt;&gt;"",M348&lt;&gt;"",N348&lt;&gt;"",O348&lt;&gt;""),"Yes","No")</f>
        <v>Yes</v>
      </c>
      <c r="AA348" s="10" t="s">
        <v>56</v>
      </c>
    </row>
    <row r="349" spans="1:27">
      <c r="A349" s="10" t="s">
        <v>91</v>
      </c>
      <c r="B349" s="10" t="s">
        <v>92</v>
      </c>
      <c r="C349" s="10" t="s">
        <v>12</v>
      </c>
      <c r="D349" s="10" t="s">
        <v>84</v>
      </c>
      <c r="E349" s="11" t="b">
        <v>1</v>
      </c>
      <c r="F349" s="12">
        <v>44586</v>
      </c>
      <c r="G349" s="12">
        <v>44586.999999988424</v>
      </c>
      <c r="H349" s="13">
        <f>IF(F349="","",(Summary!$B$5-F349)/365.25)</f>
        <v>4.5202258489238742</v>
      </c>
      <c r="I349" s="14">
        <v>1.8E-3</v>
      </c>
      <c r="J349" s="15">
        <v>-0.51351000000000002</v>
      </c>
      <c r="K349" s="16">
        <v>135352800.72</v>
      </c>
      <c r="L349" s="16">
        <v>371370.82661500003</v>
      </c>
      <c r="M349" s="17">
        <v>4001</v>
      </c>
      <c r="N349" s="14">
        <v>0</v>
      </c>
      <c r="O349" s="14">
        <v>0</v>
      </c>
      <c r="P349" s="18" t="str">
        <f>IF(OR(N349="",O349="",N349=0,O349=0),"",(O349-N349)/((O349+N349)/2))</f>
        <v/>
      </c>
      <c r="Q349" s="14">
        <v>2.7437199999999998E-3</v>
      </c>
      <c r="R349" s="14">
        <v>3.8E-3</v>
      </c>
      <c r="S349" s="14">
        <v>1.6999999999999999E-3</v>
      </c>
      <c r="T349" s="12">
        <v>46209.261123090277</v>
      </c>
      <c r="U349" s="12">
        <v>46210.261123090277</v>
      </c>
      <c r="V349" s="14">
        <v>5</v>
      </c>
      <c r="W349" s="14">
        <v>0.01</v>
      </c>
      <c r="X349" s="14">
        <v>0.01</v>
      </c>
      <c r="Y349" s="14">
        <v>1E-4</v>
      </c>
      <c r="Z349" s="10" t="str">
        <f>IF(AND(D349="TRADING",I349&lt;&gt;"",L349&lt;&gt;"",M349&lt;&gt;"",N349&lt;&gt;"",O349&lt;&gt;""),"Yes","No")</f>
        <v>No</v>
      </c>
      <c r="AA349" s="10" t="s">
        <v>56</v>
      </c>
    </row>
    <row r="350" spans="1:27">
      <c r="A350" s="10" t="s">
        <v>155</v>
      </c>
      <c r="B350" s="10" t="s">
        <v>156</v>
      </c>
      <c r="C350" s="10" t="s">
        <v>12</v>
      </c>
      <c r="D350" s="10" t="s">
        <v>84</v>
      </c>
      <c r="E350" s="11" t="b">
        <v>1</v>
      </c>
      <c r="F350" s="12">
        <v>44586</v>
      </c>
      <c r="G350" s="12">
        <v>44586.999999988424</v>
      </c>
      <c r="H350" s="13">
        <f>IF(F350="","",(Summary!$B$5-F350)/365.25)</f>
        <v>4.5202258489238742</v>
      </c>
      <c r="I350" s="14">
        <v>3.1510000000000003E-2</v>
      </c>
      <c r="J350" s="15">
        <v>-7.7310000000000004E-2</v>
      </c>
      <c r="K350" s="16">
        <v>19984596.800000001</v>
      </c>
      <c r="L350" s="16">
        <v>653323.48207190004</v>
      </c>
      <c r="M350" s="17">
        <v>4001</v>
      </c>
      <c r="N350" s="14">
        <v>0</v>
      </c>
      <c r="O350" s="14">
        <v>0</v>
      </c>
      <c r="P350" s="18" t="str">
        <f>IF(OR(N350="",O350="",N350=0,O350=0),"",(O350-N350)/((O350+N350)/2))</f>
        <v/>
      </c>
      <c r="Q350" s="14">
        <v>3.2691350000000001E-2</v>
      </c>
      <c r="R350" s="14">
        <v>3.5180000000000003E-2</v>
      </c>
      <c r="S350" s="14">
        <v>3.1009999999999999E-2</v>
      </c>
      <c r="T350" s="12">
        <v>46209.261123090277</v>
      </c>
      <c r="U350" s="12">
        <v>46210.261123090277</v>
      </c>
      <c r="V350" s="14">
        <v>10</v>
      </c>
      <c r="W350" s="14">
        <v>0.01</v>
      </c>
      <c r="X350" s="14">
        <v>0.01</v>
      </c>
      <c r="Y350" s="14">
        <v>1.0000000000000001E-5</v>
      </c>
      <c r="Z350" s="10" t="str">
        <f>IF(AND(D350="TRADING",I350&lt;&gt;"",L350&lt;&gt;"",M350&lt;&gt;"",N350&lt;&gt;"",O350&lt;&gt;""),"Yes","No")</f>
        <v>No</v>
      </c>
      <c r="AA350" s="10" t="s">
        <v>56</v>
      </c>
    </row>
    <row r="351" spans="1:27">
      <c r="A351" s="10" t="s">
        <v>325</v>
      </c>
      <c r="B351" s="10" t="s">
        <v>326</v>
      </c>
      <c r="C351" s="10" t="s">
        <v>12</v>
      </c>
      <c r="D351" s="10" t="s">
        <v>55</v>
      </c>
      <c r="E351" s="11" t="b">
        <v>1</v>
      </c>
      <c r="F351" s="12">
        <v>44586</v>
      </c>
      <c r="G351" s="12">
        <v>44586.999999988424</v>
      </c>
      <c r="H351" s="13">
        <f>IF(F351="","",(Summary!$B$5-F351)/365.25)</f>
        <v>4.5202258489238742</v>
      </c>
      <c r="I351" s="14">
        <v>2.7000000000000001E-7</v>
      </c>
      <c r="J351" s="15">
        <v>0</v>
      </c>
      <c r="K351" s="16">
        <v>423490461202</v>
      </c>
      <c r="L351" s="16">
        <v>112183.53075383999</v>
      </c>
      <c r="M351" s="17">
        <v>4306</v>
      </c>
      <c r="N351" s="14">
        <v>2.6E-7</v>
      </c>
      <c r="O351" s="14">
        <v>2.7000000000000001E-7</v>
      </c>
      <c r="P351" s="18">
        <f>IF(OR(N351="",O351="",N351=0,O351=0),"",(O351-N351)/((O351+N351)/2))</f>
        <v>3.7735849056603814E-2</v>
      </c>
      <c r="Q351" s="14">
        <v>2.6E-7</v>
      </c>
      <c r="R351" s="14">
        <v>2.7000000000000001E-7</v>
      </c>
      <c r="S351" s="14">
        <v>2.6E-7</v>
      </c>
      <c r="T351" s="12">
        <v>46236.012438483798</v>
      </c>
      <c r="U351" s="12">
        <v>46237.012438483798</v>
      </c>
      <c r="V351" s="14">
        <v>5</v>
      </c>
      <c r="W351" s="14">
        <v>1</v>
      </c>
      <c r="X351" s="14">
        <v>1</v>
      </c>
      <c r="Y351" s="14">
        <v>1E-8</v>
      </c>
      <c r="Z351" s="10" t="str">
        <f>IF(AND(D351="TRADING",I351&lt;&gt;"",L351&lt;&gt;"",M351&lt;&gt;"",N351&lt;&gt;"",O351&lt;&gt;""),"Yes","No")</f>
        <v>Yes</v>
      </c>
      <c r="AA351" s="10" t="s">
        <v>56</v>
      </c>
    </row>
    <row r="352" spans="1:27">
      <c r="A352" s="10" t="s">
        <v>1377</v>
      </c>
      <c r="B352" s="10" t="s">
        <v>1378</v>
      </c>
      <c r="C352" s="10" t="s">
        <v>12</v>
      </c>
      <c r="D352" s="10" t="s">
        <v>55</v>
      </c>
      <c r="E352" s="11" t="b">
        <v>1</v>
      </c>
      <c r="F352" s="12">
        <v>44589</v>
      </c>
      <c r="G352" s="12">
        <v>44589.999999988424</v>
      </c>
      <c r="H352" s="13">
        <f>IF(F352="","",(Summary!$B$5-F352)/365.25)</f>
        <v>4.512012296562478</v>
      </c>
      <c r="I352" s="14">
        <v>0.40100000000000002</v>
      </c>
      <c r="J352" s="15">
        <v>-1.9560000000000001E-2</v>
      </c>
      <c r="K352" s="16">
        <v>176643.72</v>
      </c>
      <c r="L352" s="16">
        <v>70626.071590000007</v>
      </c>
      <c r="M352" s="17">
        <v>1831</v>
      </c>
      <c r="N352" s="14">
        <v>0.39900000000000002</v>
      </c>
      <c r="O352" s="14">
        <v>0.40100000000000002</v>
      </c>
      <c r="P352" s="18">
        <f>IF(OR(N352="",O352="",N352=0,O352=0),"",(O352-N352)/((O352+N352)/2))</f>
        <v>5.0000000000000044E-3</v>
      </c>
      <c r="Q352" s="14">
        <v>0.39982214999999999</v>
      </c>
      <c r="R352" s="14">
        <v>0.41</v>
      </c>
      <c r="S352" s="14">
        <v>0.39</v>
      </c>
      <c r="T352" s="12">
        <v>46236.011355636576</v>
      </c>
      <c r="U352" s="12">
        <v>46237.011355636576</v>
      </c>
      <c r="V352" s="14">
        <v>5</v>
      </c>
      <c r="W352" s="14">
        <v>0.01</v>
      </c>
      <c r="X352" s="14">
        <v>0.01</v>
      </c>
      <c r="Y352" s="14">
        <v>1E-3</v>
      </c>
      <c r="Z352" s="10" t="str">
        <f>IF(AND(D352="TRADING",I352&lt;&gt;"",L352&lt;&gt;"",M352&lt;&gt;"",N352&lt;&gt;"",O352&lt;&gt;""),"Yes","No")</f>
        <v>Yes</v>
      </c>
      <c r="AA352" s="10" t="s">
        <v>56</v>
      </c>
    </row>
    <row r="353" spans="1:27">
      <c r="A353" s="10" t="s">
        <v>1357</v>
      </c>
      <c r="B353" s="10" t="s">
        <v>1358</v>
      </c>
      <c r="C353" s="10" t="s">
        <v>12</v>
      </c>
      <c r="D353" s="10" t="s">
        <v>55</v>
      </c>
      <c r="E353" s="11" t="b">
        <v>1</v>
      </c>
      <c r="F353" s="12">
        <v>44600</v>
      </c>
      <c r="G353" s="12">
        <v>44600.999999988424</v>
      </c>
      <c r="H353" s="13">
        <f>IF(F353="","",(Summary!$B$5-F353)/365.25)</f>
        <v>4.4818959379040244</v>
      </c>
      <c r="I353" s="14">
        <v>1.153E-2</v>
      </c>
      <c r="J353" s="15">
        <v>1.7399999999999998E-3</v>
      </c>
      <c r="K353" s="16">
        <v>6229029.5999999996</v>
      </c>
      <c r="L353" s="16">
        <v>71594.580023999995</v>
      </c>
      <c r="M353" s="17">
        <v>1228</v>
      </c>
      <c r="N353" s="14">
        <v>1.1520000000000001E-2</v>
      </c>
      <c r="O353" s="14">
        <v>1.154E-2</v>
      </c>
      <c r="P353" s="18">
        <f>IF(OR(N353="",O353="",N353=0,O353=0),"",(O353-N353)/((O353+N353)/2))</f>
        <v>1.7346053772765988E-3</v>
      </c>
      <c r="Q353" s="14">
        <v>1.1493700000000001E-2</v>
      </c>
      <c r="R353" s="14">
        <v>1.1679999999999999E-2</v>
      </c>
      <c r="S353" s="14">
        <v>1.136E-2</v>
      </c>
      <c r="T353" s="12">
        <v>46236.012481041667</v>
      </c>
      <c r="U353" s="12">
        <v>46237.012481041667</v>
      </c>
      <c r="V353" s="14">
        <v>5</v>
      </c>
      <c r="W353" s="14">
        <v>0.1</v>
      </c>
      <c r="X353" s="14">
        <v>0.1</v>
      </c>
      <c r="Y353" s="14">
        <v>1.0000000000000001E-5</v>
      </c>
      <c r="Z353" s="10" t="str">
        <f>IF(AND(D353="TRADING",I353&lt;&gt;"",L353&lt;&gt;"",M353&lt;&gt;"",N353&lt;&gt;"",O353&lt;&gt;""),"Yes","No")</f>
        <v>Yes</v>
      </c>
      <c r="AA353" s="10" t="s">
        <v>56</v>
      </c>
    </row>
    <row r="354" spans="1:27">
      <c r="A354" s="10" t="s">
        <v>141</v>
      </c>
      <c r="B354" s="10" t="s">
        <v>142</v>
      </c>
      <c r="C354" s="10" t="s">
        <v>12</v>
      </c>
      <c r="D354" s="10" t="s">
        <v>55</v>
      </c>
      <c r="E354" s="11" t="b">
        <v>1</v>
      </c>
      <c r="F354" s="12">
        <v>44613</v>
      </c>
      <c r="G354" s="12">
        <v>44613.999999988424</v>
      </c>
      <c r="H354" s="13">
        <f>IF(F354="","",(Summary!$B$5-F354)/365.25)</f>
        <v>4.4463038776713075</v>
      </c>
      <c r="I354" s="14">
        <v>0.315</v>
      </c>
      <c r="J354" s="15">
        <v>-1.5629999999999998E-2</v>
      </c>
      <c r="K354" s="16">
        <v>303255.86</v>
      </c>
      <c r="L354" s="16">
        <v>96362.660220000005</v>
      </c>
      <c r="M354" s="17">
        <v>3244</v>
      </c>
      <c r="N354" s="14">
        <v>0.315</v>
      </c>
      <c r="O354" s="14">
        <v>0.316</v>
      </c>
      <c r="P354" s="18">
        <f>IF(OR(N354="",O354="",N354=0,O354=0),"",(O354-N354)/((O354+N354)/2))</f>
        <v>3.1695721077654544E-3</v>
      </c>
      <c r="Q354" s="14">
        <v>0.31776026000000002</v>
      </c>
      <c r="R354" s="14">
        <v>0.32200000000000001</v>
      </c>
      <c r="S354" s="14">
        <v>0.314</v>
      </c>
      <c r="T354" s="12">
        <v>46236.012366238429</v>
      </c>
      <c r="U354" s="12">
        <v>46237.012366238429</v>
      </c>
      <c r="V354" s="14">
        <v>5</v>
      </c>
      <c r="W354" s="14">
        <v>0.01</v>
      </c>
      <c r="X354" s="14">
        <v>0.01</v>
      </c>
      <c r="Y354" s="14">
        <v>1E-3</v>
      </c>
      <c r="Z354" s="10" t="str">
        <f>IF(AND(D354="TRADING",I354&lt;&gt;"",L354&lt;&gt;"",M354&lt;&gt;"",N354&lt;&gt;"",O354&lt;&gt;""),"Yes","No")</f>
        <v>Yes</v>
      </c>
      <c r="AA354" s="10" t="s">
        <v>56</v>
      </c>
    </row>
    <row r="355" spans="1:27">
      <c r="A355" s="10" t="s">
        <v>1263</v>
      </c>
      <c r="B355" s="10" t="s">
        <v>1264</v>
      </c>
      <c r="C355" s="10" t="s">
        <v>12</v>
      </c>
      <c r="D355" s="10" t="s">
        <v>55</v>
      </c>
      <c r="E355" s="11" t="b">
        <v>1</v>
      </c>
      <c r="F355" s="12">
        <v>44617</v>
      </c>
      <c r="G355" s="12">
        <v>44617.999999988424</v>
      </c>
      <c r="H355" s="13">
        <f>IF(F355="","",(Summary!$B$5-F355)/365.25)</f>
        <v>4.4353524745227793</v>
      </c>
      <c r="I355" s="14">
        <v>3.2399999999999998E-3</v>
      </c>
      <c r="J355" s="15">
        <v>-3.8580000000000003E-2</v>
      </c>
      <c r="K355" s="16">
        <v>52515246.100000001</v>
      </c>
      <c r="L355" s="16">
        <v>174138.754178</v>
      </c>
      <c r="M355" s="17">
        <v>1631</v>
      </c>
      <c r="N355" s="14">
        <v>3.2299999999999998E-3</v>
      </c>
      <c r="O355" s="14">
        <v>3.2399999999999998E-3</v>
      </c>
      <c r="P355" s="18">
        <f>IF(OR(N355="",O355="",N355=0,O355=0),"",(O355-N355)/((O355+N355)/2))</f>
        <v>3.091190108191662E-3</v>
      </c>
      <c r="Q355" s="14">
        <v>3.3159700000000001E-3</v>
      </c>
      <c r="R355" s="14">
        <v>3.4299999999999999E-3</v>
      </c>
      <c r="S355" s="14">
        <v>3.2399999999999998E-3</v>
      </c>
      <c r="T355" s="12">
        <v>46236.012323483796</v>
      </c>
      <c r="U355" s="12">
        <v>46237.012323483796</v>
      </c>
      <c r="V355" s="14">
        <v>5</v>
      </c>
      <c r="W355" s="14">
        <v>0.1</v>
      </c>
      <c r="X355" s="14">
        <v>0.1</v>
      </c>
      <c r="Y355" s="14">
        <v>1.0000000000000001E-5</v>
      </c>
      <c r="Z355" s="10" t="str">
        <f>IF(AND(D355="TRADING",I355&lt;&gt;"",L355&lt;&gt;"",M355&lt;&gt;"",N355&lt;&gt;"",O355&lt;&gt;""),"Yes","No")</f>
        <v>Yes</v>
      </c>
      <c r="AA355" s="10" t="s">
        <v>56</v>
      </c>
    </row>
    <row r="356" spans="1:27">
      <c r="A356" s="10" t="s">
        <v>189</v>
      </c>
      <c r="B356" s="10" t="s">
        <v>190</v>
      </c>
      <c r="C356" s="10" t="s">
        <v>12</v>
      </c>
      <c r="D356" s="10" t="s">
        <v>55</v>
      </c>
      <c r="E356" s="11" t="b">
        <v>1</v>
      </c>
      <c r="F356" s="12">
        <v>44620</v>
      </c>
      <c r="G356" s="12">
        <v>44620.999999988424</v>
      </c>
      <c r="H356" s="13">
        <f>IF(F356="","",(Summary!$B$5-F356)/365.25)</f>
        <v>4.4271389221613822</v>
      </c>
      <c r="I356" s="14">
        <v>4.8170000000000001E-3</v>
      </c>
      <c r="J356" s="15">
        <v>-1.8599999999999999E-3</v>
      </c>
      <c r="K356" s="16">
        <v>14946347.5</v>
      </c>
      <c r="L356" s="16">
        <v>72411.300552000001</v>
      </c>
      <c r="M356" s="17">
        <v>2035</v>
      </c>
      <c r="N356" s="14">
        <v>4.8120000000000003E-3</v>
      </c>
      <c r="O356" s="14">
        <v>4.8149999999999998E-3</v>
      </c>
      <c r="P356" s="18">
        <f>IF(OR(N356="",O356="",N356=0,O356=0),"",(O356-N356)/((O356+N356)/2))</f>
        <v>6.2324711748198416E-4</v>
      </c>
      <c r="Q356" s="14">
        <v>4.8447500000000001E-3</v>
      </c>
      <c r="R356" s="14">
        <v>4.8809999999999999E-3</v>
      </c>
      <c r="S356" s="14">
        <v>4.81E-3</v>
      </c>
      <c r="T356" s="12">
        <v>46236.012260752315</v>
      </c>
      <c r="U356" s="12">
        <v>46237.012260752315</v>
      </c>
      <c r="V356" s="14">
        <v>5</v>
      </c>
      <c r="W356" s="14">
        <v>0.1</v>
      </c>
      <c r="X356" s="14">
        <v>0.1</v>
      </c>
      <c r="Y356" s="14">
        <v>9.9999999999999995E-7</v>
      </c>
      <c r="Z356" s="10" t="str">
        <f>IF(AND(D356="TRADING",I356&lt;&gt;"",L356&lt;&gt;"",M356&lt;&gt;"",N356&lt;&gt;"",O356&lt;&gt;""),"Yes","No")</f>
        <v>Yes</v>
      </c>
      <c r="AA356" s="10" t="s">
        <v>56</v>
      </c>
    </row>
    <row r="357" spans="1:27">
      <c r="A357" s="10" t="s">
        <v>588</v>
      </c>
      <c r="B357" s="10" t="s">
        <v>589</v>
      </c>
      <c r="C357" s="10" t="s">
        <v>12</v>
      </c>
      <c r="D357" s="10" t="s">
        <v>55</v>
      </c>
      <c r="E357" s="11" t="b">
        <v>1</v>
      </c>
      <c r="F357" s="12">
        <v>44629</v>
      </c>
      <c r="G357" s="12">
        <v>44629.999999988424</v>
      </c>
      <c r="H357" s="13">
        <f>IF(F357="","",(Summary!$B$5-F357)/365.25)</f>
        <v>4.4024982650771936</v>
      </c>
      <c r="I357" s="14">
        <v>6.6699999999999997E-3</v>
      </c>
      <c r="J357" s="15">
        <v>6.0299999999999998E-3</v>
      </c>
      <c r="K357" s="16">
        <v>38181596.5</v>
      </c>
      <c r="L357" s="16">
        <v>256223.8775</v>
      </c>
      <c r="M357" s="17">
        <v>3859</v>
      </c>
      <c r="N357" s="14">
        <v>6.6600000000000001E-3</v>
      </c>
      <c r="O357" s="14">
        <v>6.6699999999999997E-3</v>
      </c>
      <c r="P357" s="18">
        <f>IF(OR(N357="",O357="",N357=0,O357=0),"",(O357-N357)/((O357+N357)/2))</f>
        <v>1.5003750937733823E-3</v>
      </c>
      <c r="Q357" s="14">
        <v>6.7106600000000002E-3</v>
      </c>
      <c r="R357" s="14">
        <v>6.79E-3</v>
      </c>
      <c r="S357" s="14">
        <v>6.6100000000000004E-3</v>
      </c>
      <c r="T357" s="12">
        <v>46236.012487546293</v>
      </c>
      <c r="U357" s="12">
        <v>46237.012487546293</v>
      </c>
      <c r="V357" s="14">
        <v>5</v>
      </c>
      <c r="W357" s="14">
        <v>0.1</v>
      </c>
      <c r="X357" s="14">
        <v>0.1</v>
      </c>
      <c r="Y357" s="14">
        <v>1.0000000000000001E-5</v>
      </c>
      <c r="Z357" s="10" t="str">
        <f>IF(AND(D357="TRADING",I357&lt;&gt;"",L357&lt;&gt;"",M357&lt;&gt;"",N357&lt;&gt;"",O357&lt;&gt;""),"Yes","No")</f>
        <v>Yes</v>
      </c>
      <c r="AA357" s="10" t="s">
        <v>56</v>
      </c>
    </row>
    <row r="358" spans="1:27">
      <c r="A358" s="10" t="s">
        <v>708</v>
      </c>
      <c r="B358" s="10" t="s">
        <v>709</v>
      </c>
      <c r="C358" s="10" t="s">
        <v>12</v>
      </c>
      <c r="D358" s="10" t="s">
        <v>84</v>
      </c>
      <c r="E358" s="11" t="b">
        <v>1</v>
      </c>
      <c r="F358" s="12">
        <v>44631</v>
      </c>
      <c r="G358" s="12">
        <v>44631.999999988424</v>
      </c>
      <c r="H358" s="13">
        <f>IF(F358="","",(Summary!$B$5-F358)/365.25)</f>
        <v>4.3970225635029294</v>
      </c>
      <c r="I358" s="14">
        <v>6.0000000000000001E-3</v>
      </c>
      <c r="J358" s="15">
        <v>0.17646999999999999</v>
      </c>
      <c r="K358" s="16">
        <v>60759603.020000003</v>
      </c>
      <c r="L358" s="16">
        <v>343775.05241599999</v>
      </c>
      <c r="M358" s="17">
        <v>4001</v>
      </c>
      <c r="N358" s="14">
        <v>0</v>
      </c>
      <c r="O358" s="14">
        <v>0</v>
      </c>
      <c r="P358" s="18" t="str">
        <f>IF(OR(N358="",O358="",N358=0,O358=0),"",(O358-N358)/((O358+N358)/2))</f>
        <v/>
      </c>
      <c r="Q358" s="14">
        <v>5.6579500000000001E-3</v>
      </c>
      <c r="R358" s="14">
        <v>7.1999999999999998E-3</v>
      </c>
      <c r="S358" s="14">
        <v>4.7999999999999996E-3</v>
      </c>
      <c r="T358" s="12">
        <v>46209.261123090277</v>
      </c>
      <c r="U358" s="12">
        <v>46210.261123090277</v>
      </c>
      <c r="V358" s="14">
        <v>5</v>
      </c>
      <c r="W358" s="14">
        <v>0.01</v>
      </c>
      <c r="X358" s="14">
        <v>0.01</v>
      </c>
      <c r="Y358" s="14">
        <v>1E-4</v>
      </c>
      <c r="Z358" s="10" t="str">
        <f>IF(AND(D358="TRADING",I358&lt;&gt;"",L358&lt;&gt;"",M358&lt;&gt;"",N358&lt;&gt;"",O358&lt;&gt;""),"Yes","No")</f>
        <v>No</v>
      </c>
      <c r="AA358" s="10" t="s">
        <v>56</v>
      </c>
    </row>
    <row r="359" spans="1:27">
      <c r="A359" s="10" t="s">
        <v>165</v>
      </c>
      <c r="B359" s="10" t="s">
        <v>166</v>
      </c>
      <c r="C359" s="10" t="s">
        <v>12</v>
      </c>
      <c r="D359" s="10" t="s">
        <v>55</v>
      </c>
      <c r="E359" s="11" t="b">
        <v>1</v>
      </c>
      <c r="F359" s="12">
        <v>44637</v>
      </c>
      <c r="G359" s="12">
        <v>44637.999999988424</v>
      </c>
      <c r="H359" s="13">
        <f>IF(F359="","",(Summary!$B$5-F359)/365.25)</f>
        <v>4.380595458780137</v>
      </c>
      <c r="I359" s="14">
        <v>0.13039999999999999</v>
      </c>
      <c r="J359" s="15">
        <v>0</v>
      </c>
      <c r="K359" s="16">
        <v>3205963.05</v>
      </c>
      <c r="L359" s="16">
        <v>420951.97091700003</v>
      </c>
      <c r="M359" s="17">
        <v>4642</v>
      </c>
      <c r="N359" s="14">
        <v>0.1303</v>
      </c>
      <c r="O359" s="14">
        <v>0.13039999999999999</v>
      </c>
      <c r="P359" s="18">
        <f>IF(OR(N359="",O359="",N359=0,O359=0),"",(O359-N359)/((O359+N359)/2))</f>
        <v>7.6716532412726495E-4</v>
      </c>
      <c r="Q359" s="14">
        <v>0.13130280999999999</v>
      </c>
      <c r="R359" s="14">
        <v>0.1328</v>
      </c>
      <c r="S359" s="14">
        <v>0.12989999999999999</v>
      </c>
      <c r="T359" s="12">
        <v>46236.011159189817</v>
      </c>
      <c r="U359" s="12">
        <v>46237.011159189817</v>
      </c>
      <c r="V359" s="14">
        <v>5</v>
      </c>
      <c r="W359" s="14">
        <v>0.01</v>
      </c>
      <c r="X359" s="14">
        <v>0.01</v>
      </c>
      <c r="Y359" s="14">
        <v>1E-4</v>
      </c>
      <c r="Z359" s="10" t="str">
        <f>IF(AND(D359="TRADING",I359&lt;&gt;"",L359&lt;&gt;"",M359&lt;&gt;"",N359&lt;&gt;"",O359&lt;&gt;""),"Yes","No")</f>
        <v>Yes</v>
      </c>
      <c r="AA359" s="10" t="s">
        <v>56</v>
      </c>
    </row>
    <row r="360" spans="1:27">
      <c r="A360" s="10" t="s">
        <v>316</v>
      </c>
      <c r="B360" s="10" t="s">
        <v>317</v>
      </c>
      <c r="C360" s="10" t="s">
        <v>12</v>
      </c>
      <c r="D360" s="10" t="s">
        <v>84</v>
      </c>
      <c r="E360" s="11" t="b">
        <v>1</v>
      </c>
      <c r="F360" s="12">
        <v>44641</v>
      </c>
      <c r="G360" s="12">
        <v>44641.999999988424</v>
      </c>
      <c r="H360" s="13">
        <f>IF(F360="","",(Summary!$B$5-F360)/365.25)</f>
        <v>4.3696440556316087</v>
      </c>
      <c r="I360" s="14">
        <v>1.12E-2</v>
      </c>
      <c r="J360" s="15">
        <v>-8.9429999999999996E-2</v>
      </c>
      <c r="K360" s="16">
        <v>49262095.799999997</v>
      </c>
      <c r="L360" s="16">
        <v>564542.19556999998</v>
      </c>
      <c r="M360" s="17">
        <v>4001</v>
      </c>
      <c r="N360" s="14">
        <v>0</v>
      </c>
      <c r="O360" s="14">
        <v>0</v>
      </c>
      <c r="P360" s="18" t="str">
        <f>IF(OR(N360="",O360="",N360=0,O360=0),"",(O360-N360)/((O360+N360)/2))</f>
        <v/>
      </c>
      <c r="Q360" s="14">
        <v>1.145997E-2</v>
      </c>
      <c r="R360" s="14">
        <v>1.3100000000000001E-2</v>
      </c>
      <c r="S360" s="14">
        <v>8.3000000000000001E-3</v>
      </c>
      <c r="T360" s="12">
        <v>46209.261123090277</v>
      </c>
      <c r="U360" s="12">
        <v>46210.261123090277</v>
      </c>
      <c r="V360" s="14">
        <v>5</v>
      </c>
      <c r="W360" s="14">
        <v>0.1</v>
      </c>
      <c r="X360" s="14">
        <v>0.1</v>
      </c>
      <c r="Y360" s="14">
        <v>1E-4</v>
      </c>
      <c r="Z360" s="10" t="str">
        <f>IF(AND(D360="TRADING",I360&lt;&gt;"",L360&lt;&gt;"",M360&lt;&gt;"",N360&lt;&gt;"",O360&lt;&gt;""),"Yes","No")</f>
        <v>No</v>
      </c>
      <c r="AA360" s="10" t="s">
        <v>56</v>
      </c>
    </row>
    <row r="361" spans="1:27">
      <c r="A361" s="10" t="s">
        <v>281</v>
      </c>
      <c r="B361" s="10" t="s">
        <v>282</v>
      </c>
      <c r="C361" s="10" t="s">
        <v>12</v>
      </c>
      <c r="D361" s="10" t="s">
        <v>84</v>
      </c>
      <c r="E361" s="11" t="b">
        <v>1</v>
      </c>
      <c r="F361" s="12">
        <v>44652</v>
      </c>
      <c r="G361" s="12">
        <v>44652.999999988424</v>
      </c>
      <c r="H361" s="13">
        <f>IF(F361="","",(Summary!$B$5-F361)/365.25)</f>
        <v>4.3395276969731551</v>
      </c>
      <c r="I361" s="14">
        <v>32.1</v>
      </c>
      <c r="J361" s="15">
        <v>-0.23388999999999999</v>
      </c>
      <c r="K361" s="16">
        <v>14747.387000000001</v>
      </c>
      <c r="L361" s="16">
        <v>561400.17290000001</v>
      </c>
      <c r="M361" s="17">
        <v>11924</v>
      </c>
      <c r="N361" s="14">
        <v>0</v>
      </c>
      <c r="O361" s="14">
        <v>0</v>
      </c>
      <c r="P361" s="18" t="str">
        <f>IF(OR(N361="",O361="",N361=0,O361=0),"",(O361-N361)/((O361+N361)/2))</f>
        <v/>
      </c>
      <c r="Q361" s="14">
        <v>38.067772470000001</v>
      </c>
      <c r="R361" s="14">
        <v>45</v>
      </c>
      <c r="S361" s="14">
        <v>32</v>
      </c>
      <c r="T361" s="12">
        <v>46209.261123090277</v>
      </c>
      <c r="U361" s="12">
        <v>46210.261123090277</v>
      </c>
      <c r="V361" s="14">
        <v>5</v>
      </c>
      <c r="W361" s="14">
        <v>1E-3</v>
      </c>
      <c r="X361" s="14">
        <v>1E-3</v>
      </c>
      <c r="Y361" s="14">
        <v>0.1</v>
      </c>
      <c r="Z361" s="10" t="str">
        <f>IF(AND(D361="TRADING",I361&lt;&gt;"",L361&lt;&gt;"",M361&lt;&gt;"",N361&lt;&gt;"",O361&lt;&gt;""),"Yes","No")</f>
        <v>No</v>
      </c>
      <c r="AA361" s="10" t="s">
        <v>56</v>
      </c>
    </row>
    <row r="362" spans="1:27">
      <c r="A362" s="10" t="s">
        <v>856</v>
      </c>
      <c r="B362" s="10" t="s">
        <v>857</v>
      </c>
      <c r="C362" s="10" t="s">
        <v>12</v>
      </c>
      <c r="D362" s="10" t="s">
        <v>84</v>
      </c>
      <c r="E362" s="11" t="b">
        <v>1</v>
      </c>
      <c r="F362" s="12">
        <v>44657</v>
      </c>
      <c r="G362" s="12">
        <v>44657.999999988424</v>
      </c>
      <c r="H362" s="13">
        <f>IF(F362="","",(Summary!$B$5-F362)/365.25)</f>
        <v>4.3258384430374948</v>
      </c>
      <c r="I362" s="14">
        <v>0.83399999999999996</v>
      </c>
      <c r="J362" s="15">
        <v>-0.11182</v>
      </c>
      <c r="K362" s="16">
        <v>395753.038</v>
      </c>
      <c r="L362" s="16">
        <v>340180.59230100003</v>
      </c>
      <c r="M362" s="17">
        <v>4001</v>
      </c>
      <c r="N362" s="14">
        <v>0</v>
      </c>
      <c r="O362" s="14">
        <v>0</v>
      </c>
      <c r="P362" s="18" t="str">
        <f>IF(OR(N362="",O362="",N362=0,O362=0),"",(O362-N362)/((O362+N362)/2))</f>
        <v/>
      </c>
      <c r="Q362" s="14">
        <v>0.85957797000000002</v>
      </c>
      <c r="R362" s="14">
        <v>0.94299999999999995</v>
      </c>
      <c r="S362" s="14">
        <v>0.80300000000000005</v>
      </c>
      <c r="T362" s="12">
        <v>46209.261123090277</v>
      </c>
      <c r="U362" s="12">
        <v>46210.261123090277</v>
      </c>
      <c r="V362" s="14">
        <v>1</v>
      </c>
      <c r="W362" s="14">
        <v>1E-3</v>
      </c>
      <c r="X362" s="14">
        <v>1E-3</v>
      </c>
      <c r="Y362" s="14">
        <v>1E-3</v>
      </c>
      <c r="Z362" s="10" t="str">
        <f>IF(AND(D362="TRADING",I362&lt;&gt;"",L362&lt;&gt;"",M362&lt;&gt;"",N362&lt;&gt;"",O362&lt;&gt;""),"Yes","No")</f>
        <v>No</v>
      </c>
      <c r="AA362" s="10" t="s">
        <v>56</v>
      </c>
    </row>
    <row r="363" spans="1:27">
      <c r="A363" s="10" t="s">
        <v>1167</v>
      </c>
      <c r="B363" s="10" t="s">
        <v>1168</v>
      </c>
      <c r="C363" s="10" t="s">
        <v>12</v>
      </c>
      <c r="D363" s="10" t="s">
        <v>55</v>
      </c>
      <c r="E363" s="11" t="b">
        <v>1</v>
      </c>
      <c r="F363" s="12">
        <v>44673</v>
      </c>
      <c r="G363" s="12">
        <v>44673.999999988424</v>
      </c>
      <c r="H363" s="13">
        <f>IF(F363="","",(Summary!$B$5-F363)/365.25)</f>
        <v>4.2820328304433808</v>
      </c>
      <c r="I363" s="14">
        <v>3.6130000000000002E-2</v>
      </c>
      <c r="J363" s="15">
        <v>-1.821E-2</v>
      </c>
      <c r="K363" s="16">
        <v>2579981.7999999998</v>
      </c>
      <c r="L363" s="16">
        <v>93976.476431999996</v>
      </c>
      <c r="M363" s="17">
        <v>1187</v>
      </c>
      <c r="N363" s="14">
        <v>3.6119999999999999E-2</v>
      </c>
      <c r="O363" s="14">
        <v>3.6159999999999998E-2</v>
      </c>
      <c r="P363" s="18">
        <f>IF(OR(N363="",O363="",N363=0,O363=0),"",(O363-N363)/((O363+N363)/2))</f>
        <v>1.1068068622025007E-3</v>
      </c>
      <c r="Q363" s="14">
        <v>3.6425249999999999E-2</v>
      </c>
      <c r="R363" s="14">
        <v>3.7080000000000002E-2</v>
      </c>
      <c r="S363" s="14">
        <v>3.5860000000000003E-2</v>
      </c>
      <c r="T363" s="12">
        <v>46236.012103368055</v>
      </c>
      <c r="U363" s="12">
        <v>46237.012103368055</v>
      </c>
      <c r="V363" s="14">
        <v>5</v>
      </c>
      <c r="W363" s="14">
        <v>0.1</v>
      </c>
      <c r="X363" s="14">
        <v>0.1</v>
      </c>
      <c r="Y363" s="14">
        <v>1.0000000000000001E-5</v>
      </c>
      <c r="Z363" s="10" t="str">
        <f>IF(AND(D363="TRADING",I363&lt;&gt;"",L363&lt;&gt;"",M363&lt;&gt;"",N363&lt;&gt;"",O363&lt;&gt;""),"Yes","No")</f>
        <v>Yes</v>
      </c>
      <c r="AA363" s="10" t="s">
        <v>56</v>
      </c>
    </row>
    <row r="364" spans="1:27">
      <c r="A364" s="10" t="s">
        <v>836</v>
      </c>
      <c r="B364" s="10" t="s">
        <v>837</v>
      </c>
      <c r="C364" s="10" t="s">
        <v>12</v>
      </c>
      <c r="D364" s="10" t="s">
        <v>84</v>
      </c>
      <c r="E364" s="11" t="b">
        <v>1</v>
      </c>
      <c r="F364" s="12">
        <v>44680</v>
      </c>
      <c r="G364" s="12">
        <v>44680.999999988424</v>
      </c>
      <c r="H364" s="13">
        <f>IF(F364="","",(Summary!$B$5-F364)/365.25)</f>
        <v>4.2628678749334563</v>
      </c>
      <c r="I364" s="14">
        <v>6.2300000000000001E-2</v>
      </c>
      <c r="J364" s="15">
        <v>-6.0330000000000002E-2</v>
      </c>
      <c r="K364" s="16">
        <v>5434478.1799999997</v>
      </c>
      <c r="L364" s="16">
        <v>350633.64345899998</v>
      </c>
      <c r="M364" s="17">
        <v>4001</v>
      </c>
      <c r="N364" s="14">
        <v>0</v>
      </c>
      <c r="O364" s="14">
        <v>0</v>
      </c>
      <c r="P364" s="18" t="str">
        <f>IF(OR(N364="",O364="",N364=0,O364=0),"",(O364-N364)/((O364+N364)/2))</f>
        <v/>
      </c>
      <c r="Q364" s="14">
        <v>6.45202E-2</v>
      </c>
      <c r="R364" s="14">
        <v>6.7599999999999993E-2</v>
      </c>
      <c r="S364" s="14">
        <v>6.1499999999999999E-2</v>
      </c>
      <c r="T364" s="12">
        <v>46209.261123090277</v>
      </c>
      <c r="U364" s="12">
        <v>46210.261123090277</v>
      </c>
      <c r="V364" s="14">
        <v>5</v>
      </c>
      <c r="W364" s="14">
        <v>0.01</v>
      </c>
      <c r="X364" s="14">
        <v>0.01</v>
      </c>
      <c r="Y364" s="14">
        <v>1E-4</v>
      </c>
      <c r="Z364" s="10" t="str">
        <f>IF(AND(D364="TRADING",I364&lt;&gt;"",L364&lt;&gt;"",M364&lt;&gt;"",N364&lt;&gt;"",O364&lt;&gt;""),"Yes","No")</f>
        <v>No</v>
      </c>
      <c r="AA364" s="10" t="s">
        <v>56</v>
      </c>
    </row>
    <row r="365" spans="1:27">
      <c r="A365" s="10" t="s">
        <v>878</v>
      </c>
      <c r="B365" s="10" t="s">
        <v>879</v>
      </c>
      <c r="C365" s="10" t="s">
        <v>12</v>
      </c>
      <c r="D365" s="10" t="s">
        <v>55</v>
      </c>
      <c r="E365" s="11" t="b">
        <v>1</v>
      </c>
      <c r="F365" s="12">
        <v>44680</v>
      </c>
      <c r="G365" s="12">
        <v>44680.999999988424</v>
      </c>
      <c r="H365" s="13">
        <f>IF(F365="","",(Summary!$B$5-F365)/365.25)</f>
        <v>4.2628678749334563</v>
      </c>
      <c r="I365" s="14">
        <v>0.73299999999999998</v>
      </c>
      <c r="J365" s="15">
        <v>2.0889999999999999E-2</v>
      </c>
      <c r="K365" s="16">
        <v>393824.82</v>
      </c>
      <c r="L365" s="16">
        <v>284829.94841000001</v>
      </c>
      <c r="M365" s="17">
        <v>3101</v>
      </c>
      <c r="N365" s="14">
        <v>0.73299999999999998</v>
      </c>
      <c r="O365" s="14">
        <v>0.73399999999999999</v>
      </c>
      <c r="P365" s="18">
        <f>IF(OR(N365="",O365="",N365=0,O365=0),"",(O365-N365)/((O365+N365)/2))</f>
        <v>1.363326516700751E-3</v>
      </c>
      <c r="Q365" s="14">
        <v>0.72324021999999999</v>
      </c>
      <c r="R365" s="14">
        <v>0.74099999999999999</v>
      </c>
      <c r="S365" s="14">
        <v>0.71099999999999997</v>
      </c>
      <c r="T365" s="12">
        <v>46236.011936168979</v>
      </c>
      <c r="U365" s="12">
        <v>46237.011936168979</v>
      </c>
      <c r="V365" s="14">
        <v>5</v>
      </c>
      <c r="W365" s="14">
        <v>0.01</v>
      </c>
      <c r="X365" s="14">
        <v>0.01</v>
      </c>
      <c r="Y365" s="14">
        <v>1E-3</v>
      </c>
      <c r="Z365" s="10" t="str">
        <f>IF(AND(D365="TRADING",I365&lt;&gt;"",L365&lt;&gt;"",M365&lt;&gt;"",N365&lt;&gt;"",O365&lt;&gt;""),"Yes","No")</f>
        <v>Yes</v>
      </c>
      <c r="AA365" s="10" t="s">
        <v>56</v>
      </c>
    </row>
    <row r="366" spans="1:27">
      <c r="A366" s="10" t="s">
        <v>1054</v>
      </c>
      <c r="B366" s="10" t="s">
        <v>1055</v>
      </c>
      <c r="C366" s="10" t="s">
        <v>12</v>
      </c>
      <c r="D366" s="10" t="s">
        <v>84</v>
      </c>
      <c r="E366" s="11" t="b">
        <v>1</v>
      </c>
      <c r="F366" s="12">
        <v>44685</v>
      </c>
      <c r="G366" s="12">
        <v>44685.999999988424</v>
      </c>
      <c r="H366" s="13">
        <f>IF(F366="","",(Summary!$B$5-F366)/365.25)</f>
        <v>4.249178620997796</v>
      </c>
      <c r="I366" s="14">
        <v>4.0099999999999997E-3</v>
      </c>
      <c r="J366" s="15">
        <v>7.5399999999999998E-3</v>
      </c>
      <c r="K366" s="16">
        <v>20139913.5</v>
      </c>
      <c r="L366" s="16">
        <v>80810.563825999998</v>
      </c>
      <c r="M366" s="17">
        <v>4001</v>
      </c>
      <c r="N366" s="14">
        <v>0</v>
      </c>
      <c r="O366" s="14">
        <v>0</v>
      </c>
      <c r="P366" s="18" t="str">
        <f>IF(OR(N366="",O366="",N366=0,O366=0),"",(O366-N366)/((O366+N366)/2))</f>
        <v/>
      </c>
      <c r="Q366" s="14">
        <v>4.0124599999999998E-3</v>
      </c>
      <c r="R366" s="14">
        <v>4.1799999999999997E-3</v>
      </c>
      <c r="S366" s="14">
        <v>3.8400000000000001E-3</v>
      </c>
      <c r="T366" s="12">
        <v>46209.261123090277</v>
      </c>
      <c r="U366" s="12">
        <v>46210.261123090277</v>
      </c>
      <c r="V366" s="14">
        <v>1</v>
      </c>
      <c r="W366" s="14">
        <v>0.1</v>
      </c>
      <c r="X366" s="14">
        <v>0.1</v>
      </c>
      <c r="Y366" s="14">
        <v>1.0000000000000001E-5</v>
      </c>
      <c r="Z366" s="10" t="str">
        <f>IF(AND(D366="TRADING",I366&lt;&gt;"",L366&lt;&gt;"",M366&lt;&gt;"",N366&lt;&gt;"",O366&lt;&gt;""),"Yes","No")</f>
        <v>No</v>
      </c>
      <c r="AA366" s="10" t="s">
        <v>56</v>
      </c>
    </row>
    <row r="367" spans="1:27">
      <c r="A367" s="10" t="s">
        <v>568</v>
      </c>
      <c r="B367" s="10" t="s">
        <v>569</v>
      </c>
      <c r="C367" s="10" t="s">
        <v>12</v>
      </c>
      <c r="D367" s="10" t="s">
        <v>84</v>
      </c>
      <c r="E367" s="11" t="b">
        <v>1</v>
      </c>
      <c r="F367" s="12">
        <v>44686</v>
      </c>
      <c r="G367" s="12">
        <v>44686.999999988424</v>
      </c>
      <c r="H367" s="13">
        <f>IF(F367="","",(Summary!$B$5-F367)/365.25)</f>
        <v>4.2464407702106639</v>
      </c>
      <c r="I367" s="14">
        <v>2.5419999999999998</v>
      </c>
      <c r="J367" s="15">
        <v>1.477E-2</v>
      </c>
      <c r="K367" s="16">
        <v>500864.04200000002</v>
      </c>
      <c r="L367" s="16">
        <v>1275318.8113760001</v>
      </c>
      <c r="M367" s="17">
        <v>4001</v>
      </c>
      <c r="N367" s="14">
        <v>0</v>
      </c>
      <c r="O367" s="14">
        <v>0</v>
      </c>
      <c r="P367" s="18" t="str">
        <f>IF(OR(N367="",O367="",N367=0,O367=0),"",(O367-N367)/((O367+N367)/2))</f>
        <v/>
      </c>
      <c r="Q367" s="14">
        <v>2.5462375100000001</v>
      </c>
      <c r="R367" s="14">
        <v>2.6</v>
      </c>
      <c r="S367" s="14">
        <v>2.4900000000000002</v>
      </c>
      <c r="T367" s="12">
        <v>46209.261123090277</v>
      </c>
      <c r="U367" s="12">
        <v>46210.261123090277</v>
      </c>
      <c r="V367" s="14">
        <v>5</v>
      </c>
      <c r="W367" s="14">
        <v>1E-3</v>
      </c>
      <c r="X367" s="14">
        <v>1E-3</v>
      </c>
      <c r="Y367" s="14">
        <v>1E-3</v>
      </c>
      <c r="Z367" s="10" t="str">
        <f>IF(AND(D367="TRADING",I367&lt;&gt;"",L367&lt;&gt;"",M367&lt;&gt;"",N367&lt;&gt;"",O367&lt;&gt;""),"Yes","No")</f>
        <v>No</v>
      </c>
      <c r="AA367" s="10" t="s">
        <v>56</v>
      </c>
    </row>
    <row r="368" spans="1:27">
      <c r="A368" s="10" t="s">
        <v>740</v>
      </c>
      <c r="B368" s="10" t="s">
        <v>741</v>
      </c>
      <c r="C368" s="10" t="s">
        <v>12</v>
      </c>
      <c r="D368" s="10" t="s">
        <v>55</v>
      </c>
      <c r="E368" s="11" t="b">
        <v>1</v>
      </c>
      <c r="F368" s="12">
        <v>44690</v>
      </c>
      <c r="G368" s="12">
        <v>44690.999999988424</v>
      </c>
      <c r="H368" s="13">
        <f>IF(F368="","",(Summary!$B$5-F368)/365.25)</f>
        <v>4.2354893670621356</v>
      </c>
      <c r="I368" s="14">
        <v>0.3246</v>
      </c>
      <c r="J368" s="15">
        <v>-1.427E-2</v>
      </c>
      <c r="K368" s="16">
        <v>5237250.88</v>
      </c>
      <c r="L368" s="16">
        <v>1713363.3667899999</v>
      </c>
      <c r="M368" s="17">
        <v>24588</v>
      </c>
      <c r="N368" s="14">
        <v>0.32450000000000001</v>
      </c>
      <c r="O368" s="14">
        <v>0.3246</v>
      </c>
      <c r="P368" s="18">
        <f>IF(OR(N368="",O368="",N368=0,O368=0),"",(O368-N368)/((O368+N368)/2))</f>
        <v>3.0811893390845471E-4</v>
      </c>
      <c r="Q368" s="14">
        <v>0.32714937999999999</v>
      </c>
      <c r="R368" s="14">
        <v>0.33360000000000001</v>
      </c>
      <c r="S368" s="14">
        <v>0.31969999999999998</v>
      </c>
      <c r="T368" s="12">
        <v>46236.012483020837</v>
      </c>
      <c r="U368" s="12">
        <v>46237.012483020837</v>
      </c>
      <c r="V368" s="14">
        <v>5</v>
      </c>
      <c r="W368" s="14">
        <v>0.01</v>
      </c>
      <c r="X368" s="14">
        <v>0.01</v>
      </c>
      <c r="Y368" s="14">
        <v>1E-4</v>
      </c>
      <c r="Z368" s="10" t="str">
        <f>IF(AND(D368="TRADING",I368&lt;&gt;"",L368&lt;&gt;"",M368&lt;&gt;"",N368&lt;&gt;"",O368&lt;&gt;""),"Yes","No")</f>
        <v>Yes</v>
      </c>
      <c r="AA368" s="10" t="s">
        <v>56</v>
      </c>
    </row>
    <row r="369" spans="1:27">
      <c r="A369" s="10" t="s">
        <v>489</v>
      </c>
      <c r="B369" s="10" t="s">
        <v>490</v>
      </c>
      <c r="C369" s="10" t="s">
        <v>12</v>
      </c>
      <c r="D369" s="10" t="s">
        <v>84</v>
      </c>
      <c r="E369" s="11" t="b">
        <v>1</v>
      </c>
      <c r="F369" s="12">
        <v>44704</v>
      </c>
      <c r="G369" s="12">
        <v>44704.999999988424</v>
      </c>
      <c r="H369" s="13">
        <f>IF(F369="","",(Summary!$B$5-F369)/365.25)</f>
        <v>4.1971594560422858</v>
      </c>
      <c r="I369" s="14">
        <v>1.9400000000000001E-5</v>
      </c>
      <c r="J369" s="15">
        <v>-0.24514</v>
      </c>
      <c r="K369" s="16">
        <v>14958973905</v>
      </c>
      <c r="L369" s="16">
        <v>320257.99103749997</v>
      </c>
      <c r="M369" s="17">
        <v>4001</v>
      </c>
      <c r="N369" s="14">
        <v>0</v>
      </c>
      <c r="O369" s="14">
        <v>0</v>
      </c>
      <c r="P369" s="18" t="str">
        <f>IF(OR(N369="",O369="",N369=0,O369=0),"",(O369-N369)/((O369+N369)/2))</f>
        <v/>
      </c>
      <c r="Q369" s="14">
        <v>2.141E-5</v>
      </c>
      <c r="R369" s="14">
        <v>2.8600000000000001E-5</v>
      </c>
      <c r="S369" s="14">
        <v>1.7E-5</v>
      </c>
      <c r="T369" s="12">
        <v>46209.261123090277</v>
      </c>
      <c r="U369" s="12">
        <v>46210.261123090277</v>
      </c>
      <c r="V369" s="14">
        <v>5</v>
      </c>
      <c r="W369" s="14">
        <v>1</v>
      </c>
      <c r="X369" s="14">
        <v>1</v>
      </c>
      <c r="Y369" s="14">
        <v>9.9999999999999995E-8</v>
      </c>
      <c r="Z369" s="10" t="str">
        <f>IF(AND(D369="TRADING",I369&lt;&gt;"",L369&lt;&gt;"",M369&lt;&gt;"",N369&lt;&gt;"",O369&lt;&gt;""),"Yes","No")</f>
        <v>No</v>
      </c>
      <c r="AA369" s="10" t="s">
        <v>56</v>
      </c>
    </row>
    <row r="370" spans="1:27">
      <c r="A370" s="10" t="s">
        <v>938</v>
      </c>
      <c r="B370" s="10" t="s">
        <v>939</v>
      </c>
      <c r="C370" s="10" t="s">
        <v>12</v>
      </c>
      <c r="D370" s="10" t="s">
        <v>55</v>
      </c>
      <c r="E370" s="11" t="b">
        <v>1</v>
      </c>
      <c r="F370" s="12">
        <v>44713</v>
      </c>
      <c r="G370" s="12">
        <v>44713.999999988424</v>
      </c>
      <c r="H370" s="13">
        <f>IF(F370="","",(Summary!$B$5-F370)/365.25)</f>
        <v>4.1725187989580972</v>
      </c>
      <c r="I370" s="14">
        <v>8.6499999999999994E-2</v>
      </c>
      <c r="J370" s="15">
        <v>3.9660000000000001E-2</v>
      </c>
      <c r="K370" s="16">
        <v>18970289.760000002</v>
      </c>
      <c r="L370" s="16">
        <v>1624166.6897410001</v>
      </c>
      <c r="M370" s="17">
        <v>10350</v>
      </c>
      <c r="N370" s="14">
        <v>8.6400000000000005E-2</v>
      </c>
      <c r="O370" s="14">
        <v>8.6499999999999994E-2</v>
      </c>
      <c r="P370" s="18">
        <f>IF(OR(N370="",O370="",N370=0,O370=0),"",(O370-N370)/((O370+N370)/2))</f>
        <v>1.1567379988431346E-3</v>
      </c>
      <c r="Q370" s="14">
        <v>8.5616339999999999E-2</v>
      </c>
      <c r="R370" s="14">
        <v>8.7900000000000006E-2</v>
      </c>
      <c r="S370" s="14">
        <v>8.2900000000000001E-2</v>
      </c>
      <c r="T370" s="12">
        <v>46236.012480520832</v>
      </c>
      <c r="U370" s="12">
        <v>46237.012480520832</v>
      </c>
      <c r="V370" s="14">
        <v>5</v>
      </c>
      <c r="W370" s="14">
        <v>0.01</v>
      </c>
      <c r="X370" s="14">
        <v>0.01</v>
      </c>
      <c r="Y370" s="14">
        <v>1E-4</v>
      </c>
      <c r="Z370" s="10" t="str">
        <f>IF(AND(D370="TRADING",I370&lt;&gt;"",L370&lt;&gt;"",M370&lt;&gt;"",N370&lt;&gt;"",O370&lt;&gt;""),"Yes","No")</f>
        <v>Yes</v>
      </c>
      <c r="AA370" s="10" t="s">
        <v>56</v>
      </c>
    </row>
    <row r="371" spans="1:27">
      <c r="A371" s="10" t="s">
        <v>744</v>
      </c>
      <c r="B371" s="10" t="s">
        <v>745</v>
      </c>
      <c r="C371" s="10" t="s">
        <v>12</v>
      </c>
      <c r="D371" s="10" t="s">
        <v>84</v>
      </c>
      <c r="E371" s="11" t="b">
        <v>1</v>
      </c>
      <c r="F371" s="12">
        <v>44755</v>
      </c>
      <c r="G371" s="12">
        <v>44755.999999988424</v>
      </c>
      <c r="H371" s="13">
        <f>IF(F371="","",(Summary!$B$5-F371)/365.25)</f>
        <v>4.0575290658985486</v>
      </c>
      <c r="I371" s="14">
        <v>1.75E-4</v>
      </c>
      <c r="J371" s="15">
        <v>-0.17062000000000002</v>
      </c>
      <c r="K371" s="16">
        <v>2049068736</v>
      </c>
      <c r="L371" s="16">
        <v>388103.81757800002</v>
      </c>
      <c r="M371" s="17">
        <v>4001</v>
      </c>
      <c r="N371" s="14">
        <v>0</v>
      </c>
      <c r="O371" s="14">
        <v>0</v>
      </c>
      <c r="P371" s="18" t="str">
        <f>IF(OR(N371="",O371="",N371=0,O371=0),"",(O371-N371)/((O371+N371)/2))</f>
        <v/>
      </c>
      <c r="Q371" s="14">
        <v>1.894E-4</v>
      </c>
      <c r="R371" s="14">
        <v>2.1699999999999999E-4</v>
      </c>
      <c r="S371" s="14">
        <v>1.6200000000000001E-4</v>
      </c>
      <c r="T371" s="12">
        <v>46209.261123090277</v>
      </c>
      <c r="U371" s="12">
        <v>46210.261123090277</v>
      </c>
      <c r="V371" s="14">
        <v>5</v>
      </c>
      <c r="W371" s="14">
        <v>1</v>
      </c>
      <c r="X371" s="14">
        <v>1</v>
      </c>
      <c r="Y371" s="14">
        <v>9.9999999999999995E-7</v>
      </c>
      <c r="Z371" s="10" t="str">
        <f>IF(AND(D371="TRADING",I371&lt;&gt;"",L371&lt;&gt;"",M371&lt;&gt;"",N371&lt;&gt;"",O371&lt;&gt;""),"Yes","No")</f>
        <v>No</v>
      </c>
      <c r="AA371" s="10" t="s">
        <v>56</v>
      </c>
    </row>
    <row r="372" spans="1:27">
      <c r="A372" s="10" t="s">
        <v>1169</v>
      </c>
      <c r="B372" s="10" t="s">
        <v>1170</v>
      </c>
      <c r="C372" s="10" t="s">
        <v>12</v>
      </c>
      <c r="D372" s="10" t="s">
        <v>55</v>
      </c>
      <c r="E372" s="11" t="b">
        <v>1</v>
      </c>
      <c r="F372" s="12">
        <v>44792</v>
      </c>
      <c r="G372" s="12">
        <v>44792.999999988424</v>
      </c>
      <c r="H372" s="13">
        <f>IF(F372="","",(Summary!$B$5-F372)/365.25)</f>
        <v>3.9562285867746612</v>
      </c>
      <c r="I372" s="14">
        <v>0.1188</v>
      </c>
      <c r="J372" s="15">
        <v>-1.4110000000000001E-2</v>
      </c>
      <c r="K372" s="16">
        <v>721056.8</v>
      </c>
      <c r="L372" s="16">
        <v>86440.215599999996</v>
      </c>
      <c r="M372" s="17">
        <v>1432</v>
      </c>
      <c r="N372" s="14">
        <v>0.1187</v>
      </c>
      <c r="O372" s="14">
        <v>0.1188</v>
      </c>
      <c r="P372" s="18">
        <f>IF(OR(N372="",O372="",N372=0,O372=0),"",(O372-N372)/((O372+N372)/2))</f>
        <v>8.4210526315791885E-4</v>
      </c>
      <c r="Q372" s="14">
        <v>0.1198799</v>
      </c>
      <c r="R372" s="14">
        <v>0.1216</v>
      </c>
      <c r="S372" s="14">
        <v>0.1179</v>
      </c>
      <c r="T372" s="12">
        <v>46236.01189962963</v>
      </c>
      <c r="U372" s="12">
        <v>46237.01189962963</v>
      </c>
      <c r="V372" s="14">
        <v>5</v>
      </c>
      <c r="W372" s="14">
        <v>0.1</v>
      </c>
      <c r="X372" s="14">
        <v>0.1</v>
      </c>
      <c r="Y372" s="14">
        <v>1E-4</v>
      </c>
      <c r="Z372" s="10" t="str">
        <f>IF(AND(D372="TRADING",I372&lt;&gt;"",L372&lt;&gt;"",M372&lt;&gt;"",N372&lt;&gt;"",O372&lt;&gt;""),"Yes","No")</f>
        <v>Yes</v>
      </c>
      <c r="AA372" s="10" t="s">
        <v>56</v>
      </c>
    </row>
    <row r="373" spans="1:27">
      <c r="A373" s="10" t="s">
        <v>778</v>
      </c>
      <c r="B373" s="10" t="s">
        <v>779</v>
      </c>
      <c r="C373" s="10" t="s">
        <v>12</v>
      </c>
      <c r="D373" s="10" t="s">
        <v>55</v>
      </c>
      <c r="E373" s="11" t="b">
        <v>1</v>
      </c>
      <c r="F373" s="12">
        <v>44813</v>
      </c>
      <c r="G373" s="12">
        <v>44813.999999988424</v>
      </c>
      <c r="H373" s="13">
        <f>IF(F373="","",(Summary!$B$5-F373)/365.25)</f>
        <v>3.8987337202448868</v>
      </c>
      <c r="I373" s="14">
        <v>5.1329999999999998E-5</v>
      </c>
      <c r="J373" s="15">
        <v>4.9480000000000003E-2</v>
      </c>
      <c r="K373" s="16">
        <v>33386688736.560001</v>
      </c>
      <c r="L373" s="16">
        <v>1689276.9024987901</v>
      </c>
      <c r="M373" s="17">
        <v>31828</v>
      </c>
      <c r="N373" s="14">
        <v>5.1310000000000002E-5</v>
      </c>
      <c r="O373" s="14">
        <v>5.134E-5</v>
      </c>
      <c r="P373" s="18">
        <f>IF(OR(N373="",O373="",N373=0,O373=0),"",(O373-N373)/((O373+N373)/2))</f>
        <v>5.8451047247925993E-4</v>
      </c>
      <c r="Q373" s="14">
        <v>5.0599999999999997E-5</v>
      </c>
      <c r="R373" s="14">
        <v>5.3090000000000002E-5</v>
      </c>
      <c r="S373" s="14">
        <v>4.8470000000000002E-5</v>
      </c>
      <c r="T373" s="12">
        <v>46236.012487222222</v>
      </c>
      <c r="U373" s="12">
        <v>46237.012487222222</v>
      </c>
      <c r="V373" s="14">
        <v>5</v>
      </c>
      <c r="W373" s="14">
        <v>0.01</v>
      </c>
      <c r="X373" s="14">
        <v>0.01</v>
      </c>
      <c r="Y373" s="14">
        <v>1E-8</v>
      </c>
      <c r="Z373" s="10" t="str">
        <f>IF(AND(D373="TRADING",I373&lt;&gt;"",L373&lt;&gt;"",M373&lt;&gt;"",N373&lt;&gt;"",O373&lt;&gt;""),"Yes","No")</f>
        <v>Yes</v>
      </c>
      <c r="AA373" s="10" t="s">
        <v>56</v>
      </c>
    </row>
    <row r="374" spans="1:27">
      <c r="A374" s="10" t="s">
        <v>590</v>
      </c>
      <c r="B374" s="10" t="s">
        <v>591</v>
      </c>
      <c r="C374" s="10" t="s">
        <v>12</v>
      </c>
      <c r="D374" s="10" t="s">
        <v>55</v>
      </c>
      <c r="E374" s="11" t="b">
        <v>1</v>
      </c>
      <c r="F374" s="12">
        <v>44839</v>
      </c>
      <c r="G374" s="12">
        <v>44839.999999988424</v>
      </c>
      <c r="H374" s="13">
        <f>IF(F374="","",(Summary!$B$5-F374)/365.25)</f>
        <v>3.8275495997794522</v>
      </c>
      <c r="I374" s="14">
        <v>6.08</v>
      </c>
      <c r="J374" s="15">
        <v>1.1650000000000001E-2</v>
      </c>
      <c r="K374" s="16">
        <v>34801.85</v>
      </c>
      <c r="L374" s="16">
        <v>214264.19944</v>
      </c>
      <c r="M374" s="17">
        <v>8832</v>
      </c>
      <c r="N374" s="14">
        <v>6.08</v>
      </c>
      <c r="O374" s="14">
        <v>6.09</v>
      </c>
      <c r="P374" s="18">
        <f>IF(OR(N374="",O374="",N374=0,O374=0),"",(O374-N374)/((O374+N374)/2))</f>
        <v>1.6433853738701376E-3</v>
      </c>
      <c r="Q374" s="14">
        <v>6.1566899299999998</v>
      </c>
      <c r="R374" s="14">
        <v>6.32</v>
      </c>
      <c r="S374" s="14">
        <v>5.97</v>
      </c>
      <c r="T374" s="12">
        <v>46236.0124674537</v>
      </c>
      <c r="U374" s="12">
        <v>46237.0124674537</v>
      </c>
      <c r="V374" s="14">
        <v>5</v>
      </c>
      <c r="W374" s="14">
        <v>1E-3</v>
      </c>
      <c r="X374" s="14">
        <v>1E-3</v>
      </c>
      <c r="Y374" s="14">
        <v>0.01</v>
      </c>
      <c r="Z374" s="10" t="str">
        <f>IF(AND(D374="TRADING",I374&lt;&gt;"",L374&lt;&gt;"",M374&lt;&gt;"",N374&lt;&gt;"",O374&lt;&gt;""),"Yes","No")</f>
        <v>Yes</v>
      </c>
      <c r="AA374" s="10" t="s">
        <v>56</v>
      </c>
    </row>
    <row r="375" spans="1:27">
      <c r="A375" s="10" t="s">
        <v>870</v>
      </c>
      <c r="B375" s="10" t="s">
        <v>871</v>
      </c>
      <c r="C375" s="10" t="s">
        <v>12</v>
      </c>
      <c r="D375" s="10" t="s">
        <v>84</v>
      </c>
      <c r="E375" s="11" t="b">
        <v>1</v>
      </c>
      <c r="F375" s="12">
        <v>44848</v>
      </c>
      <c r="G375" s="12">
        <v>44848.999999988424</v>
      </c>
      <c r="H375" s="13">
        <f>IF(F375="","",(Summary!$B$5-F375)/365.25)</f>
        <v>3.8029089426952636</v>
      </c>
      <c r="I375" s="14">
        <v>0.35499999999999998</v>
      </c>
      <c r="J375" s="15">
        <v>-0.13625000000000001</v>
      </c>
      <c r="K375" s="16">
        <v>1354564.6</v>
      </c>
      <c r="L375" s="16">
        <v>522050.82909999997</v>
      </c>
      <c r="M375" s="17">
        <v>4001</v>
      </c>
      <c r="N375" s="14">
        <v>0</v>
      </c>
      <c r="O375" s="14">
        <v>0</v>
      </c>
      <c r="P375" s="18" t="str">
        <f>IF(OR(N375="",O375="",N375=0,O375=0),"",(O375-N375)/((O375+N375)/2))</f>
        <v/>
      </c>
      <c r="Q375" s="14">
        <v>0.38540120999999999</v>
      </c>
      <c r="R375" s="14">
        <v>0.41099999999999998</v>
      </c>
      <c r="S375" s="14">
        <v>0.35199999999999998</v>
      </c>
      <c r="T375" s="12">
        <v>46209.261123090277</v>
      </c>
      <c r="U375" s="12">
        <v>46210.261123090277</v>
      </c>
      <c r="V375" s="14">
        <v>10</v>
      </c>
      <c r="W375" s="14">
        <v>0.1</v>
      </c>
      <c r="X375" s="14">
        <v>0.1</v>
      </c>
      <c r="Y375" s="14">
        <v>1E-3</v>
      </c>
      <c r="Z375" s="10" t="str">
        <f>IF(AND(D375="TRADING",I375&lt;&gt;"",L375&lt;&gt;"",M375&lt;&gt;"",N375&lt;&gt;"",O375&lt;&gt;""),"Yes","No")</f>
        <v>No</v>
      </c>
      <c r="AA375" s="10" t="s">
        <v>56</v>
      </c>
    </row>
    <row r="376" spans="1:27">
      <c r="A376" s="10" t="s">
        <v>996</v>
      </c>
      <c r="B376" s="10" t="s">
        <v>997</v>
      </c>
      <c r="C376" s="10" t="s">
        <v>12</v>
      </c>
      <c r="D376" s="10" t="s">
        <v>55</v>
      </c>
      <c r="E376" s="11" t="b">
        <v>1</v>
      </c>
      <c r="F376" s="12">
        <v>44851</v>
      </c>
      <c r="G376" s="12">
        <v>44851.999999988424</v>
      </c>
      <c r="H376" s="13">
        <f>IF(F376="","",(Summary!$B$5-F376)/365.25)</f>
        <v>3.7946953903338669</v>
      </c>
      <c r="I376" s="14">
        <v>3.2199999999999999E-2</v>
      </c>
      <c r="J376" s="15">
        <v>-6.1700000000000001E-3</v>
      </c>
      <c r="K376" s="16">
        <v>2164031.1</v>
      </c>
      <c r="L376" s="16">
        <v>70291.570200000002</v>
      </c>
      <c r="M376" s="17">
        <v>1095</v>
      </c>
      <c r="N376" s="14">
        <v>3.2099999999999997E-2</v>
      </c>
      <c r="O376" s="14">
        <v>3.2199999999999999E-2</v>
      </c>
      <c r="P376" s="18">
        <f>IF(OR(N376="",O376="",N376=0,O376=0),"",(O376-N376)/((O376+N376)/2))</f>
        <v>3.1104199066874921E-3</v>
      </c>
      <c r="Q376" s="14">
        <v>3.248177E-2</v>
      </c>
      <c r="R376" s="14">
        <v>3.2899999999999999E-2</v>
      </c>
      <c r="S376" s="14">
        <v>3.2099999999999997E-2</v>
      </c>
      <c r="T376" s="12">
        <v>46236.012407303242</v>
      </c>
      <c r="U376" s="12">
        <v>46237.012407303242</v>
      </c>
      <c r="V376" s="14">
        <v>5</v>
      </c>
      <c r="W376" s="14">
        <v>0.1</v>
      </c>
      <c r="X376" s="14">
        <v>0.1</v>
      </c>
      <c r="Y376" s="14">
        <v>1E-4</v>
      </c>
      <c r="Z376" s="10" t="str">
        <f>IF(AND(D376="TRADING",I376&lt;&gt;"",L376&lt;&gt;"",M376&lt;&gt;"",N376&lt;&gt;"",O376&lt;&gt;""),"Yes","No")</f>
        <v>Yes</v>
      </c>
      <c r="AA376" s="10" t="s">
        <v>56</v>
      </c>
    </row>
    <row r="377" spans="1:27">
      <c r="A377" s="10" t="s">
        <v>169</v>
      </c>
      <c r="B377" s="10" t="s">
        <v>170</v>
      </c>
      <c r="C377" s="10" t="s">
        <v>12</v>
      </c>
      <c r="D377" s="10" t="s">
        <v>55</v>
      </c>
      <c r="E377" s="11" t="b">
        <v>1</v>
      </c>
      <c r="F377" s="12">
        <v>44853</v>
      </c>
      <c r="G377" s="12">
        <v>44853.999999988424</v>
      </c>
      <c r="H377" s="13">
        <f>IF(F377="","",(Summary!$B$5-F377)/365.25)</f>
        <v>3.7892196887596028</v>
      </c>
      <c r="I377" s="14">
        <v>0.56200000000000006</v>
      </c>
      <c r="J377" s="15">
        <v>1.261E-2</v>
      </c>
      <c r="K377" s="16">
        <v>3956270.62</v>
      </c>
      <c r="L377" s="16">
        <v>2232673.9447900001</v>
      </c>
      <c r="M377" s="17">
        <v>12751</v>
      </c>
      <c r="N377" s="14">
        <v>0.56100000000000005</v>
      </c>
      <c r="O377" s="14">
        <v>0.56200000000000006</v>
      </c>
      <c r="P377" s="18">
        <f>IF(OR(N377="",O377="",N377=0,O377=0),"",(O377-N377)/((O377+N377)/2))</f>
        <v>1.7809439002671428E-3</v>
      </c>
      <c r="Q377" s="14">
        <v>0.56433802</v>
      </c>
      <c r="R377" s="14">
        <v>0.57199999999999995</v>
      </c>
      <c r="S377" s="14">
        <v>0.55200000000000005</v>
      </c>
      <c r="T377" s="12">
        <v>46236.012475821757</v>
      </c>
      <c r="U377" s="12">
        <v>46237.012475821757</v>
      </c>
      <c r="V377" s="14">
        <v>5</v>
      </c>
      <c r="W377" s="14">
        <v>0.01</v>
      </c>
      <c r="X377" s="14">
        <v>0.01</v>
      </c>
      <c r="Y377" s="14">
        <v>1E-3</v>
      </c>
      <c r="Z377" s="10" t="str">
        <f>IF(AND(D377="TRADING",I377&lt;&gt;"",L377&lt;&gt;"",M377&lt;&gt;"",N377&lt;&gt;"",O377&lt;&gt;""),"Yes","No")</f>
        <v>Yes</v>
      </c>
      <c r="AA377" s="10" t="s">
        <v>56</v>
      </c>
    </row>
    <row r="378" spans="1:27">
      <c r="A378" s="10" t="s">
        <v>948</v>
      </c>
      <c r="B378" s="10" t="s">
        <v>949</v>
      </c>
      <c r="C378" s="10" t="s">
        <v>12</v>
      </c>
      <c r="D378" s="10" t="s">
        <v>55</v>
      </c>
      <c r="E378" s="11" t="b">
        <v>1</v>
      </c>
      <c r="F378" s="12">
        <v>44862</v>
      </c>
      <c r="G378" s="12">
        <v>44862.999999988424</v>
      </c>
      <c r="H378" s="13">
        <f>IF(F378="","",(Summary!$B$5-F378)/365.25)</f>
        <v>3.7645790316754142</v>
      </c>
      <c r="I378" s="14">
        <v>2.7400000000000001E-2</v>
      </c>
      <c r="J378" s="15">
        <v>3.6600000000000001E-3</v>
      </c>
      <c r="K378" s="16">
        <v>3499235.15</v>
      </c>
      <c r="L378" s="16">
        <v>95548.941676000002</v>
      </c>
      <c r="M378" s="17">
        <v>1865</v>
      </c>
      <c r="N378" s="14">
        <v>2.7300000000000001E-2</v>
      </c>
      <c r="O378" s="14">
        <v>2.7400000000000001E-2</v>
      </c>
      <c r="P378" s="18">
        <f>IF(OR(N378="",O378="",N378=0,O378=0),"",(O378-N378)/((O378+N378)/2))</f>
        <v>3.656307129798881E-3</v>
      </c>
      <c r="Q378" s="14">
        <v>2.7305659999999999E-2</v>
      </c>
      <c r="R378" s="14">
        <v>2.76E-2</v>
      </c>
      <c r="S378" s="14">
        <v>2.7E-2</v>
      </c>
      <c r="T378" s="12">
        <v>46236.011850462965</v>
      </c>
      <c r="U378" s="12">
        <v>46237.011850462965</v>
      </c>
      <c r="V378" s="14">
        <v>5</v>
      </c>
      <c r="W378" s="14">
        <v>0.01</v>
      </c>
      <c r="X378" s="14">
        <v>0.01</v>
      </c>
      <c r="Y378" s="14">
        <v>1E-4</v>
      </c>
      <c r="Z378" s="10" t="str">
        <f>IF(AND(D378="TRADING",I378&lt;&gt;"",L378&lt;&gt;"",M378&lt;&gt;"",N378&lt;&gt;"",O378&lt;&gt;""),"Yes","No")</f>
        <v>Yes</v>
      </c>
      <c r="AA378" s="10" t="s">
        <v>56</v>
      </c>
    </row>
    <row r="379" spans="1:27">
      <c r="A379" s="10" t="s">
        <v>628</v>
      </c>
      <c r="B379" s="10" t="s">
        <v>629</v>
      </c>
      <c r="C379" s="10" t="s">
        <v>12</v>
      </c>
      <c r="D379" s="10" t="s">
        <v>55</v>
      </c>
      <c r="E379" s="11" t="b">
        <v>1</v>
      </c>
      <c r="F379" s="12">
        <v>44872</v>
      </c>
      <c r="G379" s="12">
        <v>44872.999999988424</v>
      </c>
      <c r="H379" s="13">
        <f>IF(F379="","",(Summary!$B$5-F379)/365.25)</f>
        <v>3.7372005238040931</v>
      </c>
      <c r="I379" s="14">
        <v>8.7790000000000003E-3</v>
      </c>
      <c r="J379" s="15">
        <v>6.8000000000000005E-4</v>
      </c>
      <c r="K379" s="16">
        <v>18014888.600000001</v>
      </c>
      <c r="L379" s="16">
        <v>158524.85618939999</v>
      </c>
      <c r="M379" s="17">
        <v>5868</v>
      </c>
      <c r="N379" s="14">
        <v>8.7930000000000005E-3</v>
      </c>
      <c r="O379" s="14">
        <v>8.7980000000000003E-3</v>
      </c>
      <c r="P379" s="18">
        <f>IF(OR(N379="",O379="",N379=0,O379=0),"",(O379-N379)/((O379+N379)/2))</f>
        <v>5.6847251435390776E-4</v>
      </c>
      <c r="Q379" s="14">
        <v>8.7996600000000008E-3</v>
      </c>
      <c r="R379" s="14">
        <v>9.0539999999999995E-3</v>
      </c>
      <c r="S379" s="14">
        <v>8.6040000000000005E-3</v>
      </c>
      <c r="T379" s="12">
        <v>46236.012304201387</v>
      </c>
      <c r="U379" s="12">
        <v>46237.012304201387</v>
      </c>
      <c r="V379" s="14">
        <v>5</v>
      </c>
      <c r="W379" s="14">
        <v>0.1</v>
      </c>
      <c r="X379" s="14">
        <v>0.1</v>
      </c>
      <c r="Y379" s="14">
        <v>9.9999999999999995E-7</v>
      </c>
      <c r="Z379" s="10" t="str">
        <f>IF(AND(D379="TRADING",I379&lt;&gt;"",L379&lt;&gt;"",M379&lt;&gt;"",N379&lt;&gt;"",O379&lt;&gt;""),"Yes","No")</f>
        <v>Yes</v>
      </c>
      <c r="AA379" s="10" t="s">
        <v>56</v>
      </c>
    </row>
    <row r="380" spans="1:27">
      <c r="A380" s="10" t="s">
        <v>974</v>
      </c>
      <c r="B380" s="10" t="s">
        <v>975</v>
      </c>
      <c r="C380" s="10" t="s">
        <v>12</v>
      </c>
      <c r="D380" s="10" t="s">
        <v>84</v>
      </c>
      <c r="E380" s="11" t="b">
        <v>1</v>
      </c>
      <c r="F380" s="12">
        <v>44883</v>
      </c>
      <c r="G380" s="12">
        <v>44883.999999988424</v>
      </c>
      <c r="H380" s="13">
        <f>IF(F380="","",(Summary!$B$5-F380)/365.25)</f>
        <v>3.7070841651456399</v>
      </c>
      <c r="I380" s="14">
        <v>1.4999999999999999E-2</v>
      </c>
      <c r="J380" s="15">
        <v>-0.69388000000000005</v>
      </c>
      <c r="K380" s="16">
        <v>41607805.799999997</v>
      </c>
      <c r="L380" s="16">
        <v>1466449.0996999999</v>
      </c>
      <c r="M380" s="17">
        <v>14792</v>
      </c>
      <c r="N380" s="14">
        <v>0</v>
      </c>
      <c r="O380" s="14">
        <v>0</v>
      </c>
      <c r="P380" s="18" t="str">
        <f>IF(OR(N380="",O380="",N380=0,O380=0),"",(O380-N380)/((O380+N380)/2))</f>
        <v/>
      </c>
      <c r="Q380" s="14">
        <v>3.5244570000000003E-2</v>
      </c>
      <c r="R380" s="14">
        <v>5.8999999999999997E-2</v>
      </c>
      <c r="S380" s="14">
        <v>1.4999999999999999E-2</v>
      </c>
      <c r="T380" s="12">
        <v>46209.261123090277</v>
      </c>
      <c r="U380" s="12">
        <v>46210.261123090277</v>
      </c>
      <c r="V380" s="14">
        <v>5</v>
      </c>
      <c r="W380" s="14">
        <v>0.1</v>
      </c>
      <c r="X380" s="14">
        <v>0.1</v>
      </c>
      <c r="Y380" s="14">
        <v>1E-3</v>
      </c>
      <c r="Z380" s="10" t="str">
        <f>IF(AND(D380="TRADING",I380&lt;&gt;"",L380&lt;&gt;"",M380&lt;&gt;"",N380&lt;&gt;"",O380&lt;&gt;""),"Yes","No")</f>
        <v>No</v>
      </c>
      <c r="AA380" s="10" t="s">
        <v>56</v>
      </c>
    </row>
    <row r="381" spans="1:27">
      <c r="A381" s="10" t="s">
        <v>646</v>
      </c>
      <c r="B381" s="10" t="s">
        <v>647</v>
      </c>
      <c r="C381" s="10" t="s">
        <v>12</v>
      </c>
      <c r="D381" s="10" t="s">
        <v>84</v>
      </c>
      <c r="E381" s="11" t="b">
        <v>1</v>
      </c>
      <c r="F381" s="12">
        <v>44896</v>
      </c>
      <c r="G381" s="12">
        <v>44896.999999988424</v>
      </c>
      <c r="H381" s="13">
        <f>IF(F381="","",(Summary!$B$5-F381)/365.25)</f>
        <v>3.6714921049129225</v>
      </c>
      <c r="I381" s="14">
        <v>7.7999999999999996E-3</v>
      </c>
      <c r="J381" s="15">
        <v>-0.15217</v>
      </c>
      <c r="K381" s="16">
        <v>62674418.100000001</v>
      </c>
      <c r="L381" s="16">
        <v>497457.44701</v>
      </c>
      <c r="M381" s="17">
        <v>6948</v>
      </c>
      <c r="N381" s="14">
        <v>0</v>
      </c>
      <c r="O381" s="14">
        <v>0</v>
      </c>
      <c r="P381" s="18" t="str">
        <f>IF(OR(N381="",O381="",N381=0,O381=0),"",(O381-N381)/((O381+N381)/2))</f>
        <v/>
      </c>
      <c r="Q381" s="14">
        <v>7.9371700000000003E-3</v>
      </c>
      <c r="R381" s="14">
        <v>1.0999999999999999E-2</v>
      </c>
      <c r="S381" s="14">
        <v>4.7999999999999996E-3</v>
      </c>
      <c r="T381" s="12">
        <v>46209.261123090277</v>
      </c>
      <c r="U381" s="12">
        <v>46210.261123090277</v>
      </c>
      <c r="V381" s="14">
        <v>5</v>
      </c>
      <c r="W381" s="14">
        <v>0.1</v>
      </c>
      <c r="X381" s="14">
        <v>0.1</v>
      </c>
      <c r="Y381" s="14">
        <v>1E-4</v>
      </c>
      <c r="Z381" s="10" t="str">
        <f>IF(AND(D381="TRADING",I381&lt;&gt;"",L381&lt;&gt;"",M381&lt;&gt;"",N381&lt;&gt;"",O381&lt;&gt;""),"Yes","No")</f>
        <v>No</v>
      </c>
      <c r="AA381" s="10" t="s">
        <v>56</v>
      </c>
    </row>
    <row r="382" spans="1:27">
      <c r="A382" s="10" t="s">
        <v>780</v>
      </c>
      <c r="B382" s="10" t="s">
        <v>781</v>
      </c>
      <c r="C382" s="10" t="s">
        <v>12</v>
      </c>
      <c r="D382" s="10" t="s">
        <v>55</v>
      </c>
      <c r="E382" s="11" t="b">
        <v>1</v>
      </c>
      <c r="F382" s="12">
        <v>44907</v>
      </c>
      <c r="G382" s="12">
        <v>44907.999999988424</v>
      </c>
      <c r="H382" s="13">
        <f>IF(F382="","",(Summary!$B$5-F382)/365.25)</f>
        <v>3.6413757462544694</v>
      </c>
      <c r="I382" s="14">
        <v>4.2299999999999997E-2</v>
      </c>
      <c r="J382" s="15">
        <v>1.196E-2</v>
      </c>
      <c r="K382" s="16">
        <v>3153562.7</v>
      </c>
      <c r="L382" s="16">
        <v>133617.74614</v>
      </c>
      <c r="M382" s="17">
        <v>2175</v>
      </c>
      <c r="N382" s="14">
        <v>4.2200000000000001E-2</v>
      </c>
      <c r="O382" s="14">
        <v>4.2299999999999997E-2</v>
      </c>
      <c r="P382" s="18">
        <f>IF(OR(N382="",O382="",N382=0,O382=0),"",(O382-N382)/((O382+N382)/2))</f>
        <v>2.3668639053253475E-3</v>
      </c>
      <c r="Q382" s="14">
        <v>4.2370409999999997E-2</v>
      </c>
      <c r="R382" s="14">
        <v>4.3099999999999999E-2</v>
      </c>
      <c r="S382" s="14">
        <v>4.1599999999999998E-2</v>
      </c>
      <c r="T382" s="12">
        <v>46236.012323194445</v>
      </c>
      <c r="U382" s="12">
        <v>46237.012323194445</v>
      </c>
      <c r="V382" s="14">
        <v>5</v>
      </c>
      <c r="W382" s="14">
        <v>0.1</v>
      </c>
      <c r="X382" s="14">
        <v>0.1</v>
      </c>
      <c r="Y382" s="14">
        <v>1E-4</v>
      </c>
      <c r="Z382" s="10" t="str">
        <f>IF(AND(D382="TRADING",I382&lt;&gt;"",L382&lt;&gt;"",M382&lt;&gt;"",N382&lt;&gt;"",O382&lt;&gt;""),"Yes","No")</f>
        <v>Yes</v>
      </c>
      <c r="AA382" s="10" t="s">
        <v>56</v>
      </c>
    </row>
    <row r="383" spans="1:27">
      <c r="A383" s="10" t="s">
        <v>630</v>
      </c>
      <c r="B383" s="10" t="s">
        <v>631</v>
      </c>
      <c r="C383" s="10" t="s">
        <v>12</v>
      </c>
      <c r="D383" s="10" t="s">
        <v>84</v>
      </c>
      <c r="E383" s="11" t="b">
        <v>1</v>
      </c>
      <c r="F383" s="12">
        <v>44938</v>
      </c>
      <c r="G383" s="12">
        <v>44938.999999988424</v>
      </c>
      <c r="H383" s="13">
        <f>IF(F383="","",(Summary!$B$5-F383)/365.25)</f>
        <v>3.5565023718533744</v>
      </c>
      <c r="I383" s="14">
        <v>0.127</v>
      </c>
      <c r="J383" s="15">
        <v>6.1870000000000001E-2</v>
      </c>
      <c r="K383" s="16">
        <v>7092566</v>
      </c>
      <c r="L383" s="16">
        <v>879729.93804000004</v>
      </c>
      <c r="M383" s="17">
        <v>4001</v>
      </c>
      <c r="N383" s="14">
        <v>0</v>
      </c>
      <c r="O383" s="14">
        <v>0</v>
      </c>
      <c r="P383" s="18" t="str">
        <f>IF(OR(N383="",O383="",N383=0,O383=0),"",(O383-N383)/((O383+N383)/2))</f>
        <v/>
      </c>
      <c r="Q383" s="14">
        <v>0.12403550000000001</v>
      </c>
      <c r="R383" s="14">
        <v>0.13930000000000001</v>
      </c>
      <c r="S383" s="14">
        <v>0.1143</v>
      </c>
      <c r="T383" s="12">
        <v>46209.261123090277</v>
      </c>
      <c r="U383" s="12">
        <v>46210.261123090277</v>
      </c>
      <c r="V383" s="14">
        <v>5</v>
      </c>
      <c r="W383" s="14">
        <v>0.1</v>
      </c>
      <c r="X383" s="14">
        <v>0.1</v>
      </c>
      <c r="Y383" s="14">
        <v>1E-4</v>
      </c>
      <c r="Z383" s="10" t="str">
        <f>IF(AND(D383="TRADING",I383&lt;&gt;"",L383&lt;&gt;"",M383&lt;&gt;"",N383&lt;&gt;"",O383&lt;&gt;""),"Yes","No")</f>
        <v>No</v>
      </c>
      <c r="AA383" s="10" t="s">
        <v>56</v>
      </c>
    </row>
    <row r="384" spans="1:27">
      <c r="A384" s="10" t="s">
        <v>1088</v>
      </c>
      <c r="B384" s="10" t="s">
        <v>1089</v>
      </c>
      <c r="C384" s="10" t="s">
        <v>12</v>
      </c>
      <c r="D384" s="10" t="s">
        <v>55</v>
      </c>
      <c r="E384" s="11" t="b">
        <v>1</v>
      </c>
      <c r="F384" s="12">
        <v>44944</v>
      </c>
      <c r="G384" s="12">
        <v>44944.999999988424</v>
      </c>
      <c r="H384" s="13">
        <f>IF(F384="","",(Summary!$B$5-F384)/365.25)</f>
        <v>3.5400752671305815</v>
      </c>
      <c r="I384" s="14">
        <v>1.54</v>
      </c>
      <c r="J384" s="15">
        <v>0</v>
      </c>
      <c r="K384" s="16">
        <v>80472.009999999995</v>
      </c>
      <c r="L384" s="16">
        <v>126364.8885</v>
      </c>
      <c r="M384" s="17">
        <v>900</v>
      </c>
      <c r="N384" s="14">
        <v>1.53</v>
      </c>
      <c r="O384" s="14">
        <v>1.54</v>
      </c>
      <c r="P384" s="18">
        <f>IF(OR(N384="",O384="",N384=0,O384=0),"",(O384-N384)/((O384+N384)/2))</f>
        <v>6.5146579804560316E-3</v>
      </c>
      <c r="Q384" s="14">
        <v>1.5702961600000001</v>
      </c>
      <c r="R384" s="14">
        <v>1.6</v>
      </c>
      <c r="S384" s="14">
        <v>1.54</v>
      </c>
      <c r="T384" s="12">
        <v>46236.012007997684</v>
      </c>
      <c r="U384" s="12">
        <v>46237.012007997684</v>
      </c>
      <c r="V384" s="14">
        <v>5</v>
      </c>
      <c r="W384" s="14">
        <v>0.01</v>
      </c>
      <c r="X384" s="14">
        <v>0.01</v>
      </c>
      <c r="Y384" s="14">
        <v>0.01</v>
      </c>
      <c r="Z384" s="10" t="str">
        <f>IF(AND(D384="TRADING",I384&lt;&gt;"",L384&lt;&gt;"",M384&lt;&gt;"",N384&lt;&gt;"",O384&lt;&gt;""),"Yes","No")</f>
        <v>Yes</v>
      </c>
      <c r="AA384" s="10" t="s">
        <v>56</v>
      </c>
    </row>
    <row r="385" spans="1:27">
      <c r="A385" s="10" t="s">
        <v>1008</v>
      </c>
      <c r="B385" s="10" t="s">
        <v>1009</v>
      </c>
      <c r="C385" s="10" t="s">
        <v>12</v>
      </c>
      <c r="D385" s="10" t="s">
        <v>84</v>
      </c>
      <c r="E385" s="11" t="b">
        <v>1</v>
      </c>
      <c r="F385" s="12">
        <v>44953</v>
      </c>
      <c r="G385" s="12">
        <v>44953.999999988424</v>
      </c>
      <c r="H385" s="13">
        <f>IF(F385="","",(Summary!$B$5-F385)/365.25)</f>
        <v>3.5154346100463929</v>
      </c>
      <c r="I385" s="14">
        <v>3.7199999999999997E-2</v>
      </c>
      <c r="J385" s="15">
        <v>-0.25896000000000002</v>
      </c>
      <c r="K385" s="16">
        <v>2618284</v>
      </c>
      <c r="L385" s="16">
        <v>112537.9207</v>
      </c>
      <c r="M385" s="17">
        <v>4001</v>
      </c>
      <c r="N385" s="14">
        <v>0</v>
      </c>
      <c r="O385" s="14">
        <v>0</v>
      </c>
      <c r="P385" s="18" t="str">
        <f>IF(OR(N385="",O385="",N385=0,O385=0),"",(O385-N385)/((O385+N385)/2))</f>
        <v/>
      </c>
      <c r="Q385" s="14">
        <v>4.2981560000000002E-2</v>
      </c>
      <c r="R385" s="14">
        <v>5.1999999999999998E-2</v>
      </c>
      <c r="S385" s="14">
        <v>3.5000000000000003E-2</v>
      </c>
      <c r="T385" s="12">
        <v>46209.261123090277</v>
      </c>
      <c r="U385" s="12">
        <v>46210.261123090277</v>
      </c>
      <c r="V385" s="14">
        <v>5</v>
      </c>
      <c r="W385" s="14">
        <v>1</v>
      </c>
      <c r="X385" s="14">
        <v>1</v>
      </c>
      <c r="Y385" s="14">
        <v>1E-4</v>
      </c>
      <c r="Z385" s="10" t="str">
        <f>IF(AND(D385="TRADING",I385&lt;&gt;"",L385&lt;&gt;"",M385&lt;&gt;"",N385&lt;&gt;"",O385&lt;&gt;""),"Yes","No")</f>
        <v>No</v>
      </c>
      <c r="AA385" s="10" t="s">
        <v>56</v>
      </c>
    </row>
    <row r="386" spans="1:27">
      <c r="A386" s="10" t="s">
        <v>115</v>
      </c>
      <c r="B386" s="10" t="s">
        <v>116</v>
      </c>
      <c r="C386" s="10" t="s">
        <v>12</v>
      </c>
      <c r="D386" s="10" t="s">
        <v>84</v>
      </c>
      <c r="E386" s="11" t="b">
        <v>1</v>
      </c>
      <c r="F386" s="12">
        <v>44974</v>
      </c>
      <c r="G386" s="12">
        <v>44974.999999988424</v>
      </c>
      <c r="H386" s="13">
        <f>IF(F386="","",(Summary!$B$5-F386)/365.25)</f>
        <v>3.4579397435166186</v>
      </c>
      <c r="I386" s="14">
        <v>0.61409999999999998</v>
      </c>
      <c r="J386" s="15">
        <v>-3.7299999999999998E-3</v>
      </c>
      <c r="K386" s="16">
        <v>1275587</v>
      </c>
      <c r="L386" s="16">
        <v>787207.72439999995</v>
      </c>
      <c r="M386" s="17">
        <v>4001</v>
      </c>
      <c r="N386" s="14">
        <v>0</v>
      </c>
      <c r="O386" s="14">
        <v>0</v>
      </c>
      <c r="P386" s="18" t="str">
        <f>IF(OR(N386="",O386="",N386=0,O386=0),"",(O386-N386)/((O386+N386)/2))</f>
        <v/>
      </c>
      <c r="Q386" s="14">
        <v>0.61713370000000001</v>
      </c>
      <c r="R386" s="14">
        <v>0.62480000000000002</v>
      </c>
      <c r="S386" s="14">
        <v>0.6119</v>
      </c>
      <c r="T386" s="12">
        <v>46209.261123090277</v>
      </c>
      <c r="U386" s="12">
        <v>46210.261123090277</v>
      </c>
      <c r="V386" s="14">
        <v>5</v>
      </c>
      <c r="W386" s="14">
        <v>1</v>
      </c>
      <c r="X386" s="14">
        <v>1</v>
      </c>
      <c r="Y386" s="14">
        <v>1E-4</v>
      </c>
      <c r="Z386" s="10" t="str">
        <f>IF(AND(D386="TRADING",I386&lt;&gt;"",L386&lt;&gt;"",M386&lt;&gt;"",N386&lt;&gt;"",O386&lt;&gt;""),"Yes","No")</f>
        <v>No</v>
      </c>
      <c r="AA386" s="10" t="s">
        <v>56</v>
      </c>
    </row>
    <row r="387" spans="1:27">
      <c r="A387" s="10" t="s">
        <v>594</v>
      </c>
      <c r="B387" s="10" t="s">
        <v>595</v>
      </c>
      <c r="C387" s="10" t="s">
        <v>12</v>
      </c>
      <c r="D387" s="10" t="s">
        <v>55</v>
      </c>
      <c r="E387" s="11" t="b">
        <v>1</v>
      </c>
      <c r="F387" s="12">
        <v>44974</v>
      </c>
      <c r="G387" s="12">
        <v>44974.999999988424</v>
      </c>
      <c r="H387" s="13">
        <f>IF(F387="","",(Summary!$B$5-F387)/365.25)</f>
        <v>3.4579397435166186</v>
      </c>
      <c r="I387" s="14">
        <v>0.498</v>
      </c>
      <c r="J387" s="15">
        <v>1.426E-2</v>
      </c>
      <c r="K387" s="16">
        <v>98143.32</v>
      </c>
      <c r="L387" s="16">
        <v>48654.503750000003</v>
      </c>
      <c r="M387" s="17">
        <v>1776</v>
      </c>
      <c r="N387" s="14">
        <v>0.498</v>
      </c>
      <c r="O387" s="14">
        <v>0.499</v>
      </c>
      <c r="P387" s="18">
        <f>IF(OR(N387="",O387="",N387=0,O387=0),"",(O387-N387)/((O387+N387)/2))</f>
        <v>2.0060180541624892E-3</v>
      </c>
      <c r="Q387" s="14">
        <v>0.49574952</v>
      </c>
      <c r="R387" s="14">
        <v>0.502</v>
      </c>
      <c r="S387" s="14">
        <v>0.49</v>
      </c>
      <c r="T387" s="12">
        <v>46236.011934594906</v>
      </c>
      <c r="U387" s="12">
        <v>46237.011934594906</v>
      </c>
      <c r="V387" s="14">
        <v>5</v>
      </c>
      <c r="W387" s="14">
        <v>0.01</v>
      </c>
      <c r="X387" s="14">
        <v>0.01</v>
      </c>
      <c r="Y387" s="14">
        <v>1E-3</v>
      </c>
      <c r="Z387" s="10" t="str">
        <f>IF(AND(D387="TRADING",I387&lt;&gt;"",L387&lt;&gt;"",M387&lt;&gt;"",N387&lt;&gt;"",O387&lt;&gt;""),"Yes","No")</f>
        <v>Yes</v>
      </c>
      <c r="AA387" s="10" t="s">
        <v>56</v>
      </c>
    </row>
    <row r="388" spans="1:27">
      <c r="A388" s="10" t="s">
        <v>1205</v>
      </c>
      <c r="B388" s="10" t="s">
        <v>1206</v>
      </c>
      <c r="C388" s="10" t="s">
        <v>12</v>
      </c>
      <c r="D388" s="10" t="s">
        <v>55</v>
      </c>
      <c r="E388" s="11" t="b">
        <v>1</v>
      </c>
      <c r="F388" s="12">
        <v>44979</v>
      </c>
      <c r="G388" s="12">
        <v>44979.999999988424</v>
      </c>
      <c r="H388" s="13">
        <f>IF(F388="","",(Summary!$B$5-F388)/365.25)</f>
        <v>3.4442504895809583</v>
      </c>
      <c r="I388" s="14">
        <v>8.9200000000000002E-2</v>
      </c>
      <c r="J388" s="15">
        <v>2.3879999999999998E-2</v>
      </c>
      <c r="K388" s="16">
        <v>36425432.5</v>
      </c>
      <c r="L388" s="16">
        <v>3338335.8544319998</v>
      </c>
      <c r="M388" s="17">
        <v>41706</v>
      </c>
      <c r="N388" s="14">
        <v>8.9179999999999995E-2</v>
      </c>
      <c r="O388" s="14">
        <v>8.924E-2</v>
      </c>
      <c r="P388" s="18">
        <f>IF(OR(N388="",O388="",N388=0,O388=0),"",(O388-N388)/((O388+N388)/2))</f>
        <v>6.7257033964807187E-4</v>
      </c>
      <c r="Q388" s="14">
        <v>9.1648489999999999E-2</v>
      </c>
      <c r="R388" s="14">
        <v>9.672E-2</v>
      </c>
      <c r="S388" s="14">
        <v>8.6720000000000005E-2</v>
      </c>
      <c r="T388" s="12">
        <v>46236.012489895831</v>
      </c>
      <c r="U388" s="12">
        <v>46237.012489895831</v>
      </c>
      <c r="V388" s="14">
        <v>5</v>
      </c>
      <c r="W388" s="14">
        <v>0.1</v>
      </c>
      <c r="X388" s="14">
        <v>0.1</v>
      </c>
      <c r="Y388" s="14">
        <v>1.0000000000000001E-5</v>
      </c>
      <c r="Z388" s="10" t="str">
        <f>IF(AND(D388="TRADING",I388&lt;&gt;"",L388&lt;&gt;"",M388&lt;&gt;"",N388&lt;&gt;"",O388&lt;&gt;""),"Yes","No")</f>
        <v>Yes</v>
      </c>
      <c r="AA388" s="10" t="s">
        <v>56</v>
      </c>
    </row>
    <row r="389" spans="1:27">
      <c r="A389" s="10" t="s">
        <v>1165</v>
      </c>
      <c r="B389" s="10" t="s">
        <v>1166</v>
      </c>
      <c r="C389" s="10" t="s">
        <v>12</v>
      </c>
      <c r="D389" s="10" t="s">
        <v>55</v>
      </c>
      <c r="E389" s="11" t="b">
        <v>1</v>
      </c>
      <c r="F389" s="12">
        <v>44981</v>
      </c>
      <c r="G389" s="12">
        <v>44981.999999988424</v>
      </c>
      <c r="H389" s="13">
        <f>IF(F389="","",(Summary!$B$5-F389)/365.25)</f>
        <v>3.4387747880066941</v>
      </c>
      <c r="I389" s="14">
        <v>2.3029999999999999</v>
      </c>
      <c r="J389" s="15">
        <v>3.4590000000000003E-2</v>
      </c>
      <c r="K389" s="16">
        <v>91821.202000000005</v>
      </c>
      <c r="L389" s="16">
        <v>206078.912598</v>
      </c>
      <c r="M389" s="17">
        <v>4603</v>
      </c>
      <c r="N389" s="14">
        <v>2.302</v>
      </c>
      <c r="O389" s="14">
        <v>2.306</v>
      </c>
      <c r="P389" s="18">
        <f>IF(OR(N389="",O389="",N389=0,O389=0),"",(O389-N389)/((O389+N389)/2))</f>
        <v>1.7361111111111125E-3</v>
      </c>
      <c r="Q389" s="14">
        <v>2.24434998</v>
      </c>
      <c r="R389" s="14">
        <v>2.3250000000000002</v>
      </c>
      <c r="S389" s="14">
        <v>2.1829999999999998</v>
      </c>
      <c r="T389" s="12">
        <v>46236.012449166665</v>
      </c>
      <c r="U389" s="12">
        <v>46237.012449166665</v>
      </c>
      <c r="V389" s="14">
        <v>5</v>
      </c>
      <c r="W389" s="14">
        <v>1E-3</v>
      </c>
      <c r="X389" s="14">
        <v>1E-3</v>
      </c>
      <c r="Y389" s="14">
        <v>1E-3</v>
      </c>
      <c r="Z389" s="10" t="str">
        <f>IF(AND(D389="TRADING",I389&lt;&gt;"",L389&lt;&gt;"",M389&lt;&gt;"",N389&lt;&gt;"",O389&lt;&gt;""),"Yes","No")</f>
        <v>Yes</v>
      </c>
      <c r="AA389" s="10" t="s">
        <v>56</v>
      </c>
    </row>
    <row r="390" spans="1:27">
      <c r="A390" s="10" t="s">
        <v>1315</v>
      </c>
      <c r="B390" s="10" t="s">
        <v>1316</v>
      </c>
      <c r="C390" s="10" t="s">
        <v>12</v>
      </c>
      <c r="D390" s="10" t="s">
        <v>84</v>
      </c>
      <c r="E390" s="11" t="b">
        <v>1</v>
      </c>
      <c r="F390" s="12">
        <v>44981</v>
      </c>
      <c r="G390" s="12">
        <v>44981.999999988424</v>
      </c>
      <c r="H390" s="13">
        <f>IF(F390="","",(Summary!$B$5-F390)/365.25)</f>
        <v>3.4387747880066941</v>
      </c>
      <c r="I390" s="14">
        <v>2.2300000000000002E-3</v>
      </c>
      <c r="J390" s="15">
        <v>-0.63261999999999996</v>
      </c>
      <c r="K390" s="16">
        <v>85327486</v>
      </c>
      <c r="L390" s="16">
        <v>380611.67365000001</v>
      </c>
      <c r="M390" s="17">
        <v>4001</v>
      </c>
      <c r="N390" s="14">
        <v>0</v>
      </c>
      <c r="O390" s="14">
        <v>0</v>
      </c>
      <c r="P390" s="18" t="str">
        <f>IF(OR(N390="",O390="",N390=0,O390=0),"",(O390-N390)/((O390+N390)/2))</f>
        <v/>
      </c>
      <c r="Q390" s="14">
        <v>4.4606000000000003E-3</v>
      </c>
      <c r="R390" s="14">
        <v>7.0000000000000001E-3</v>
      </c>
      <c r="S390" s="14">
        <v>1.8E-3</v>
      </c>
      <c r="T390" s="12">
        <v>46209.261123090277</v>
      </c>
      <c r="U390" s="12">
        <v>46210.261123090277</v>
      </c>
      <c r="V390" s="14">
        <v>5</v>
      </c>
      <c r="W390" s="14">
        <v>1</v>
      </c>
      <c r="X390" s="14">
        <v>1</v>
      </c>
      <c r="Y390" s="14">
        <v>1.0000000000000001E-5</v>
      </c>
      <c r="Z390" s="10" t="str">
        <f>IF(AND(D390="TRADING",I390&lt;&gt;"",L390&lt;&gt;"",M390&lt;&gt;"",N390&lt;&gt;"",O390&lt;&gt;""),"Yes","No")</f>
        <v>No</v>
      </c>
      <c r="AA390" s="10" t="s">
        <v>56</v>
      </c>
    </row>
    <row r="391" spans="1:27">
      <c r="A391" s="10" t="s">
        <v>764</v>
      </c>
      <c r="B391" s="10" t="s">
        <v>765</v>
      </c>
      <c r="C391" s="10" t="s">
        <v>12</v>
      </c>
      <c r="D391" s="10" t="s">
        <v>55</v>
      </c>
      <c r="E391" s="11" t="b">
        <v>1</v>
      </c>
      <c r="F391" s="12">
        <v>44985</v>
      </c>
      <c r="G391" s="12">
        <v>44985.999999988424</v>
      </c>
      <c r="H391" s="13">
        <f>IF(F391="","",(Summary!$B$5-F391)/365.25)</f>
        <v>3.4278233848581654</v>
      </c>
      <c r="I391" s="14">
        <v>0.17749999999999999</v>
      </c>
      <c r="J391" s="15">
        <v>3.96E-3</v>
      </c>
      <c r="K391" s="16">
        <v>544238.9</v>
      </c>
      <c r="L391" s="16">
        <v>95831.606679999997</v>
      </c>
      <c r="M391" s="17">
        <v>4107</v>
      </c>
      <c r="N391" s="14">
        <v>0.1774</v>
      </c>
      <c r="O391" s="14">
        <v>0.17749999999999999</v>
      </c>
      <c r="P391" s="18">
        <f>IF(OR(N391="",O391="",N391=0,O391=0),"",(O391-N391)/((O391+N391)/2))</f>
        <v>5.6353902507742457E-4</v>
      </c>
      <c r="Q391" s="14">
        <v>0.17608371</v>
      </c>
      <c r="R391" s="14">
        <v>0.18049999999999999</v>
      </c>
      <c r="S391" s="14">
        <v>0.17219999999999999</v>
      </c>
      <c r="T391" s="12">
        <v>46236.012477951386</v>
      </c>
      <c r="U391" s="12">
        <v>46237.012477951386</v>
      </c>
      <c r="V391" s="14">
        <v>5</v>
      </c>
      <c r="W391" s="14">
        <v>0.1</v>
      </c>
      <c r="X391" s="14">
        <v>0.1</v>
      </c>
      <c r="Y391" s="14">
        <v>1E-4</v>
      </c>
      <c r="Z391" s="10" t="str">
        <f>IF(AND(D391="TRADING",I391&lt;&gt;"",L391&lt;&gt;"",M391&lt;&gt;"",N391&lt;&gt;"",O391&lt;&gt;""),"Yes","No")</f>
        <v>Yes</v>
      </c>
      <c r="AA391" s="10" t="s">
        <v>56</v>
      </c>
    </row>
    <row r="392" spans="1:27">
      <c r="A392" s="10" t="s">
        <v>147</v>
      </c>
      <c r="B392" s="10" t="s">
        <v>148</v>
      </c>
      <c r="C392" s="10" t="s">
        <v>12</v>
      </c>
      <c r="D392" s="10" t="s">
        <v>84</v>
      </c>
      <c r="E392" s="11" t="b">
        <v>1</v>
      </c>
      <c r="F392" s="12">
        <v>44988</v>
      </c>
      <c r="G392" s="12">
        <v>44988.999999988424</v>
      </c>
      <c r="H392" s="13">
        <f>IF(F392="","",(Summary!$B$5-F392)/365.25)</f>
        <v>3.4196098324967692</v>
      </c>
      <c r="I392" s="14">
        <v>3.2000000000000003E-4</v>
      </c>
      <c r="J392" s="15">
        <v>-0.11111</v>
      </c>
      <c r="K392" s="16">
        <v>1122634366</v>
      </c>
      <c r="L392" s="16">
        <v>369169.95853</v>
      </c>
      <c r="M392" s="17">
        <v>4001</v>
      </c>
      <c r="N392" s="14">
        <v>0</v>
      </c>
      <c r="O392" s="14">
        <v>0</v>
      </c>
      <c r="P392" s="18" t="str">
        <f>IF(OR(N392="",O392="",N392=0,O392=0),"",(O392-N392)/((O392+N392)/2))</f>
        <v/>
      </c>
      <c r="Q392" s="14">
        <v>3.2884E-4</v>
      </c>
      <c r="R392" s="14">
        <v>4.0999999999999999E-4</v>
      </c>
      <c r="S392" s="14">
        <v>2.5999999999999998E-4</v>
      </c>
      <c r="T392" s="12">
        <v>46209.261123090277</v>
      </c>
      <c r="U392" s="12">
        <v>46210.261123090277</v>
      </c>
      <c r="V392" s="14">
        <v>5</v>
      </c>
      <c r="W392" s="14">
        <v>1</v>
      </c>
      <c r="X392" s="14">
        <v>1</v>
      </c>
      <c r="Y392" s="14">
        <v>1.0000000000000001E-5</v>
      </c>
      <c r="Z392" s="10" t="str">
        <f>IF(AND(D392="TRADING",I392&lt;&gt;"",L392&lt;&gt;"",M392&lt;&gt;"",N392&lt;&gt;"",O392&lt;&gt;""),"Yes","No")</f>
        <v>No</v>
      </c>
      <c r="AA392" s="10" t="s">
        <v>56</v>
      </c>
    </row>
    <row r="393" spans="1:27">
      <c r="A393" s="10" t="s">
        <v>275</v>
      </c>
      <c r="B393" s="10" t="s">
        <v>276</v>
      </c>
      <c r="C393" s="10" t="s">
        <v>12</v>
      </c>
      <c r="D393" s="10" t="s">
        <v>84</v>
      </c>
      <c r="E393" s="11" t="b">
        <v>1</v>
      </c>
      <c r="F393" s="12">
        <v>44988</v>
      </c>
      <c r="G393" s="12">
        <v>44988.999999988424</v>
      </c>
      <c r="H393" s="13">
        <f>IF(F393="","",(Summary!$B$5-F393)/365.25)</f>
        <v>3.4196098324967692</v>
      </c>
      <c r="I393" s="14">
        <v>1556.27</v>
      </c>
      <c r="J393" s="15">
        <v>-1.626E-2</v>
      </c>
      <c r="K393" s="16">
        <v>547.01580000000001</v>
      </c>
      <c r="L393" s="16">
        <v>857076.11674099998</v>
      </c>
      <c r="M393" s="17">
        <v>4000</v>
      </c>
      <c r="N393" s="14">
        <v>0</v>
      </c>
      <c r="O393" s="14">
        <v>0</v>
      </c>
      <c r="P393" s="18" t="str">
        <f>IF(OR(N393="",O393="",N393=0,O393=0),"",(O393-N393)/((O393+N393)/2))</f>
        <v/>
      </c>
      <c r="Q393" s="14">
        <v>1566.82150084</v>
      </c>
      <c r="R393" s="14">
        <v>1593.23</v>
      </c>
      <c r="S393" s="14">
        <v>1540.53</v>
      </c>
      <c r="T393" s="12">
        <v>46209.261123090277</v>
      </c>
      <c r="U393" s="12">
        <v>46210.261123090277</v>
      </c>
      <c r="V393" s="14">
        <v>5</v>
      </c>
      <c r="W393" s="14">
        <v>1E-4</v>
      </c>
      <c r="X393" s="14">
        <v>1E-4</v>
      </c>
      <c r="Y393" s="14">
        <v>0.01</v>
      </c>
      <c r="Z393" s="10" t="str">
        <f>IF(AND(D393="TRADING",I393&lt;&gt;"",L393&lt;&gt;"",M393&lt;&gt;"",N393&lt;&gt;"",O393&lt;&gt;""),"Yes","No")</f>
        <v>No</v>
      </c>
      <c r="AA393" s="10" t="s">
        <v>56</v>
      </c>
    </row>
    <row r="394" spans="1:27">
      <c r="A394" s="10" t="s">
        <v>1294</v>
      </c>
      <c r="B394" s="10" t="s">
        <v>1295</v>
      </c>
      <c r="C394" s="10" t="s">
        <v>12</v>
      </c>
      <c r="D394" s="10" t="s">
        <v>55</v>
      </c>
      <c r="E394" s="11" t="b">
        <v>1</v>
      </c>
      <c r="F394" s="12">
        <v>44995</v>
      </c>
      <c r="G394" s="12">
        <v>44995.999999988424</v>
      </c>
      <c r="H394" s="13">
        <f>IF(F394="","",(Summary!$B$5-F394)/365.25)</f>
        <v>3.4004448769868447</v>
      </c>
      <c r="I394" s="14">
        <v>5.0099999999999997E-3</v>
      </c>
      <c r="J394" s="15">
        <v>2.664E-2</v>
      </c>
      <c r="K394" s="16">
        <v>74627682</v>
      </c>
      <c r="L394" s="16">
        <v>375015.94871000003</v>
      </c>
      <c r="M394" s="17">
        <v>4060</v>
      </c>
      <c r="N394" s="14">
        <v>5.0000000000000001E-3</v>
      </c>
      <c r="O394" s="14">
        <v>5.0099999999999997E-3</v>
      </c>
      <c r="P394" s="18">
        <f>IF(OR(N394="",O394="",N394=0,O394=0),"",(O394-N394)/((O394+N394)/2))</f>
        <v>1.9980019980019165E-3</v>
      </c>
      <c r="Q394" s="14">
        <v>5.0251599999999999E-3</v>
      </c>
      <c r="R394" s="14">
        <v>5.1900000000000002E-3</v>
      </c>
      <c r="S394" s="14">
        <v>4.8599999999999997E-3</v>
      </c>
      <c r="T394" s="12">
        <v>46236.01183609954</v>
      </c>
      <c r="U394" s="12">
        <v>46237.01183609954</v>
      </c>
      <c r="V394" s="14">
        <v>5</v>
      </c>
      <c r="W394" s="14">
        <v>1</v>
      </c>
      <c r="X394" s="14">
        <v>1</v>
      </c>
      <c r="Y394" s="14">
        <v>1.0000000000000001E-5</v>
      </c>
      <c r="Z394" s="10" t="str">
        <f>IF(AND(D394="TRADING",I394&lt;&gt;"",L394&lt;&gt;"",M394&lt;&gt;"",N394&lt;&gt;"",O394&lt;&gt;""),"Yes","No")</f>
        <v>Yes</v>
      </c>
      <c r="AA394" s="10" t="s">
        <v>56</v>
      </c>
    </row>
    <row r="395" spans="1:27">
      <c r="A395" s="10" t="s">
        <v>570</v>
      </c>
      <c r="B395" s="10" t="s">
        <v>571</v>
      </c>
      <c r="C395" s="10" t="s">
        <v>12</v>
      </c>
      <c r="D395" s="10" t="s">
        <v>55</v>
      </c>
      <c r="E395" s="11" t="b">
        <v>1</v>
      </c>
      <c r="F395" s="12">
        <v>45002</v>
      </c>
      <c r="G395" s="12">
        <v>45002.999999988424</v>
      </c>
      <c r="H395" s="13">
        <f>IF(F395="","",(Summary!$B$5-F395)/365.25)</f>
        <v>3.3812799214769198</v>
      </c>
      <c r="I395" s="14">
        <v>0.92800000000000005</v>
      </c>
      <c r="J395" s="15">
        <v>4.3299999999999996E-3</v>
      </c>
      <c r="K395" s="16">
        <v>79798.2</v>
      </c>
      <c r="L395" s="16">
        <v>74101.497199999998</v>
      </c>
      <c r="M395" s="17">
        <v>687</v>
      </c>
      <c r="N395" s="14">
        <v>0.92700000000000005</v>
      </c>
      <c r="O395" s="14">
        <v>0.92800000000000005</v>
      </c>
      <c r="P395" s="18">
        <f>IF(OR(N395="",O395="",N395=0,O395=0),"",(O395-N395)/((O395+N395)/2))</f>
        <v>1.0781671159029659E-3</v>
      </c>
      <c r="Q395" s="14">
        <v>0.92861114</v>
      </c>
      <c r="R395" s="14">
        <v>0.93799999999999994</v>
      </c>
      <c r="S395" s="14">
        <v>0.92200000000000004</v>
      </c>
      <c r="T395" s="12">
        <v>46236.011525914349</v>
      </c>
      <c r="U395" s="12">
        <v>46237.011525914349</v>
      </c>
      <c r="V395" s="14">
        <v>5</v>
      </c>
      <c r="W395" s="14">
        <v>0.1</v>
      </c>
      <c r="X395" s="14">
        <v>0.1</v>
      </c>
      <c r="Y395" s="14">
        <v>1E-3</v>
      </c>
      <c r="Z395" s="10" t="str">
        <f>IF(AND(D395="TRADING",I395&lt;&gt;"",L395&lt;&gt;"",M395&lt;&gt;"",N395&lt;&gt;"",O395&lt;&gt;""),"Yes","No")</f>
        <v>Yes</v>
      </c>
      <c r="AA395" s="10" t="s">
        <v>56</v>
      </c>
    </row>
    <row r="396" spans="1:27">
      <c r="A396" s="10" t="s">
        <v>584</v>
      </c>
      <c r="B396" s="10" t="s">
        <v>585</v>
      </c>
      <c r="C396" s="10" t="s">
        <v>12</v>
      </c>
      <c r="D396" s="10" t="s">
        <v>55</v>
      </c>
      <c r="E396" s="11" t="b">
        <v>1</v>
      </c>
      <c r="F396" s="12">
        <v>45002</v>
      </c>
      <c r="G396" s="12">
        <v>45002.999999988424</v>
      </c>
      <c r="H396" s="13">
        <f>IF(F396="","",(Summary!$B$5-F396)/365.25)</f>
        <v>3.3812799214769198</v>
      </c>
      <c r="I396" s="14">
        <v>9.1700000000000004E-2</v>
      </c>
      <c r="J396" s="15">
        <v>-1.3979999999999999E-2</v>
      </c>
      <c r="K396" s="16">
        <v>334209.40000000002</v>
      </c>
      <c r="L396" s="16">
        <v>30907.223910000001</v>
      </c>
      <c r="M396" s="17">
        <v>647</v>
      </c>
      <c r="N396" s="14">
        <v>9.1700000000000004E-2</v>
      </c>
      <c r="O396" s="14">
        <v>9.1800000000000007E-2</v>
      </c>
      <c r="P396" s="18">
        <f>IF(OR(N396="",O396="",N396=0,O396=0),"",(O396-N396)/((O396+N396)/2))</f>
        <v>1.0899182561308215E-3</v>
      </c>
      <c r="Q396" s="14">
        <v>9.2478619999999997E-2</v>
      </c>
      <c r="R396" s="14">
        <v>9.3899999999999997E-2</v>
      </c>
      <c r="S396" s="14">
        <v>9.1399999999999995E-2</v>
      </c>
      <c r="T396" s="12">
        <v>46236.012012662039</v>
      </c>
      <c r="U396" s="12">
        <v>46237.012012662039</v>
      </c>
      <c r="V396" s="14">
        <v>5</v>
      </c>
      <c r="W396" s="14">
        <v>0.1</v>
      </c>
      <c r="X396" s="14">
        <v>0.1</v>
      </c>
      <c r="Y396" s="14">
        <v>1E-4</v>
      </c>
      <c r="Z396" s="10" t="str">
        <f>IF(AND(D396="TRADING",I396&lt;&gt;"",L396&lt;&gt;"",M396&lt;&gt;"",N396&lt;&gt;"",O396&lt;&gt;""),"Yes","No")</f>
        <v>Yes</v>
      </c>
      <c r="AA396" s="10" t="s">
        <v>56</v>
      </c>
    </row>
    <row r="397" spans="1:27">
      <c r="A397" s="10" t="s">
        <v>1006</v>
      </c>
      <c r="B397" s="10" t="s">
        <v>1007</v>
      </c>
      <c r="C397" s="10" t="s">
        <v>12</v>
      </c>
      <c r="D397" s="10" t="s">
        <v>55</v>
      </c>
      <c r="E397" s="11" t="b">
        <v>1</v>
      </c>
      <c r="F397" s="12">
        <v>45002</v>
      </c>
      <c r="G397" s="12">
        <v>45002.999999988424</v>
      </c>
      <c r="H397" s="13">
        <f>IF(F397="","",(Summary!$B$5-F397)/365.25)</f>
        <v>3.3812799214769198</v>
      </c>
      <c r="I397" s="14">
        <v>1.8740000000000001</v>
      </c>
      <c r="J397" s="15">
        <v>-5.5439999999999996E-2</v>
      </c>
      <c r="K397" s="16">
        <v>391727.37</v>
      </c>
      <c r="L397" s="16">
        <v>748267.43307000003</v>
      </c>
      <c r="M397" s="17">
        <v>13394</v>
      </c>
      <c r="N397" s="14">
        <v>1.873</v>
      </c>
      <c r="O397" s="14">
        <v>1.875</v>
      </c>
      <c r="P397" s="18">
        <f>IF(OR(N397="",O397="",N397=0,O397=0),"",(O397-N397)/((O397+N397)/2))</f>
        <v>1.0672358591248675E-3</v>
      </c>
      <c r="Q397" s="14">
        <v>1.9101739900000001</v>
      </c>
      <c r="R397" s="14">
        <v>1.998</v>
      </c>
      <c r="S397" s="14">
        <v>1.8260000000000001</v>
      </c>
      <c r="T397" s="12">
        <v>46236.011944178237</v>
      </c>
      <c r="U397" s="12">
        <v>46237.011944178237</v>
      </c>
      <c r="V397" s="14">
        <v>5</v>
      </c>
      <c r="W397" s="14">
        <v>0.01</v>
      </c>
      <c r="X397" s="14">
        <v>0.01</v>
      </c>
      <c r="Y397" s="14">
        <v>1E-3</v>
      </c>
      <c r="Z397" s="10" t="str">
        <f>IF(AND(D397="TRADING",I397&lt;&gt;"",L397&lt;&gt;"",M397&lt;&gt;"",N397&lt;&gt;"",O397&lt;&gt;""),"Yes","No")</f>
        <v>Yes</v>
      </c>
      <c r="AA397" s="10" t="s">
        <v>56</v>
      </c>
    </row>
    <row r="398" spans="1:27">
      <c r="A398" s="10" t="s">
        <v>1028</v>
      </c>
      <c r="B398" s="10" t="s">
        <v>1029</v>
      </c>
      <c r="C398" s="10" t="s">
        <v>12</v>
      </c>
      <c r="D398" s="10" t="s">
        <v>55</v>
      </c>
      <c r="E398" s="11" t="b">
        <v>1</v>
      </c>
      <c r="F398" s="12">
        <v>45002</v>
      </c>
      <c r="G398" s="12">
        <v>45002.999999988424</v>
      </c>
      <c r="H398" s="13">
        <f>IF(F398="","",(Summary!$B$5-F398)/365.25)</f>
        <v>3.3812799214769198</v>
      </c>
      <c r="I398" s="14">
        <v>1.9750000000000002E-3</v>
      </c>
      <c r="J398" s="15">
        <v>6.6300000000000005E-3</v>
      </c>
      <c r="K398" s="16">
        <v>24019398</v>
      </c>
      <c r="L398" s="16">
        <v>47303.817676999999</v>
      </c>
      <c r="M398" s="17">
        <v>1574</v>
      </c>
      <c r="N398" s="14">
        <v>1.9740000000000001E-3</v>
      </c>
      <c r="O398" s="14">
        <v>1.9810000000000001E-3</v>
      </c>
      <c r="P398" s="18">
        <f>IF(OR(N398="",O398="",N398=0,O398=0),"",(O398-N398)/((O398+N398)/2))</f>
        <v>3.5398230088495887E-3</v>
      </c>
      <c r="Q398" s="14">
        <v>1.9694000000000001E-3</v>
      </c>
      <c r="R398" s="14">
        <v>1.9980000000000002E-3</v>
      </c>
      <c r="S398" s="14">
        <v>1.9400000000000001E-3</v>
      </c>
      <c r="T398" s="12">
        <v>46236.01222099537</v>
      </c>
      <c r="U398" s="12">
        <v>46237.01222099537</v>
      </c>
      <c r="V398" s="14">
        <v>5</v>
      </c>
      <c r="W398" s="14">
        <v>1</v>
      </c>
      <c r="X398" s="14">
        <v>1</v>
      </c>
      <c r="Y398" s="14">
        <v>9.9999999999999995E-7</v>
      </c>
      <c r="Z398" s="10" t="str">
        <f>IF(AND(D398="TRADING",I398&lt;&gt;"",L398&lt;&gt;"",M398&lt;&gt;"",N398&lt;&gt;"",O398&lt;&gt;""),"Yes","No")</f>
        <v>Yes</v>
      </c>
      <c r="AA398" s="10" t="s">
        <v>56</v>
      </c>
    </row>
    <row r="399" spans="1:27">
      <c r="A399" s="10" t="s">
        <v>1273</v>
      </c>
      <c r="B399" s="10" t="s">
        <v>1274</v>
      </c>
      <c r="C399" s="10" t="s">
        <v>12</v>
      </c>
      <c r="D399" s="10" t="s">
        <v>84</v>
      </c>
      <c r="E399" s="11" t="b">
        <v>1</v>
      </c>
      <c r="F399" s="12">
        <v>45002</v>
      </c>
      <c r="G399" s="12">
        <v>45002.999999988424</v>
      </c>
      <c r="H399" s="13">
        <f>IF(F399="","",(Summary!$B$5-F399)/365.25)</f>
        <v>3.3812799214769198</v>
      </c>
      <c r="I399" s="14">
        <v>8.8999999999999999E-3</v>
      </c>
      <c r="J399" s="15">
        <v>-0.23275999999999999</v>
      </c>
      <c r="K399" s="16">
        <v>10771660</v>
      </c>
      <c r="L399" s="16">
        <v>107823.8976</v>
      </c>
      <c r="M399" s="17">
        <v>4001</v>
      </c>
      <c r="N399" s="14">
        <v>0</v>
      </c>
      <c r="O399" s="14">
        <v>0</v>
      </c>
      <c r="P399" s="18" t="str">
        <f>IF(OR(N399="",O399="",N399=0,O399=0),"",(O399-N399)/((O399+N399)/2))</f>
        <v/>
      </c>
      <c r="Q399" s="14">
        <v>1.000996E-2</v>
      </c>
      <c r="R399" s="14">
        <v>1.21E-2</v>
      </c>
      <c r="S399" s="14">
        <v>8.6E-3</v>
      </c>
      <c r="T399" s="12">
        <v>46209.261123090277</v>
      </c>
      <c r="U399" s="12">
        <v>46210.261123090277</v>
      </c>
      <c r="V399" s="14">
        <v>5</v>
      </c>
      <c r="W399" s="14">
        <v>1</v>
      </c>
      <c r="X399" s="14">
        <v>1</v>
      </c>
      <c r="Y399" s="14">
        <v>1E-4</v>
      </c>
      <c r="Z399" s="10" t="str">
        <f>IF(AND(D399="TRADING",I399&lt;&gt;"",L399&lt;&gt;"",M399&lt;&gt;"",N399&lt;&gt;"",O399&lt;&gt;""),"Yes","No")</f>
        <v>No</v>
      </c>
      <c r="AA399" s="10" t="s">
        <v>56</v>
      </c>
    </row>
    <row r="400" spans="1:27">
      <c r="A400" s="10" t="s">
        <v>662</v>
      </c>
      <c r="B400" s="10" t="s">
        <v>663</v>
      </c>
      <c r="C400" s="10" t="s">
        <v>12</v>
      </c>
      <c r="D400" s="10" t="s">
        <v>55</v>
      </c>
      <c r="E400" s="11" t="b">
        <v>1</v>
      </c>
      <c r="F400" s="12">
        <v>45007</v>
      </c>
      <c r="G400" s="12">
        <v>45007.999999988424</v>
      </c>
      <c r="H400" s="13">
        <f>IF(F400="","",(Summary!$B$5-F400)/365.25)</f>
        <v>3.3675906675412595</v>
      </c>
      <c r="I400" s="14">
        <v>2.7199999999999998E-2</v>
      </c>
      <c r="J400" s="15">
        <v>-2.1579999999999998E-2</v>
      </c>
      <c r="K400" s="16">
        <v>7127676</v>
      </c>
      <c r="L400" s="16">
        <v>197466.2579</v>
      </c>
      <c r="M400" s="17">
        <v>1809</v>
      </c>
      <c r="N400" s="14">
        <v>2.7199999999999998E-2</v>
      </c>
      <c r="O400" s="14">
        <v>2.7300000000000001E-2</v>
      </c>
      <c r="P400" s="18">
        <f>IF(OR(N400="",O400="",N400=0,O400=0),"",(O400-N400)/((O400+N400)/2))</f>
        <v>3.669724770642307E-3</v>
      </c>
      <c r="Q400" s="14">
        <v>2.7704159999999999E-2</v>
      </c>
      <c r="R400" s="14">
        <v>2.8400000000000002E-2</v>
      </c>
      <c r="S400" s="14">
        <v>2.7199999999999998E-2</v>
      </c>
      <c r="T400" s="12">
        <v>46236.012393969904</v>
      </c>
      <c r="U400" s="12">
        <v>46237.012393969904</v>
      </c>
      <c r="V400" s="14">
        <v>5</v>
      </c>
      <c r="W400" s="14">
        <v>1</v>
      </c>
      <c r="X400" s="14">
        <v>1</v>
      </c>
      <c r="Y400" s="14">
        <v>1E-4</v>
      </c>
      <c r="Z400" s="10" t="str">
        <f>IF(AND(D400="TRADING",I400&lt;&gt;"",L400&lt;&gt;"",M400&lt;&gt;"",N400&lt;&gt;"",O400&lt;&gt;""),"Yes","No")</f>
        <v>Yes</v>
      </c>
      <c r="AA400" s="10" t="s">
        <v>56</v>
      </c>
    </row>
    <row r="401" spans="1:27">
      <c r="A401" s="10" t="s">
        <v>171</v>
      </c>
      <c r="B401" s="10" t="s">
        <v>172</v>
      </c>
      <c r="C401" s="10" t="s">
        <v>12</v>
      </c>
      <c r="D401" s="10" t="s">
        <v>55</v>
      </c>
      <c r="E401" s="11" t="b">
        <v>1</v>
      </c>
      <c r="F401" s="12">
        <v>45008</v>
      </c>
      <c r="G401" s="12">
        <v>45008.999999988424</v>
      </c>
      <c r="H401" s="13">
        <f>IF(F401="","",(Summary!$B$5-F401)/365.25)</f>
        <v>3.3648528167541274</v>
      </c>
      <c r="I401" s="14">
        <v>8.1699999999999995E-2</v>
      </c>
      <c r="J401" s="15">
        <v>3.0259999999999999E-2</v>
      </c>
      <c r="K401" s="16">
        <v>52178323.399999999</v>
      </c>
      <c r="L401" s="16">
        <v>4227837.1364399996</v>
      </c>
      <c r="M401" s="17">
        <v>19898</v>
      </c>
      <c r="N401" s="14">
        <v>8.1600000000000006E-2</v>
      </c>
      <c r="O401" s="14">
        <v>8.1699999999999995E-2</v>
      </c>
      <c r="P401" s="18">
        <f>IF(OR(N401="",O401="",N401=0,O401=0),"",(O401-N401)/((O401+N401)/2))</f>
        <v>1.2247397428045191E-3</v>
      </c>
      <c r="Q401" s="14">
        <v>8.1026699999999993E-2</v>
      </c>
      <c r="R401" s="14">
        <v>8.2299999999999998E-2</v>
      </c>
      <c r="S401" s="14">
        <v>7.8899999999999998E-2</v>
      </c>
      <c r="T401" s="12">
        <v>46236.012490000001</v>
      </c>
      <c r="U401" s="12">
        <v>46237.012490000001</v>
      </c>
      <c r="V401" s="14">
        <v>5</v>
      </c>
      <c r="W401" s="14">
        <v>0.1</v>
      </c>
      <c r="X401" s="14">
        <v>0.1</v>
      </c>
      <c r="Y401" s="14">
        <v>1E-4</v>
      </c>
      <c r="Z401" s="10" t="str">
        <f>IF(AND(D401="TRADING",I401&lt;&gt;"",L401&lt;&gt;"",M401&lt;&gt;"",N401&lt;&gt;"",O401&lt;&gt;""),"Yes","No")</f>
        <v>Yes</v>
      </c>
      <c r="AA401" s="10" t="s">
        <v>56</v>
      </c>
    </row>
    <row r="402" spans="1:27">
      <c r="A402" s="10" t="s">
        <v>760</v>
      </c>
      <c r="B402" s="10" t="s">
        <v>761</v>
      </c>
      <c r="C402" s="10" t="s">
        <v>12</v>
      </c>
      <c r="D402" s="10" t="s">
        <v>84</v>
      </c>
      <c r="E402" s="11" t="b">
        <v>1</v>
      </c>
      <c r="F402" s="12">
        <v>45009</v>
      </c>
      <c r="G402" s="12">
        <v>45009.999999988424</v>
      </c>
      <c r="H402" s="13">
        <f>IF(F402="","",(Summary!$B$5-F402)/365.25)</f>
        <v>3.3621149659669949</v>
      </c>
      <c r="I402" s="14">
        <v>4.8309999999999999E-2</v>
      </c>
      <c r="J402" s="15">
        <v>-2.0279999999999999E-2</v>
      </c>
      <c r="K402" s="16">
        <v>12058322</v>
      </c>
      <c r="L402" s="16">
        <v>588914.38603000005</v>
      </c>
      <c r="M402" s="17">
        <v>4001</v>
      </c>
      <c r="N402" s="14">
        <v>0</v>
      </c>
      <c r="O402" s="14">
        <v>0</v>
      </c>
      <c r="P402" s="18" t="str">
        <f>IF(OR(N402="",O402="",N402=0,O402=0),"",(O402-N402)/((O402+N402)/2))</f>
        <v/>
      </c>
      <c r="Q402" s="14">
        <v>4.883883E-2</v>
      </c>
      <c r="R402" s="14">
        <v>0.05</v>
      </c>
      <c r="S402" s="14">
        <v>4.795E-2</v>
      </c>
      <c r="T402" s="12">
        <v>46209.261123090277</v>
      </c>
      <c r="U402" s="12">
        <v>46210.261123090277</v>
      </c>
      <c r="V402" s="14">
        <v>1</v>
      </c>
      <c r="W402" s="14">
        <v>1</v>
      </c>
      <c r="X402" s="14">
        <v>1</v>
      </c>
      <c r="Y402" s="14">
        <v>1.0000000000000001E-5</v>
      </c>
      <c r="Z402" s="10" t="str">
        <f>IF(AND(D402="TRADING",I402&lt;&gt;"",L402&lt;&gt;"",M402&lt;&gt;"",N402&lt;&gt;"",O402&lt;&gt;""),"Yes","No")</f>
        <v>No</v>
      </c>
      <c r="AA402" s="10" t="s">
        <v>56</v>
      </c>
    </row>
    <row r="403" spans="1:27">
      <c r="A403" s="10" t="s">
        <v>908</v>
      </c>
      <c r="B403" s="10" t="s">
        <v>909</v>
      </c>
      <c r="C403" s="10" t="s">
        <v>12</v>
      </c>
      <c r="D403" s="10" t="s">
        <v>84</v>
      </c>
      <c r="E403" s="11" t="b">
        <v>1</v>
      </c>
      <c r="F403" s="12">
        <v>45009</v>
      </c>
      <c r="G403" s="12">
        <v>45009.999999988424</v>
      </c>
      <c r="H403" s="13">
        <f>IF(F403="","",(Summary!$B$5-F403)/365.25)</f>
        <v>3.3621149659669949</v>
      </c>
      <c r="I403" s="14">
        <v>3.5799999999999998E-2</v>
      </c>
      <c r="J403" s="15">
        <v>-0.21490999999999999</v>
      </c>
      <c r="K403" s="16">
        <v>4783896</v>
      </c>
      <c r="L403" s="16">
        <v>202253.71489999999</v>
      </c>
      <c r="M403" s="17">
        <v>4001</v>
      </c>
      <c r="N403" s="14">
        <v>0</v>
      </c>
      <c r="O403" s="14">
        <v>0</v>
      </c>
      <c r="P403" s="18" t="str">
        <f>IF(OR(N403="",O403="",N403=0,O403=0),"",(O403-N403)/((O403+N403)/2))</f>
        <v/>
      </c>
      <c r="Q403" s="14">
        <v>4.2278030000000001E-2</v>
      </c>
      <c r="R403" s="14">
        <v>4.8899999999999999E-2</v>
      </c>
      <c r="S403" s="14">
        <v>3.56E-2</v>
      </c>
      <c r="T403" s="12">
        <v>46209.261123090277</v>
      </c>
      <c r="U403" s="12">
        <v>46210.261123090277</v>
      </c>
      <c r="V403" s="14">
        <v>1</v>
      </c>
      <c r="W403" s="14">
        <v>1</v>
      </c>
      <c r="X403" s="14">
        <v>1</v>
      </c>
      <c r="Y403" s="14">
        <v>1E-4</v>
      </c>
      <c r="Z403" s="10" t="str">
        <f>IF(AND(D403="TRADING",I403&lt;&gt;"",L403&lt;&gt;"",M403&lt;&gt;"",N403&lt;&gt;"",O403&lt;&gt;""),"Yes","No")</f>
        <v>No</v>
      </c>
      <c r="AA403" s="10" t="s">
        <v>56</v>
      </c>
    </row>
    <row r="404" spans="1:27">
      <c r="A404" s="10" t="s">
        <v>1048</v>
      </c>
      <c r="B404" s="10" t="s">
        <v>1049</v>
      </c>
      <c r="C404" s="10" t="s">
        <v>12</v>
      </c>
      <c r="D404" s="10" t="s">
        <v>84</v>
      </c>
      <c r="E404" s="11" t="b">
        <v>1</v>
      </c>
      <c r="F404" s="12">
        <v>45015</v>
      </c>
      <c r="G404" s="12">
        <v>45015.999999988424</v>
      </c>
      <c r="H404" s="13">
        <f>IF(F404="","",(Summary!$B$5-F404)/365.25)</f>
        <v>3.3456878612442025</v>
      </c>
      <c r="I404" s="14">
        <v>3.2799999999999999E-3</v>
      </c>
      <c r="J404" s="15">
        <v>-0.19409999999999999</v>
      </c>
      <c r="K404" s="16">
        <v>287027145</v>
      </c>
      <c r="L404" s="16">
        <v>1096493.50239</v>
      </c>
      <c r="M404" s="17">
        <v>20799</v>
      </c>
      <c r="N404" s="14">
        <v>0</v>
      </c>
      <c r="O404" s="14">
        <v>0</v>
      </c>
      <c r="P404" s="18" t="str">
        <f>IF(OR(N404="",O404="",N404=0,O404=0),"",(O404-N404)/((O404+N404)/2))</f>
        <v/>
      </c>
      <c r="Q404" s="14">
        <v>3.8201699999999999E-3</v>
      </c>
      <c r="R404" s="14">
        <v>4.4999999999999997E-3</v>
      </c>
      <c r="S404" s="14">
        <v>3.2100000000000002E-3</v>
      </c>
      <c r="T404" s="12">
        <v>46209.261123090277</v>
      </c>
      <c r="U404" s="12">
        <v>46210.261123090277</v>
      </c>
      <c r="V404" s="14">
        <v>5</v>
      </c>
      <c r="W404" s="14">
        <v>1</v>
      </c>
      <c r="X404" s="14">
        <v>1</v>
      </c>
      <c r="Y404" s="14">
        <v>1.0000000000000001E-5</v>
      </c>
      <c r="Z404" s="10" t="str">
        <f>IF(AND(D404="TRADING",I404&lt;&gt;"",L404&lt;&gt;"",M404&lt;&gt;"",N404&lt;&gt;"",O404&lt;&gt;""),"Yes","No")</f>
        <v>No</v>
      </c>
      <c r="AA404" s="10" t="s">
        <v>56</v>
      </c>
    </row>
    <row r="405" spans="1:27">
      <c r="A405" s="10" t="s">
        <v>463</v>
      </c>
      <c r="B405" s="10" t="s">
        <v>464</v>
      </c>
      <c r="C405" s="10" t="s">
        <v>12</v>
      </c>
      <c r="D405" s="10" t="s">
        <v>55</v>
      </c>
      <c r="E405" s="11" t="b">
        <v>1</v>
      </c>
      <c r="F405" s="12">
        <v>45044</v>
      </c>
      <c r="G405" s="12">
        <v>45044.999999988424</v>
      </c>
      <c r="H405" s="13">
        <f>IF(F405="","",(Summary!$B$5-F405)/365.25)</f>
        <v>3.2662901884173716</v>
      </c>
      <c r="I405" s="14">
        <v>3.2899999999999999E-2</v>
      </c>
      <c r="J405" s="15">
        <v>-5.1869999999999999E-2</v>
      </c>
      <c r="K405" s="16">
        <v>12711792</v>
      </c>
      <c r="L405" s="16">
        <v>424550.0943</v>
      </c>
      <c r="M405" s="17">
        <v>4948</v>
      </c>
      <c r="N405" s="14">
        <v>3.2800000000000003E-2</v>
      </c>
      <c r="O405" s="14">
        <v>3.2899999999999999E-2</v>
      </c>
      <c r="P405" s="18">
        <f>IF(OR(N405="",O405="",N405=0,O405=0),"",(O405-N405)/((O405+N405)/2))</f>
        <v>3.0441400304412757E-3</v>
      </c>
      <c r="Q405" s="14">
        <v>3.3398129999999998E-2</v>
      </c>
      <c r="R405" s="14">
        <v>3.4799999999999998E-2</v>
      </c>
      <c r="S405" s="14">
        <v>3.2599999999999997E-2</v>
      </c>
      <c r="T405" s="12">
        <v>46236.012435659723</v>
      </c>
      <c r="U405" s="12">
        <v>46237.012435659723</v>
      </c>
      <c r="V405" s="14">
        <v>5</v>
      </c>
      <c r="W405" s="14">
        <v>1</v>
      </c>
      <c r="X405" s="14">
        <v>1</v>
      </c>
      <c r="Y405" s="14">
        <v>1E-4</v>
      </c>
      <c r="Z405" s="10" t="str">
        <f>IF(AND(D405="TRADING",I405&lt;&gt;"",L405&lt;&gt;"",M405&lt;&gt;"",N405&lt;&gt;"",O405&lt;&gt;""),"Yes","No")</f>
        <v>Yes</v>
      </c>
      <c r="AA405" s="10" t="s">
        <v>56</v>
      </c>
    </row>
    <row r="406" spans="1:27">
      <c r="A406" s="10" t="s">
        <v>1339</v>
      </c>
      <c r="B406" s="10" t="s">
        <v>1340</v>
      </c>
      <c r="C406" s="10" t="s">
        <v>12</v>
      </c>
      <c r="D406" s="10" t="s">
        <v>55</v>
      </c>
      <c r="E406" s="11" t="b">
        <v>1</v>
      </c>
      <c r="F406" s="12">
        <v>45044</v>
      </c>
      <c r="G406" s="12">
        <v>45044.999999988424</v>
      </c>
      <c r="H406" s="13">
        <f>IF(F406="","",(Summary!$B$5-F406)/365.25)</f>
        <v>3.2662901884173716</v>
      </c>
      <c r="I406" s="14">
        <v>63420.55</v>
      </c>
      <c r="J406" s="15">
        <v>7.4700000000000001E-3</v>
      </c>
      <c r="K406" s="16">
        <v>13.70889</v>
      </c>
      <c r="L406" s="16">
        <v>868119.14343709999</v>
      </c>
      <c r="M406" s="17">
        <v>3569</v>
      </c>
      <c r="N406" s="14">
        <v>63434.12</v>
      </c>
      <c r="O406" s="14">
        <v>63451.88</v>
      </c>
      <c r="P406" s="18">
        <f>IF(OR(N406="",O406="",N406=0,O406=0),"",(O406-N406)/((O406+N406)/2))</f>
        <v>2.7993632079180935E-4</v>
      </c>
      <c r="Q406" s="14">
        <v>63325.268744380002</v>
      </c>
      <c r="R406" s="14">
        <v>63868.52</v>
      </c>
      <c r="S406" s="14">
        <v>62856.26</v>
      </c>
      <c r="T406" s="12">
        <v>46236.012490023146</v>
      </c>
      <c r="U406" s="12">
        <v>46237.012490023146</v>
      </c>
      <c r="V406" s="14">
        <v>5</v>
      </c>
      <c r="W406" s="14">
        <v>1.0000000000000001E-5</v>
      </c>
      <c r="X406" s="14">
        <v>1.0000000000000001E-5</v>
      </c>
      <c r="Y406" s="14">
        <v>0.01</v>
      </c>
      <c r="Z406" s="10" t="str">
        <f>IF(AND(D406="TRADING",I406&lt;&gt;"",L406&lt;&gt;"",M406&lt;&gt;"",N406&lt;&gt;"",O406&lt;&gt;""),"Yes","No")</f>
        <v>Yes</v>
      </c>
      <c r="AA406" s="10" t="s">
        <v>56</v>
      </c>
    </row>
    <row r="407" spans="1:27">
      <c r="A407" s="10" t="s">
        <v>1189</v>
      </c>
      <c r="B407" s="10" t="s">
        <v>1190</v>
      </c>
      <c r="C407" s="10" t="s">
        <v>12</v>
      </c>
      <c r="D407" s="10" t="s">
        <v>55</v>
      </c>
      <c r="E407" s="11" t="b">
        <v>1</v>
      </c>
      <c r="F407" s="12">
        <v>45049</v>
      </c>
      <c r="G407" s="12">
        <v>45049.999999988424</v>
      </c>
      <c r="H407" s="13">
        <f>IF(F407="","",(Summary!$B$5-F407)/365.25)</f>
        <v>3.2526009344817108</v>
      </c>
      <c r="I407" s="14">
        <v>0.68779999999999997</v>
      </c>
      <c r="J407" s="15">
        <v>1.4159999999999999E-2</v>
      </c>
      <c r="K407" s="16">
        <v>13559292.699999999</v>
      </c>
      <c r="L407" s="16">
        <v>9347551.4716899991</v>
      </c>
      <c r="M407" s="17">
        <v>69887</v>
      </c>
      <c r="N407" s="14">
        <v>0.68779999999999997</v>
      </c>
      <c r="O407" s="14">
        <v>0.68789999999999996</v>
      </c>
      <c r="P407" s="18">
        <f>IF(OR(N407="",O407="",N407=0,O407=0),"",(O407-N407)/((O407+N407)/2))</f>
        <v>1.4538053354654212E-4</v>
      </c>
      <c r="Q407" s="14">
        <v>0.68938341000000003</v>
      </c>
      <c r="R407" s="14">
        <v>0.69599999999999995</v>
      </c>
      <c r="S407" s="14">
        <v>0.67600000000000005</v>
      </c>
      <c r="T407" s="12">
        <v>46236.012489409724</v>
      </c>
      <c r="U407" s="12">
        <v>46237.012489409724</v>
      </c>
      <c r="V407" s="14">
        <v>5</v>
      </c>
      <c r="W407" s="14">
        <v>0.1</v>
      </c>
      <c r="X407" s="14">
        <v>0.1</v>
      </c>
      <c r="Y407" s="14">
        <v>1E-4</v>
      </c>
      <c r="Z407" s="10" t="str">
        <f>IF(AND(D407="TRADING",I407&lt;&gt;"",L407&lt;&gt;"",M407&lt;&gt;"",N407&lt;&gt;"",O407&lt;&gt;""),"Yes","No")</f>
        <v>Yes</v>
      </c>
      <c r="AA407" s="10" t="s">
        <v>56</v>
      </c>
    </row>
    <row r="408" spans="1:27">
      <c r="A408" s="10" t="s">
        <v>107</v>
      </c>
      <c r="B408" s="10" t="s">
        <v>108</v>
      </c>
      <c r="C408" s="10" t="s">
        <v>12</v>
      </c>
      <c r="D408" s="10" t="s">
        <v>84</v>
      </c>
      <c r="E408" s="11" t="b">
        <v>1</v>
      </c>
      <c r="F408" s="12">
        <v>45051</v>
      </c>
      <c r="G408" s="12">
        <v>45051.999999988424</v>
      </c>
      <c r="H408" s="13">
        <f>IF(F408="","",(Summary!$B$5-F408)/365.25)</f>
        <v>3.2471252329074467</v>
      </c>
      <c r="I408" s="14">
        <v>6.3500000000000001E-2</v>
      </c>
      <c r="J408" s="15">
        <v>-2.0059999999999998E-2</v>
      </c>
      <c r="K408" s="16">
        <v>1511928</v>
      </c>
      <c r="L408" s="16">
        <v>96533.160699999993</v>
      </c>
      <c r="M408" s="17">
        <v>4001</v>
      </c>
      <c r="N408" s="14">
        <v>0</v>
      </c>
      <c r="O408" s="14">
        <v>0</v>
      </c>
      <c r="P408" s="18" t="str">
        <f>IF(OR(N408="",O408="",N408=0,O408=0),"",(O408-N408)/((O408+N408)/2))</f>
        <v/>
      </c>
      <c r="Q408" s="14">
        <v>6.3847719999999997E-2</v>
      </c>
      <c r="R408" s="14">
        <v>6.6000000000000003E-2</v>
      </c>
      <c r="S408" s="14">
        <v>6.2100000000000002E-2</v>
      </c>
      <c r="T408" s="12">
        <v>46209.261123090277</v>
      </c>
      <c r="U408" s="12">
        <v>46210.261123090277</v>
      </c>
      <c r="V408" s="14">
        <v>5</v>
      </c>
      <c r="W408" s="14">
        <v>1</v>
      </c>
      <c r="X408" s="14">
        <v>1</v>
      </c>
      <c r="Y408" s="14">
        <v>1E-4</v>
      </c>
      <c r="Z408" s="10" t="str">
        <f>IF(AND(D408="TRADING",I408&lt;&gt;"",L408&lt;&gt;"",M408&lt;&gt;"",N408&lt;&gt;"",O408&lt;&gt;""),"Yes","No")</f>
        <v>No</v>
      </c>
      <c r="AA408" s="10" t="s">
        <v>56</v>
      </c>
    </row>
    <row r="409" spans="1:27">
      <c r="A409" s="10" t="s">
        <v>538</v>
      </c>
      <c r="B409" s="10" t="s">
        <v>539</v>
      </c>
      <c r="C409" s="10" t="s">
        <v>12</v>
      </c>
      <c r="D409" s="10" t="s">
        <v>55</v>
      </c>
      <c r="E409" s="11" t="b">
        <v>1</v>
      </c>
      <c r="F409" s="12">
        <v>45051</v>
      </c>
      <c r="G409" s="12">
        <v>45051.999999988424</v>
      </c>
      <c r="H409" s="13">
        <f>IF(F409="","",(Summary!$B$5-F409)/365.25)</f>
        <v>3.2471252329074467</v>
      </c>
      <c r="I409" s="14">
        <v>2.052E-5</v>
      </c>
      <c r="J409" s="15">
        <v>1.4339999999999999E-2</v>
      </c>
      <c r="K409" s="16">
        <v>27109255251</v>
      </c>
      <c r="L409" s="16">
        <v>556440.55113766005</v>
      </c>
      <c r="M409" s="17">
        <v>37641</v>
      </c>
      <c r="N409" s="14">
        <v>2.0509999999999998E-5</v>
      </c>
      <c r="O409" s="14">
        <v>2.052E-5</v>
      </c>
      <c r="P409" s="18">
        <f>IF(OR(N409="",O409="",N409=0,O409=0),"",(O409-N409)/((O409+N409)/2))</f>
        <v>4.874482086279112E-4</v>
      </c>
      <c r="Q409" s="14">
        <v>2.0530000000000002E-5</v>
      </c>
      <c r="R409" s="14">
        <v>2.0740000000000001E-5</v>
      </c>
      <c r="S409" s="14">
        <v>2.0149999999999999E-5</v>
      </c>
      <c r="T409" s="12">
        <v>46236.01227097222</v>
      </c>
      <c r="U409" s="12">
        <v>46237.01227097222</v>
      </c>
      <c r="V409" s="14">
        <v>1</v>
      </c>
      <c r="W409" s="14">
        <v>1</v>
      </c>
      <c r="X409" s="14">
        <v>1</v>
      </c>
      <c r="Y409" s="14">
        <v>1E-8</v>
      </c>
      <c r="Z409" s="10" t="str">
        <f>IF(AND(D409="TRADING",I409&lt;&gt;"",L409&lt;&gt;"",M409&lt;&gt;"",N409&lt;&gt;"",O409&lt;&gt;""),"Yes","No")</f>
        <v>Yes</v>
      </c>
      <c r="AA409" s="10" t="s">
        <v>56</v>
      </c>
    </row>
    <row r="410" spans="1:27">
      <c r="A410" s="10" t="s">
        <v>966</v>
      </c>
      <c r="B410" s="10" t="s">
        <v>967</v>
      </c>
      <c r="C410" s="10" t="s">
        <v>12</v>
      </c>
      <c r="D410" s="10" t="s">
        <v>55</v>
      </c>
      <c r="E410" s="11" t="b">
        <v>1</v>
      </c>
      <c r="F410" s="12">
        <v>45051</v>
      </c>
      <c r="G410" s="12">
        <v>45051.999999988424</v>
      </c>
      <c r="H410" s="13">
        <f>IF(F410="","",(Summary!$B$5-F410)/365.25)</f>
        <v>3.2471252329074467</v>
      </c>
      <c r="I410" s="14">
        <v>2.9000000000000002E-6</v>
      </c>
      <c r="J410" s="15">
        <v>3.943E-2</v>
      </c>
      <c r="K410" s="16">
        <v>5552002960187</v>
      </c>
      <c r="L410" s="16">
        <v>16074369.86358642</v>
      </c>
      <c r="M410" s="17">
        <v>53100</v>
      </c>
      <c r="N410" s="14">
        <v>2.8899999999999999E-6</v>
      </c>
      <c r="O410" s="14">
        <v>2.9000000000000002E-6</v>
      </c>
      <c r="P410" s="18">
        <f>IF(OR(N410="",O410="",N410=0,O410=0),"",(O410-N410)/((O410+N410)/2))</f>
        <v>3.4542314335061579E-3</v>
      </c>
      <c r="Q410" s="14">
        <v>2.9000000000000002E-6</v>
      </c>
      <c r="R410" s="14">
        <v>2.9699999999999999E-6</v>
      </c>
      <c r="S410" s="14">
        <v>2.7800000000000001E-6</v>
      </c>
      <c r="T410" s="12">
        <v>46236.012488587963</v>
      </c>
      <c r="U410" s="12">
        <v>46237.012488587963</v>
      </c>
      <c r="V410" s="14">
        <v>1</v>
      </c>
      <c r="W410" s="14">
        <v>1</v>
      </c>
      <c r="X410" s="14">
        <v>1</v>
      </c>
      <c r="Y410" s="14">
        <v>1E-8</v>
      </c>
      <c r="Z410" s="10" t="str">
        <f>IF(AND(D410="TRADING",I410&lt;&gt;"",L410&lt;&gt;"",M410&lt;&gt;"",N410&lt;&gt;"",O410&lt;&gt;""),"Yes","No")</f>
        <v>Yes</v>
      </c>
      <c r="AA410" s="10" t="s">
        <v>56</v>
      </c>
    </row>
    <row r="411" spans="1:27">
      <c r="A411" s="10" t="s">
        <v>191</v>
      </c>
      <c r="B411" s="10" t="s">
        <v>192</v>
      </c>
      <c r="C411" s="10" t="s">
        <v>12</v>
      </c>
      <c r="D411" s="10" t="s">
        <v>84</v>
      </c>
      <c r="E411" s="11" t="b">
        <v>1</v>
      </c>
      <c r="F411" s="12">
        <v>45065</v>
      </c>
      <c r="G411" s="12">
        <v>45065.999999988424</v>
      </c>
      <c r="H411" s="13">
        <f>IF(F411="","",(Summary!$B$5-F411)/365.25)</f>
        <v>3.2087953218875973</v>
      </c>
      <c r="I411" s="14">
        <v>2.6100000000000002E-2</v>
      </c>
      <c r="J411" s="15">
        <v>-5.7759999999999999E-2</v>
      </c>
      <c r="K411" s="16">
        <v>3856728</v>
      </c>
      <c r="L411" s="16">
        <v>105362.9768</v>
      </c>
      <c r="M411" s="17">
        <v>4001</v>
      </c>
      <c r="N411" s="14">
        <v>0</v>
      </c>
      <c r="O411" s="14">
        <v>0</v>
      </c>
      <c r="P411" s="18" t="str">
        <f>IF(OR(N411="",O411="",N411=0,O411=0),"",(O411-N411)/((O411+N411)/2))</f>
        <v/>
      </c>
      <c r="Q411" s="14">
        <v>2.731927E-2</v>
      </c>
      <c r="R411" s="14">
        <v>2.8400000000000002E-2</v>
      </c>
      <c r="S411" s="14">
        <v>2.58E-2</v>
      </c>
      <c r="T411" s="12">
        <v>46209.261123090277</v>
      </c>
      <c r="U411" s="12">
        <v>46210.261123090277</v>
      </c>
      <c r="V411" s="14">
        <v>5</v>
      </c>
      <c r="W411" s="14">
        <v>1</v>
      </c>
      <c r="X411" s="14">
        <v>1</v>
      </c>
      <c r="Y411" s="14">
        <v>1E-4</v>
      </c>
      <c r="Z411" s="10" t="str">
        <f>IF(AND(D411="TRADING",I411&lt;&gt;"",L411&lt;&gt;"",M411&lt;&gt;"",N411&lt;&gt;"",O411&lt;&gt;""),"Yes","No")</f>
        <v>No</v>
      </c>
      <c r="AA411" s="10" t="s">
        <v>56</v>
      </c>
    </row>
    <row r="412" spans="1:27">
      <c r="A412" s="10" t="s">
        <v>1138</v>
      </c>
      <c r="B412" s="10" t="s">
        <v>1139</v>
      </c>
      <c r="C412" s="10" t="s">
        <v>12</v>
      </c>
      <c r="D412" s="10" t="s">
        <v>84</v>
      </c>
      <c r="E412" s="11" t="b">
        <v>1</v>
      </c>
      <c r="F412" s="12">
        <v>45065</v>
      </c>
      <c r="G412" s="12">
        <v>45065.999999988424</v>
      </c>
      <c r="H412" s="13">
        <f>IF(F412="","",(Summary!$B$5-F412)/365.25)</f>
        <v>3.2087953218875973</v>
      </c>
      <c r="I412" s="14">
        <v>2.7199999999999998E-2</v>
      </c>
      <c r="J412" s="15">
        <v>-3.134E-2</v>
      </c>
      <c r="K412" s="16">
        <v>12387737</v>
      </c>
      <c r="L412" s="16">
        <v>336732.21259000001</v>
      </c>
      <c r="M412" s="17">
        <v>4001</v>
      </c>
      <c r="N412" s="14">
        <v>0</v>
      </c>
      <c r="O412" s="14">
        <v>0</v>
      </c>
      <c r="P412" s="18" t="str">
        <f>IF(OR(N412="",O412="",N412=0,O412=0),"",(O412-N412)/((O412+N412)/2))</f>
        <v/>
      </c>
      <c r="Q412" s="14">
        <v>2.7182709999999999E-2</v>
      </c>
      <c r="R412" s="14">
        <v>0.03</v>
      </c>
      <c r="S412" s="14">
        <v>2.5219999999999999E-2</v>
      </c>
      <c r="T412" s="12">
        <v>46209.261123090277</v>
      </c>
      <c r="U412" s="12">
        <v>46210.261123090277</v>
      </c>
      <c r="V412" s="14">
        <v>5</v>
      </c>
      <c r="W412" s="14">
        <v>1</v>
      </c>
      <c r="X412" s="14">
        <v>1</v>
      </c>
      <c r="Y412" s="14">
        <v>1.0000000000000001E-5</v>
      </c>
      <c r="Z412" s="10" t="str">
        <f>IF(AND(D412="TRADING",I412&lt;&gt;"",L412&lt;&gt;"",M412&lt;&gt;"",N412&lt;&gt;"",O412&lt;&gt;""),"Yes","No")</f>
        <v>No</v>
      </c>
      <c r="AA412" s="10" t="s">
        <v>56</v>
      </c>
    </row>
    <row r="413" spans="1:27">
      <c r="A413" s="10" t="s">
        <v>375</v>
      </c>
      <c r="B413" s="10" t="s">
        <v>376</v>
      </c>
      <c r="C413" s="10" t="s">
        <v>12</v>
      </c>
      <c r="D413" s="10" t="s">
        <v>84</v>
      </c>
      <c r="E413" s="11" t="b">
        <v>1</v>
      </c>
      <c r="F413" s="12">
        <v>45079</v>
      </c>
      <c r="G413" s="12">
        <v>45079.999999988424</v>
      </c>
      <c r="H413" s="13">
        <f>IF(F413="","",(Summary!$B$5-F413)/365.25)</f>
        <v>3.1704654108677479</v>
      </c>
      <c r="I413" s="14">
        <v>2.76E-2</v>
      </c>
      <c r="J413" s="15">
        <v>-0.16616</v>
      </c>
      <c r="K413" s="16">
        <v>10075449.9</v>
      </c>
      <c r="L413" s="16">
        <v>320262.66019000002</v>
      </c>
      <c r="M413" s="17">
        <v>4001</v>
      </c>
      <c r="N413" s="14">
        <v>0</v>
      </c>
      <c r="O413" s="14">
        <v>0</v>
      </c>
      <c r="P413" s="18" t="str">
        <f>IF(OR(N413="",O413="",N413=0,O413=0),"",(O413-N413)/((O413+N413)/2))</f>
        <v/>
      </c>
      <c r="Q413" s="14">
        <v>3.1786439999999999E-2</v>
      </c>
      <c r="R413" s="14">
        <v>3.9E-2</v>
      </c>
      <c r="S413" s="14">
        <v>2.75E-2</v>
      </c>
      <c r="T413" s="12">
        <v>46209.261123090277</v>
      </c>
      <c r="U413" s="12">
        <v>46210.261123090277</v>
      </c>
      <c r="V413" s="14">
        <v>5</v>
      </c>
      <c r="W413" s="14">
        <v>0.1</v>
      </c>
      <c r="X413" s="14">
        <v>0.1</v>
      </c>
      <c r="Y413" s="14">
        <v>1E-4</v>
      </c>
      <c r="Z413" s="10" t="str">
        <f>IF(AND(D413="TRADING",I413&lt;&gt;"",L413&lt;&gt;"",M413&lt;&gt;"",N413&lt;&gt;"",O413&lt;&gt;""),"Yes","No")</f>
        <v>No</v>
      </c>
      <c r="AA413" s="10" t="s">
        <v>56</v>
      </c>
    </row>
    <row r="414" spans="1:27">
      <c r="A414" s="10" t="s">
        <v>792</v>
      </c>
      <c r="B414" s="10" t="s">
        <v>793</v>
      </c>
      <c r="C414" s="10" t="s">
        <v>12</v>
      </c>
      <c r="D414" s="10" t="s">
        <v>55</v>
      </c>
      <c r="E414" s="11" t="b">
        <v>1</v>
      </c>
      <c r="F414" s="12">
        <v>45105</v>
      </c>
      <c r="G414" s="12">
        <v>45105.999999988424</v>
      </c>
      <c r="H414" s="13">
        <f>IF(F414="","",(Summary!$B$5-F414)/365.25)</f>
        <v>3.0992812904023133</v>
      </c>
      <c r="I414" s="14">
        <v>7.9000000000000008E-3</v>
      </c>
      <c r="J414" s="15">
        <v>-3.7799999999999999E-3</v>
      </c>
      <c r="K414" s="16">
        <v>10129566</v>
      </c>
      <c r="L414" s="16">
        <v>80893.476490000001</v>
      </c>
      <c r="M414" s="17">
        <v>1283</v>
      </c>
      <c r="N414" s="14">
        <v>7.9000000000000008E-3</v>
      </c>
      <c r="O414" s="14">
        <v>7.9100000000000004E-3</v>
      </c>
      <c r="P414" s="18">
        <f>IF(OR(N414="",O414="",N414=0,O414=0),"",(O414-N414)/((O414+N414)/2))</f>
        <v>1.2650221378873614E-3</v>
      </c>
      <c r="Q414" s="14">
        <v>7.9858800000000008E-3</v>
      </c>
      <c r="R414" s="14">
        <v>8.1099999999999992E-3</v>
      </c>
      <c r="S414" s="14">
        <v>7.9000000000000008E-3</v>
      </c>
      <c r="T414" s="12">
        <v>46236.012219062497</v>
      </c>
      <c r="U414" s="12">
        <v>46237.012219062497</v>
      </c>
      <c r="V414" s="14">
        <v>5</v>
      </c>
      <c r="W414" s="14">
        <v>1</v>
      </c>
      <c r="X414" s="14">
        <v>1</v>
      </c>
      <c r="Y414" s="14">
        <v>1.0000000000000001E-5</v>
      </c>
      <c r="Z414" s="10" t="str">
        <f>IF(AND(D414="TRADING",I414&lt;&gt;"",L414&lt;&gt;"",M414&lt;&gt;"",N414&lt;&gt;"",O414&lt;&gt;""),"Yes","No")</f>
        <v>Yes</v>
      </c>
      <c r="AA414" s="10" t="s">
        <v>56</v>
      </c>
    </row>
    <row r="415" spans="1:27">
      <c r="A415" s="10" t="s">
        <v>960</v>
      </c>
      <c r="B415" s="10" t="s">
        <v>961</v>
      </c>
      <c r="C415" s="10" t="s">
        <v>12</v>
      </c>
      <c r="D415" s="10" t="s">
        <v>55</v>
      </c>
      <c r="E415" s="11" t="b">
        <v>1</v>
      </c>
      <c r="F415" s="12">
        <v>45110</v>
      </c>
      <c r="G415" s="12">
        <v>45110.999999988424</v>
      </c>
      <c r="H415" s="13">
        <f>IF(F415="","",(Summary!$B$5-F415)/365.25)</f>
        <v>3.0855920364666529</v>
      </c>
      <c r="I415" s="14">
        <v>1.383</v>
      </c>
      <c r="J415" s="15">
        <v>-5.7499999999999999E-3</v>
      </c>
      <c r="K415" s="16">
        <v>698995.8</v>
      </c>
      <c r="L415" s="16">
        <v>968863.96149999998</v>
      </c>
      <c r="M415" s="17">
        <v>10165</v>
      </c>
      <c r="N415" s="14">
        <v>1.381</v>
      </c>
      <c r="O415" s="14">
        <v>1.3819999999999999</v>
      </c>
      <c r="P415" s="18">
        <f>IF(OR(N415="",O415="",N415=0,O415=0),"",(O415-N415)/((O415+N415)/2))</f>
        <v>7.2385088671725654E-4</v>
      </c>
      <c r="Q415" s="14">
        <v>1.3860798000000001</v>
      </c>
      <c r="R415" s="14">
        <v>1.415</v>
      </c>
      <c r="S415" s="14">
        <v>1.3640000000000001</v>
      </c>
      <c r="T415" s="12">
        <v>46236.012478726851</v>
      </c>
      <c r="U415" s="12">
        <v>46237.012478726851</v>
      </c>
      <c r="V415" s="14">
        <v>5</v>
      </c>
      <c r="W415" s="14">
        <v>0.1</v>
      </c>
      <c r="X415" s="14">
        <v>0.1</v>
      </c>
      <c r="Y415" s="14">
        <v>1E-3</v>
      </c>
      <c r="Z415" s="10" t="str">
        <f>IF(AND(D415="TRADING",I415&lt;&gt;"",L415&lt;&gt;"",M415&lt;&gt;"",N415&lt;&gt;"",O415&lt;&gt;""),"Yes","No")</f>
        <v>Yes</v>
      </c>
      <c r="AA415" s="10" t="s">
        <v>56</v>
      </c>
    </row>
    <row r="416" spans="1:27">
      <c r="A416" s="10" t="s">
        <v>175</v>
      </c>
      <c r="B416" s="10" t="s">
        <v>176</v>
      </c>
      <c r="C416" s="10" t="s">
        <v>12</v>
      </c>
      <c r="D416" s="10" t="s">
        <v>55</v>
      </c>
      <c r="E416" s="11" t="b">
        <v>1</v>
      </c>
      <c r="F416" s="12">
        <v>45125</v>
      </c>
      <c r="G416" s="12">
        <v>45125.999999988424</v>
      </c>
      <c r="H416" s="13">
        <f>IF(F416="","",(Summary!$B$5-F416)/365.25)</f>
        <v>3.0445242746596715</v>
      </c>
      <c r="I416" s="14">
        <v>9.3899999999999997E-2</v>
      </c>
      <c r="J416" s="15">
        <v>9.6799999999999994E-3</v>
      </c>
      <c r="K416" s="16">
        <v>2623316.2000000002</v>
      </c>
      <c r="L416" s="16">
        <v>247651.11903</v>
      </c>
      <c r="M416" s="17">
        <v>4051</v>
      </c>
      <c r="N416" s="14">
        <v>9.3799999999999994E-2</v>
      </c>
      <c r="O416" s="14">
        <v>9.3899999999999997E-2</v>
      </c>
      <c r="P416" s="18">
        <f>IF(OR(N416="",O416="",N416=0,O416=0),"",(O416-N416)/((O416+N416)/2))</f>
        <v>1.0655301012253903E-3</v>
      </c>
      <c r="Q416" s="14">
        <v>9.4403840000000003E-2</v>
      </c>
      <c r="R416" s="14">
        <v>9.5699999999999993E-2</v>
      </c>
      <c r="S416" s="14">
        <v>9.2899999999999996E-2</v>
      </c>
      <c r="T416" s="12">
        <v>46236.012421377316</v>
      </c>
      <c r="U416" s="12">
        <v>46237.012421377316</v>
      </c>
      <c r="V416" s="14">
        <v>5</v>
      </c>
      <c r="W416" s="14">
        <v>0.1</v>
      </c>
      <c r="X416" s="14">
        <v>0.1</v>
      </c>
      <c r="Y416" s="14">
        <v>1E-4</v>
      </c>
      <c r="Z416" s="10" t="str">
        <f>IF(AND(D416="TRADING",I416&lt;&gt;"",L416&lt;&gt;"",M416&lt;&gt;"",N416&lt;&gt;"",O416&lt;&gt;""),"Yes","No")</f>
        <v>Yes</v>
      </c>
      <c r="AA416" s="10" t="s">
        <v>56</v>
      </c>
    </row>
    <row r="417" spans="1:27">
      <c r="A417" s="10" t="s">
        <v>1337</v>
      </c>
      <c r="B417" s="10" t="s">
        <v>1338</v>
      </c>
      <c r="C417" s="10" t="s">
        <v>12</v>
      </c>
      <c r="D417" s="10" t="s">
        <v>55</v>
      </c>
      <c r="E417" s="11" t="b">
        <v>1</v>
      </c>
      <c r="F417" s="12">
        <v>45126</v>
      </c>
      <c r="G417" s="12">
        <v>45126.999999988424</v>
      </c>
      <c r="H417" s="13">
        <f>IF(F417="","",(Summary!$B$5-F417)/365.25)</f>
        <v>3.0417864238725394</v>
      </c>
      <c r="I417" s="14">
        <v>2071.6999999999998</v>
      </c>
      <c r="J417" s="15">
        <v>1.7180000000000001E-2</v>
      </c>
      <c r="K417" s="16">
        <v>98.428399999999996</v>
      </c>
      <c r="L417" s="16">
        <v>203844.84541899999</v>
      </c>
      <c r="M417" s="17">
        <v>4614</v>
      </c>
      <c r="N417" s="14">
        <v>2071.6999999999998</v>
      </c>
      <c r="O417" s="14">
        <v>2072.73</v>
      </c>
      <c r="P417" s="18">
        <f>IF(OR(N417="",O417="",N417=0,O417=0),"",(O417-N417)/((O417+N417)/2))</f>
        <v>4.9705267069305068E-4</v>
      </c>
      <c r="Q417" s="14">
        <v>2070.99623096</v>
      </c>
      <c r="R417" s="14">
        <v>2093.2800000000002</v>
      </c>
      <c r="S417" s="14">
        <v>2032.19</v>
      </c>
      <c r="T417" s="12">
        <v>46236.012462673614</v>
      </c>
      <c r="U417" s="12">
        <v>46237.012462673614</v>
      </c>
      <c r="V417" s="14">
        <v>5</v>
      </c>
      <c r="W417" s="14">
        <v>1E-4</v>
      </c>
      <c r="X417" s="14">
        <v>1E-4</v>
      </c>
      <c r="Y417" s="14">
        <v>0.01</v>
      </c>
      <c r="Z417" s="10" t="str">
        <f>IF(AND(D417="TRADING",I417&lt;&gt;"",L417&lt;&gt;"",M417&lt;&gt;"",N417&lt;&gt;"",O417&lt;&gt;""),"Yes","No")</f>
        <v>Yes</v>
      </c>
      <c r="AA417" s="10" t="s">
        <v>56</v>
      </c>
    </row>
    <row r="418" spans="1:27">
      <c r="A418" s="10" t="s">
        <v>1351</v>
      </c>
      <c r="B418" s="10" t="s">
        <v>1352</v>
      </c>
      <c r="C418" s="10" t="s">
        <v>12</v>
      </c>
      <c r="D418" s="10" t="s">
        <v>55</v>
      </c>
      <c r="E418" s="11" t="b">
        <v>1</v>
      </c>
      <c r="F418" s="12">
        <v>45131</v>
      </c>
      <c r="G418" s="12">
        <v>45131.999999988424</v>
      </c>
      <c r="H418" s="13">
        <f>IF(F418="","",(Summary!$B$5-F418)/365.25)</f>
        <v>3.0280971699368786</v>
      </c>
      <c r="I418" s="14">
        <v>0.31640000000000001</v>
      </c>
      <c r="J418" s="15">
        <v>4.9419999999999999E-2</v>
      </c>
      <c r="K418" s="16">
        <v>31749447.800000001</v>
      </c>
      <c r="L418" s="16">
        <v>10001735.313309999</v>
      </c>
      <c r="M418" s="17">
        <v>90092</v>
      </c>
      <c r="N418" s="14">
        <v>0.31630000000000003</v>
      </c>
      <c r="O418" s="14">
        <v>0.31640000000000001</v>
      </c>
      <c r="P418" s="18">
        <f>IF(OR(N418="",O418="",N418=0,O418=0),"",(O418-N418)/((O418+N418)/2))</f>
        <v>3.1610557926343915E-4</v>
      </c>
      <c r="Q418" s="14">
        <v>0.31502076000000001</v>
      </c>
      <c r="R418" s="14">
        <v>0.32419999999999999</v>
      </c>
      <c r="S418" s="14">
        <v>0.30020000000000002</v>
      </c>
      <c r="T418" s="12">
        <v>46236.012482893515</v>
      </c>
      <c r="U418" s="12">
        <v>46237.012482893515</v>
      </c>
      <c r="V418" s="14">
        <v>5</v>
      </c>
      <c r="W418" s="14">
        <v>0.1</v>
      </c>
      <c r="X418" s="14">
        <v>0.1</v>
      </c>
      <c r="Y418" s="14">
        <v>1E-4</v>
      </c>
      <c r="Z418" s="10" t="str">
        <f>IF(AND(D418="TRADING",I418&lt;&gt;"",L418&lt;&gt;"",M418&lt;&gt;"",N418&lt;&gt;"",O418&lt;&gt;""),"Yes","No")</f>
        <v>Yes</v>
      </c>
      <c r="AA418" s="10" t="s">
        <v>56</v>
      </c>
    </row>
    <row r="419" spans="1:27">
      <c r="A419" s="10" t="s">
        <v>518</v>
      </c>
      <c r="B419" s="10" t="s">
        <v>519</v>
      </c>
      <c r="C419" s="10" t="s">
        <v>12</v>
      </c>
      <c r="D419" s="10" t="s">
        <v>55</v>
      </c>
      <c r="E419" s="11" t="b">
        <v>1</v>
      </c>
      <c r="F419" s="12">
        <v>45133</v>
      </c>
      <c r="G419" s="12">
        <v>45133.999999988424</v>
      </c>
      <c r="H419" s="13">
        <f>IF(F419="","",(Summary!$B$5-F419)/365.25)</f>
        <v>3.0226214683626145</v>
      </c>
      <c r="I419" s="14">
        <v>0.998</v>
      </c>
      <c r="J419" s="15">
        <v>0</v>
      </c>
      <c r="K419" s="16">
        <v>15881725</v>
      </c>
      <c r="L419" s="16">
        <v>15852286.7234</v>
      </c>
      <c r="M419" s="17">
        <v>14304</v>
      </c>
      <c r="N419" s="14">
        <v>0.99790000000000001</v>
      </c>
      <c r="O419" s="14">
        <v>0.998</v>
      </c>
      <c r="P419" s="18">
        <f>IF(OR(N419="",O419="",N419=0,O419=0),"",(O419-N419)/((O419+N419)/2))</f>
        <v>1.0020542111327119E-4</v>
      </c>
      <c r="Q419" s="14">
        <v>0.99814641000000004</v>
      </c>
      <c r="R419" s="14">
        <v>0.99839999999999995</v>
      </c>
      <c r="S419" s="14">
        <v>0.99790000000000001</v>
      </c>
      <c r="T419" s="12">
        <v>46236.012316817127</v>
      </c>
      <c r="U419" s="12">
        <v>46237.012316817127</v>
      </c>
      <c r="V419" s="14">
        <v>5</v>
      </c>
      <c r="W419" s="14">
        <v>1</v>
      </c>
      <c r="X419" s="14">
        <v>1</v>
      </c>
      <c r="Y419" s="14">
        <v>1E-4</v>
      </c>
      <c r="Z419" s="10" t="str">
        <f>IF(AND(D419="TRADING",I419&lt;&gt;"",L419&lt;&gt;"",M419&lt;&gt;"",N419&lt;&gt;"",O419&lt;&gt;""),"Yes","No")</f>
        <v>Yes</v>
      </c>
      <c r="AA419" s="10" t="s">
        <v>56</v>
      </c>
    </row>
    <row r="420" spans="1:27">
      <c r="A420" s="10" t="s">
        <v>409</v>
      </c>
      <c r="B420" s="10" t="s">
        <v>410</v>
      </c>
      <c r="C420" s="10" t="s">
        <v>12</v>
      </c>
      <c r="D420" s="10" t="s">
        <v>55</v>
      </c>
      <c r="E420" s="11" t="b">
        <v>1</v>
      </c>
      <c r="F420" s="12">
        <v>45153</v>
      </c>
      <c r="G420" s="12">
        <v>45153.999999988424</v>
      </c>
      <c r="H420" s="13">
        <f>IF(F420="","",(Summary!$B$5-F420)/365.25)</f>
        <v>2.9678644526199727</v>
      </c>
      <c r="I420" s="14">
        <v>0.30199999999999999</v>
      </c>
      <c r="J420" s="15">
        <v>3.32E-3</v>
      </c>
      <c r="K420" s="16">
        <v>323891.90999999997</v>
      </c>
      <c r="L420" s="16">
        <v>98112.303639999998</v>
      </c>
      <c r="M420" s="17">
        <v>1040</v>
      </c>
      <c r="N420" s="14">
        <v>0.30199999999999999</v>
      </c>
      <c r="O420" s="14">
        <v>0.30299999999999999</v>
      </c>
      <c r="P420" s="18">
        <f>IF(OR(N420="",O420="",N420=0,O420=0),"",(O420-N420)/((O420+N420)/2))</f>
        <v>3.3057851239669451E-3</v>
      </c>
      <c r="Q420" s="14">
        <v>0.30291680999999998</v>
      </c>
      <c r="R420" s="14">
        <v>0.30599999999999999</v>
      </c>
      <c r="S420" s="14">
        <v>0.3</v>
      </c>
      <c r="T420" s="12">
        <v>46236.012375763887</v>
      </c>
      <c r="U420" s="12">
        <v>46237.012375763887</v>
      </c>
      <c r="V420" s="14">
        <v>5</v>
      </c>
      <c r="W420" s="14">
        <v>0.01</v>
      </c>
      <c r="X420" s="14">
        <v>0.01</v>
      </c>
      <c r="Y420" s="14">
        <v>1E-3</v>
      </c>
      <c r="Z420" s="10" t="str">
        <f>IF(AND(D420="TRADING",I420&lt;&gt;"",L420&lt;&gt;"",M420&lt;&gt;"",N420&lt;&gt;"",O420&lt;&gt;""),"Yes","No")</f>
        <v>Yes</v>
      </c>
      <c r="AA420" s="10" t="s">
        <v>56</v>
      </c>
    </row>
    <row r="421" spans="1:27">
      <c r="A421" s="10" t="s">
        <v>1112</v>
      </c>
      <c r="B421" s="10" t="s">
        <v>1113</v>
      </c>
      <c r="C421" s="10" t="s">
        <v>12</v>
      </c>
      <c r="D421" s="10" t="s">
        <v>55</v>
      </c>
      <c r="E421" s="11" t="b">
        <v>1</v>
      </c>
      <c r="F421" s="12">
        <v>45153</v>
      </c>
      <c r="G421" s="12">
        <v>45153.999999988424</v>
      </c>
      <c r="H421" s="13">
        <f>IF(F421="","",(Summary!$B$5-F421)/365.25)</f>
        <v>2.9678644526199727</v>
      </c>
      <c r="I421" s="14">
        <v>4.1270000000000001E-2</v>
      </c>
      <c r="J421" s="15">
        <v>3.8900000000000002E-3</v>
      </c>
      <c r="K421" s="16">
        <v>19864515.699999999</v>
      </c>
      <c r="L421" s="16">
        <v>824292.36620699998</v>
      </c>
      <c r="M421" s="17">
        <v>10039</v>
      </c>
      <c r="N421" s="14">
        <v>4.1270000000000001E-2</v>
      </c>
      <c r="O421" s="14">
        <v>4.1279999999999997E-2</v>
      </c>
      <c r="P421" s="18">
        <f>IF(OR(N421="",O421="",N421=0,O421=0),"",(O421-N421)/((O421+N421)/2))</f>
        <v>2.4227740763164442E-4</v>
      </c>
      <c r="Q421" s="14">
        <v>4.149572E-2</v>
      </c>
      <c r="R421" s="14">
        <v>4.1849999999999998E-2</v>
      </c>
      <c r="S421" s="14">
        <v>4.1079999999999998E-2</v>
      </c>
      <c r="T421" s="12">
        <v>46236.012478495373</v>
      </c>
      <c r="U421" s="12">
        <v>46237.012478495373</v>
      </c>
      <c r="V421" s="14">
        <v>5</v>
      </c>
      <c r="W421" s="14">
        <v>0.1</v>
      </c>
      <c r="X421" s="14">
        <v>0.1</v>
      </c>
      <c r="Y421" s="14">
        <v>1.0000000000000001E-5</v>
      </c>
      <c r="Z421" s="10" t="str">
        <f>IF(AND(D421="TRADING",I421&lt;&gt;"",L421&lt;&gt;"",M421&lt;&gt;"",N421&lt;&gt;"",O421&lt;&gt;""),"Yes","No")</f>
        <v>Yes</v>
      </c>
      <c r="AA421" s="10" t="s">
        <v>56</v>
      </c>
    </row>
    <row r="422" spans="1:27">
      <c r="A422" s="10" t="s">
        <v>177</v>
      </c>
      <c r="B422" s="10" t="s">
        <v>178</v>
      </c>
      <c r="C422" s="10" t="s">
        <v>12</v>
      </c>
      <c r="D422" s="10" t="s">
        <v>55</v>
      </c>
      <c r="E422" s="11" t="b">
        <v>1</v>
      </c>
      <c r="F422" s="12">
        <v>45191</v>
      </c>
      <c r="G422" s="12">
        <v>45191.999999988424</v>
      </c>
      <c r="H422" s="13">
        <f>IF(F422="","",(Summary!$B$5-F422)/365.25)</f>
        <v>2.8638261227089528</v>
      </c>
      <c r="I422" s="14">
        <v>9.2999999999999999E-2</v>
      </c>
      <c r="J422" s="15">
        <v>-4.28E-3</v>
      </c>
      <c r="K422" s="16">
        <v>405216</v>
      </c>
      <c r="L422" s="16">
        <v>37762.806499999999</v>
      </c>
      <c r="M422" s="17">
        <v>653</v>
      </c>
      <c r="N422" s="14">
        <v>9.2899999999999996E-2</v>
      </c>
      <c r="O422" s="14">
        <v>9.3100000000000002E-2</v>
      </c>
      <c r="P422" s="18">
        <f>IF(OR(N422="",O422="",N422=0,O422=0),"",(O422-N422)/((O422+N422)/2))</f>
        <v>2.1505376344086637E-3</v>
      </c>
      <c r="Q422" s="14">
        <v>9.3191800000000005E-2</v>
      </c>
      <c r="R422" s="14">
        <v>9.4100000000000003E-2</v>
      </c>
      <c r="S422" s="14">
        <v>9.2299999999999993E-2</v>
      </c>
      <c r="T422" s="12">
        <v>46236.012476180556</v>
      </c>
      <c r="U422" s="12">
        <v>46237.012476180556</v>
      </c>
      <c r="V422" s="14">
        <v>5</v>
      </c>
      <c r="W422" s="14">
        <v>1</v>
      </c>
      <c r="X422" s="14">
        <v>1</v>
      </c>
      <c r="Y422" s="14">
        <v>1E-4</v>
      </c>
      <c r="Z422" s="10" t="str">
        <f>IF(AND(D422="TRADING",I422&lt;&gt;"",L422&lt;&gt;"",M422&lt;&gt;"",N422&lt;&gt;"",O422&lt;&gt;""),"Yes","No")</f>
        <v>Yes</v>
      </c>
      <c r="AA422" s="10" t="s">
        <v>56</v>
      </c>
    </row>
    <row r="423" spans="1:27">
      <c r="A423" s="10" t="s">
        <v>389</v>
      </c>
      <c r="B423" s="10" t="s">
        <v>390</v>
      </c>
      <c r="C423" s="10" t="s">
        <v>12</v>
      </c>
      <c r="D423" s="10" t="s">
        <v>84</v>
      </c>
      <c r="E423" s="11" t="b">
        <v>1</v>
      </c>
      <c r="F423" s="12">
        <v>45191</v>
      </c>
      <c r="G423" s="12">
        <v>45191.999999988424</v>
      </c>
      <c r="H423" s="13">
        <f>IF(F423="","",(Summary!$B$5-F423)/365.25)</f>
        <v>2.8638261227089528</v>
      </c>
      <c r="I423" s="14">
        <v>2.1</v>
      </c>
      <c r="J423" s="15">
        <v>0.65354000000000001</v>
      </c>
      <c r="K423" s="16">
        <v>184081.17199999999</v>
      </c>
      <c r="L423" s="16">
        <v>276098.07378999999</v>
      </c>
      <c r="M423" s="17">
        <v>4001</v>
      </c>
      <c r="N423" s="14">
        <v>0</v>
      </c>
      <c r="O423" s="14">
        <v>0</v>
      </c>
      <c r="P423" s="18" t="str">
        <f>IF(OR(N423="",O423="",N423=0,O423=0),"",(O423-N423)/((O423+N423)/2))</f>
        <v/>
      </c>
      <c r="Q423" s="14">
        <v>1.4998713400000001</v>
      </c>
      <c r="R423" s="14">
        <v>2.25</v>
      </c>
      <c r="S423" s="14">
        <v>1.22</v>
      </c>
      <c r="T423" s="12">
        <v>46209.261123090277</v>
      </c>
      <c r="U423" s="12">
        <v>46210.261123090277</v>
      </c>
      <c r="V423" s="14">
        <v>1</v>
      </c>
      <c r="W423" s="14">
        <v>1E-3</v>
      </c>
      <c r="X423" s="14">
        <v>1E-3</v>
      </c>
      <c r="Y423" s="14">
        <v>0.01</v>
      </c>
      <c r="Z423" s="10" t="str">
        <f>IF(AND(D423="TRADING",I423&lt;&gt;"",L423&lt;&gt;"",M423&lt;&gt;"",N423&lt;&gt;"",O423&lt;&gt;""),"Yes","No")</f>
        <v>No</v>
      </c>
      <c r="AA423" s="10" t="s">
        <v>56</v>
      </c>
    </row>
    <row r="424" spans="1:27">
      <c r="A424" s="10" t="s">
        <v>576</v>
      </c>
      <c r="B424" s="10" t="s">
        <v>577</v>
      </c>
      <c r="C424" s="10" t="s">
        <v>12</v>
      </c>
      <c r="D424" s="10" t="s">
        <v>84</v>
      </c>
      <c r="E424" s="11" t="b">
        <v>1</v>
      </c>
      <c r="F424" s="12">
        <v>45191</v>
      </c>
      <c r="G424" s="12">
        <v>45191.999999988424</v>
      </c>
      <c r="H424" s="13">
        <f>IF(F424="","",(Summary!$B$5-F424)/365.25)</f>
        <v>2.8638261227089528</v>
      </c>
      <c r="I424" s="14">
        <v>1.9599999999999999E-3</v>
      </c>
      <c r="J424" s="15">
        <v>-0.14410000000000001</v>
      </c>
      <c r="K424" s="16">
        <v>244649653</v>
      </c>
      <c r="L424" s="16">
        <v>533097.35823000001</v>
      </c>
      <c r="M424" s="17">
        <v>4001</v>
      </c>
      <c r="N424" s="14">
        <v>0</v>
      </c>
      <c r="O424" s="14">
        <v>0</v>
      </c>
      <c r="P424" s="18" t="str">
        <f>IF(OR(N424="",O424="",N424=0,O424=0),"",(O424-N424)/((O424+N424)/2))</f>
        <v/>
      </c>
      <c r="Q424" s="14">
        <v>2.1790199999999998E-3</v>
      </c>
      <c r="R424" s="14">
        <v>2.4299999999999999E-3</v>
      </c>
      <c r="S424" s="14">
        <v>1.9E-3</v>
      </c>
      <c r="T424" s="12">
        <v>46209.261123090277</v>
      </c>
      <c r="U424" s="12">
        <v>46210.261123090277</v>
      </c>
      <c r="V424" s="14">
        <v>1</v>
      </c>
      <c r="W424" s="14">
        <v>1</v>
      </c>
      <c r="X424" s="14">
        <v>1</v>
      </c>
      <c r="Y424" s="14">
        <v>1.0000000000000001E-5</v>
      </c>
      <c r="Z424" s="10" t="str">
        <f>IF(AND(D424="TRADING",I424&lt;&gt;"",L424&lt;&gt;"",M424&lt;&gt;"",N424&lt;&gt;"",O424&lt;&gt;""),"Yes","No")</f>
        <v>No</v>
      </c>
      <c r="AA424" s="10" t="s">
        <v>56</v>
      </c>
    </row>
    <row r="425" spans="1:27">
      <c r="A425" s="10" t="s">
        <v>684</v>
      </c>
      <c r="B425" s="10" t="s">
        <v>685</v>
      </c>
      <c r="C425" s="10" t="s">
        <v>12</v>
      </c>
      <c r="D425" s="10" t="s">
        <v>55</v>
      </c>
      <c r="E425" s="11" t="b">
        <v>1</v>
      </c>
      <c r="F425" s="12">
        <v>45191</v>
      </c>
      <c r="G425" s="12">
        <v>45191.999999988424</v>
      </c>
      <c r="H425" s="13">
        <f>IF(F425="","",(Summary!$B$5-F425)/365.25)</f>
        <v>2.8638261227089528</v>
      </c>
      <c r="I425" s="14">
        <v>6.5399999999999996E-4</v>
      </c>
      <c r="J425" s="15">
        <v>-7.5900000000000004E-3</v>
      </c>
      <c r="K425" s="16">
        <v>15325186</v>
      </c>
      <c r="L425" s="16">
        <v>10099.207614999999</v>
      </c>
      <c r="M425" s="17">
        <v>412</v>
      </c>
      <c r="N425" s="14">
        <v>6.5200000000000002E-4</v>
      </c>
      <c r="O425" s="14">
        <v>6.5600000000000001E-4</v>
      </c>
      <c r="P425" s="18">
        <f>IF(OR(N425="",O425="",N425=0,O425=0),"",(O425-N425)/((O425+N425)/2))</f>
        <v>6.1162079510703182E-3</v>
      </c>
      <c r="Q425" s="14">
        <v>6.5899000000000003E-4</v>
      </c>
      <c r="R425" s="14">
        <v>6.6699999999999995E-4</v>
      </c>
      <c r="S425" s="14">
        <v>6.5200000000000002E-4</v>
      </c>
      <c r="T425" s="12">
        <v>46236.012084745373</v>
      </c>
      <c r="U425" s="12">
        <v>46237.012084745373</v>
      </c>
      <c r="V425" s="14">
        <v>5</v>
      </c>
      <c r="W425" s="14">
        <v>1</v>
      </c>
      <c r="X425" s="14">
        <v>1</v>
      </c>
      <c r="Y425" s="14">
        <v>9.9999999999999995E-7</v>
      </c>
      <c r="Z425" s="10" t="str">
        <f>IF(AND(D425="TRADING",I425&lt;&gt;"",L425&lt;&gt;"",M425&lt;&gt;"",N425&lt;&gt;"",O425&lt;&gt;""),"Yes","No")</f>
        <v>Yes</v>
      </c>
      <c r="AA425" s="10" t="s">
        <v>56</v>
      </c>
    </row>
    <row r="426" spans="1:27">
      <c r="A426" s="10" t="s">
        <v>898</v>
      </c>
      <c r="B426" s="10" t="s">
        <v>899</v>
      </c>
      <c r="C426" s="10" t="s">
        <v>12</v>
      </c>
      <c r="D426" s="10" t="s">
        <v>84</v>
      </c>
      <c r="E426" s="11" t="b">
        <v>1</v>
      </c>
      <c r="F426" s="12">
        <v>45209</v>
      </c>
      <c r="G426" s="12">
        <v>45209.999999988424</v>
      </c>
      <c r="H426" s="13">
        <f>IF(F426="","",(Summary!$B$5-F426)/365.25)</f>
        <v>2.8145448085405746</v>
      </c>
      <c r="I426" s="14">
        <v>1.6000000000000001E-3</v>
      </c>
      <c r="J426" s="15">
        <v>-0.33332999999999996</v>
      </c>
      <c r="K426" s="16">
        <v>203143815.19999999</v>
      </c>
      <c r="L426" s="16">
        <v>400972.76854999998</v>
      </c>
      <c r="M426" s="17">
        <v>6712</v>
      </c>
      <c r="N426" s="14">
        <v>0</v>
      </c>
      <c r="O426" s="14">
        <v>0</v>
      </c>
      <c r="P426" s="18" t="str">
        <f>IF(OR(N426="",O426="",N426=0,O426=0),"",(O426-N426)/((O426+N426)/2))</f>
        <v/>
      </c>
      <c r="Q426" s="14">
        <v>1.9738400000000001E-3</v>
      </c>
      <c r="R426" s="14">
        <v>2.5999999999999999E-3</v>
      </c>
      <c r="S426" s="14">
        <v>1.2999999999999999E-3</v>
      </c>
      <c r="T426" s="12">
        <v>46209.261123090277</v>
      </c>
      <c r="U426" s="12">
        <v>46210.261123090277</v>
      </c>
      <c r="V426" s="14">
        <v>5</v>
      </c>
      <c r="W426" s="14">
        <v>0.1</v>
      </c>
      <c r="X426" s="14">
        <v>0.1</v>
      </c>
      <c r="Y426" s="14">
        <v>1E-4</v>
      </c>
      <c r="Z426" s="10" t="str">
        <f>IF(AND(D426="TRADING",I426&lt;&gt;"",L426&lt;&gt;"",M426&lt;&gt;"",N426&lt;&gt;"",O426&lt;&gt;""),"Yes","No")</f>
        <v>No</v>
      </c>
      <c r="AA426" s="10" t="s">
        <v>56</v>
      </c>
    </row>
    <row r="427" spans="1:27">
      <c r="A427" s="10" t="s">
        <v>1221</v>
      </c>
      <c r="B427" s="10" t="s">
        <v>1222</v>
      </c>
      <c r="C427" s="10" t="s">
        <v>12</v>
      </c>
      <c r="D427" s="10" t="s">
        <v>55</v>
      </c>
      <c r="E427" s="11" t="b">
        <v>1</v>
      </c>
      <c r="F427" s="12">
        <v>45230</v>
      </c>
      <c r="G427" s="12">
        <v>45230.999999988424</v>
      </c>
      <c r="H427" s="13">
        <f>IF(F427="","",(Summary!$B$5-F427)/365.25)</f>
        <v>2.7570499420108008</v>
      </c>
      <c r="I427" s="14">
        <v>0.3296</v>
      </c>
      <c r="J427" s="15">
        <v>2.5190000000000001E-2</v>
      </c>
      <c r="K427" s="16">
        <v>2830254.18</v>
      </c>
      <c r="L427" s="16">
        <v>932567.93679900002</v>
      </c>
      <c r="M427" s="17">
        <v>17400</v>
      </c>
      <c r="N427" s="14">
        <v>0.3296</v>
      </c>
      <c r="O427" s="14">
        <v>0.32969999999999999</v>
      </c>
      <c r="P427" s="18">
        <f>IF(OR(N427="",O427="",N427=0,O427=0),"",(O427-N427)/((O427+N427)/2))</f>
        <v>3.033520400424359E-4</v>
      </c>
      <c r="Q427" s="14">
        <v>0.32949971</v>
      </c>
      <c r="R427" s="14">
        <v>0.33279999999999998</v>
      </c>
      <c r="S427" s="14">
        <v>0.32079999999999997</v>
      </c>
      <c r="T427" s="12">
        <v>46236.012467326385</v>
      </c>
      <c r="U427" s="12">
        <v>46237.012467326385</v>
      </c>
      <c r="V427" s="14">
        <v>5</v>
      </c>
      <c r="W427" s="14">
        <v>0.01</v>
      </c>
      <c r="X427" s="14">
        <v>0.01</v>
      </c>
      <c r="Y427" s="14">
        <v>1E-4</v>
      </c>
      <c r="Z427" s="10" t="str">
        <f>IF(AND(D427="TRADING",I427&lt;&gt;"",L427&lt;&gt;"",M427&lt;&gt;"",N427&lt;&gt;"",O427&lt;&gt;""),"Yes","No")</f>
        <v>Yes</v>
      </c>
      <c r="AA427" s="10" t="s">
        <v>56</v>
      </c>
    </row>
    <row r="428" spans="1:27">
      <c r="A428" s="10" t="s">
        <v>808</v>
      </c>
      <c r="B428" s="10" t="s">
        <v>809</v>
      </c>
      <c r="C428" s="10" t="s">
        <v>12</v>
      </c>
      <c r="D428" s="10" t="s">
        <v>55</v>
      </c>
      <c r="E428" s="11" t="b">
        <v>1</v>
      </c>
      <c r="F428" s="12">
        <v>45233</v>
      </c>
      <c r="G428" s="12">
        <v>45233.999999988424</v>
      </c>
      <c r="H428" s="13">
        <f>IF(F428="","",(Summary!$B$5-F428)/365.25)</f>
        <v>2.7488363896494046</v>
      </c>
      <c r="I428" s="14">
        <v>5.0100000000000003E-4</v>
      </c>
      <c r="J428" s="15">
        <v>-9.8799999999999999E-3</v>
      </c>
      <c r="K428" s="16">
        <v>989725700</v>
      </c>
      <c r="L428" s="16">
        <v>498455.26879100001</v>
      </c>
      <c r="M428" s="17">
        <v>8873</v>
      </c>
      <c r="N428" s="14">
        <v>5.0000000000000001E-4</v>
      </c>
      <c r="O428" s="14">
        <v>5.0100000000000003E-4</v>
      </c>
      <c r="P428" s="18">
        <f>IF(OR(N428="",O428="",N428=0,O428=0),"",(O428-N428)/((O428+N428)/2))</f>
        <v>1.9980019980020461E-3</v>
      </c>
      <c r="Q428" s="14">
        <v>5.0363000000000003E-4</v>
      </c>
      <c r="R428" s="14">
        <v>5.1099999999999995E-4</v>
      </c>
      <c r="S428" s="14">
        <v>4.9700000000000005E-4</v>
      </c>
      <c r="T428" s="12">
        <v>46236.012423298613</v>
      </c>
      <c r="U428" s="12">
        <v>46237.012423298613</v>
      </c>
      <c r="V428" s="14">
        <v>1</v>
      </c>
      <c r="W428" s="14">
        <v>1</v>
      </c>
      <c r="X428" s="14">
        <v>1</v>
      </c>
      <c r="Y428" s="14">
        <v>9.9999999999999995E-7</v>
      </c>
      <c r="Z428" s="10" t="str">
        <f>IF(AND(D428="TRADING",I428&lt;&gt;"",L428&lt;&gt;"",M428&lt;&gt;"",N428&lt;&gt;"",O428&lt;&gt;""),"Yes","No")</f>
        <v>Yes</v>
      </c>
      <c r="AA428" s="10" t="s">
        <v>56</v>
      </c>
    </row>
    <row r="429" spans="1:27">
      <c r="A429" s="10" t="s">
        <v>944</v>
      </c>
      <c r="B429" s="10" t="s">
        <v>945</v>
      </c>
      <c r="C429" s="10" t="s">
        <v>12</v>
      </c>
      <c r="D429" s="10" t="s">
        <v>55</v>
      </c>
      <c r="E429" s="11" t="b">
        <v>1</v>
      </c>
      <c r="F429" s="12">
        <v>45237</v>
      </c>
      <c r="G429" s="12">
        <v>45237.999999988424</v>
      </c>
      <c r="H429" s="13">
        <f>IF(F429="","",(Summary!$B$5-F429)/365.25)</f>
        <v>2.7378849865008759</v>
      </c>
      <c r="I429" s="14">
        <v>3.5590000000000002</v>
      </c>
      <c r="J429" s="15">
        <v>-2.3330000000000004E-2</v>
      </c>
      <c r="K429" s="16">
        <v>815951.18</v>
      </c>
      <c r="L429" s="16">
        <v>2946223.5406300002</v>
      </c>
      <c r="M429" s="17">
        <v>35465</v>
      </c>
      <c r="N429" s="14">
        <v>3.5579999999999998</v>
      </c>
      <c r="O429" s="14">
        <v>3.5590000000000002</v>
      </c>
      <c r="P429" s="18">
        <f>IF(OR(N429="",O429="",N429=0,O429=0),"",(O429-N429)/((O429+N429)/2))</f>
        <v>2.8101728256297144E-4</v>
      </c>
      <c r="Q429" s="14">
        <v>3.6107840900000001</v>
      </c>
      <c r="R429" s="14">
        <v>3.7559999999999998</v>
      </c>
      <c r="S429" s="14">
        <v>3.4929999999999999</v>
      </c>
      <c r="T429" s="12">
        <v>46236.01247858796</v>
      </c>
      <c r="U429" s="12">
        <v>46237.01247858796</v>
      </c>
      <c r="V429" s="14">
        <v>5</v>
      </c>
      <c r="W429" s="14">
        <v>0.01</v>
      </c>
      <c r="X429" s="14">
        <v>0.01</v>
      </c>
      <c r="Y429" s="14">
        <v>1E-3</v>
      </c>
      <c r="Z429" s="10" t="str">
        <f>IF(AND(D429="TRADING",I429&lt;&gt;"",L429&lt;&gt;"",M429&lt;&gt;"",N429&lt;&gt;"",O429&lt;&gt;""),"Yes","No")</f>
        <v>Yes</v>
      </c>
      <c r="AA429" s="10" t="s">
        <v>56</v>
      </c>
    </row>
    <row r="430" spans="1:27">
      <c r="A430" s="10" t="s">
        <v>263</v>
      </c>
      <c r="B430" s="10" t="s">
        <v>264</v>
      </c>
      <c r="C430" s="10" t="s">
        <v>12</v>
      </c>
      <c r="D430" s="10" t="s">
        <v>55</v>
      </c>
      <c r="E430" s="11" t="b">
        <v>1</v>
      </c>
      <c r="F430" s="12">
        <v>45244</v>
      </c>
      <c r="G430" s="12">
        <v>45244.999999988424</v>
      </c>
      <c r="H430" s="13">
        <f>IF(F430="","",(Summary!$B$5-F430)/365.25)</f>
        <v>2.7187200309909514</v>
      </c>
      <c r="I430" s="14">
        <v>1.4430000000000001E-3</v>
      </c>
      <c r="J430" s="15">
        <v>-3.4499999999999999E-3</v>
      </c>
      <c r="K430" s="16">
        <v>66408121</v>
      </c>
      <c r="L430" s="16">
        <v>96127.007679999995</v>
      </c>
      <c r="M430" s="17">
        <v>2836</v>
      </c>
      <c r="N430" s="14">
        <v>1.4419999999999999E-3</v>
      </c>
      <c r="O430" s="14">
        <v>1.4430000000000001E-3</v>
      </c>
      <c r="P430" s="18">
        <f>IF(OR(N430="",O430="",N430=0,O430=0),"",(O430-N430)/((O430+N430)/2))</f>
        <v>6.9324090121326354E-4</v>
      </c>
      <c r="Q430" s="14">
        <v>1.4475200000000001E-3</v>
      </c>
      <c r="R430" s="14">
        <v>1.4630000000000001E-3</v>
      </c>
      <c r="S430" s="14">
        <v>1.4350000000000001E-3</v>
      </c>
      <c r="T430" s="12">
        <v>46236.012419942126</v>
      </c>
      <c r="U430" s="12">
        <v>46237.012419942126</v>
      </c>
      <c r="V430" s="14">
        <v>5</v>
      </c>
      <c r="W430" s="14">
        <v>1</v>
      </c>
      <c r="X430" s="14">
        <v>1</v>
      </c>
      <c r="Y430" s="14">
        <v>9.9999999999999995E-7</v>
      </c>
      <c r="Z430" s="10" t="str">
        <f>IF(AND(D430="TRADING",I430&lt;&gt;"",L430&lt;&gt;"",M430&lt;&gt;"",N430&lt;&gt;"",O430&lt;&gt;""),"Yes","No")</f>
        <v>Yes</v>
      </c>
      <c r="AA430" s="10" t="s">
        <v>56</v>
      </c>
    </row>
    <row r="431" spans="1:27">
      <c r="A431" s="10" t="s">
        <v>976</v>
      </c>
      <c r="B431" s="10" t="s">
        <v>977</v>
      </c>
      <c r="C431" s="10" t="s">
        <v>12</v>
      </c>
      <c r="D431" s="10" t="s">
        <v>55</v>
      </c>
      <c r="E431" s="11" t="b">
        <v>1</v>
      </c>
      <c r="F431" s="12">
        <v>45246</v>
      </c>
      <c r="G431" s="12">
        <v>45246.999999988424</v>
      </c>
      <c r="H431" s="13">
        <f>IF(F431="","",(Summary!$B$5-F431)/365.25)</f>
        <v>2.7132443294166873</v>
      </c>
      <c r="I431" s="14">
        <v>3.2899999999999999E-2</v>
      </c>
      <c r="J431" s="15">
        <v>3.0499999999999998E-3</v>
      </c>
      <c r="K431" s="16">
        <v>3401157</v>
      </c>
      <c r="L431" s="16">
        <v>111519.8168</v>
      </c>
      <c r="M431" s="17">
        <v>1892</v>
      </c>
      <c r="N431" s="14">
        <v>3.27E-2</v>
      </c>
      <c r="O431" s="14">
        <v>3.2899999999999999E-2</v>
      </c>
      <c r="P431" s="18">
        <f>IF(OR(N431="",O431="",N431=0,O431=0),"",(O431-N431)/((O431+N431)/2))</f>
        <v>6.0975609756097199E-3</v>
      </c>
      <c r="Q431" s="14">
        <v>3.2788789999999998E-2</v>
      </c>
      <c r="R431" s="14">
        <v>3.3099999999999997E-2</v>
      </c>
      <c r="S431" s="14">
        <v>3.2500000000000001E-2</v>
      </c>
      <c r="T431" s="12">
        <v>46236.012479108795</v>
      </c>
      <c r="U431" s="12">
        <v>46237.012479108795</v>
      </c>
      <c r="V431" s="14">
        <v>5</v>
      </c>
      <c r="W431" s="14">
        <v>1</v>
      </c>
      <c r="X431" s="14">
        <v>1</v>
      </c>
      <c r="Y431" s="14">
        <v>1E-4</v>
      </c>
      <c r="Z431" s="10" t="str">
        <f>IF(AND(D431="TRADING",I431&lt;&gt;"",L431&lt;&gt;"",M431&lt;&gt;"",N431&lt;&gt;"",O431&lt;&gt;""),"Yes","No")</f>
        <v>Yes</v>
      </c>
      <c r="AA431" s="10" t="s">
        <v>56</v>
      </c>
    </row>
    <row r="432" spans="1:27">
      <c r="A432" s="10" t="s">
        <v>289</v>
      </c>
      <c r="B432" s="10" t="s">
        <v>290</v>
      </c>
      <c r="C432" s="10" t="s">
        <v>12</v>
      </c>
      <c r="D432" s="10" t="s">
        <v>55</v>
      </c>
      <c r="E432" s="11" t="b">
        <v>1</v>
      </c>
      <c r="F432" s="12">
        <v>45254</v>
      </c>
      <c r="G432" s="12">
        <v>45254.999999988424</v>
      </c>
      <c r="H432" s="13">
        <f>IF(F432="","",(Summary!$B$5-F432)/365.25)</f>
        <v>2.6913415231196303</v>
      </c>
      <c r="I432" s="14">
        <v>1.3939999999999999E-2</v>
      </c>
      <c r="J432" s="15">
        <v>2.8799999999999997E-3</v>
      </c>
      <c r="K432" s="16">
        <v>7839460.5999999996</v>
      </c>
      <c r="L432" s="16">
        <v>109210.173822</v>
      </c>
      <c r="M432" s="17">
        <v>1449</v>
      </c>
      <c r="N432" s="14">
        <v>1.392E-2</v>
      </c>
      <c r="O432" s="14">
        <v>1.393E-2</v>
      </c>
      <c r="P432" s="18">
        <f>IF(OR(N432="",O432="",N432=0,O432=0),"",(O432-N432)/((O432+N432)/2))</f>
        <v>7.1813285457806772E-4</v>
      </c>
      <c r="Q432" s="14">
        <v>1.393083E-2</v>
      </c>
      <c r="R432" s="14">
        <v>1.414E-2</v>
      </c>
      <c r="S432" s="14">
        <v>1.38E-2</v>
      </c>
      <c r="T432" s="12">
        <v>46236.012254155095</v>
      </c>
      <c r="U432" s="12">
        <v>46237.012254155095</v>
      </c>
      <c r="V432" s="14">
        <v>5</v>
      </c>
      <c r="W432" s="14">
        <v>0.1</v>
      </c>
      <c r="X432" s="14">
        <v>0.1</v>
      </c>
      <c r="Y432" s="14">
        <v>1.0000000000000001E-5</v>
      </c>
      <c r="Z432" s="10" t="str">
        <f>IF(AND(D432="TRADING",I432&lt;&gt;"",L432&lt;&gt;"",M432&lt;&gt;"",N432&lt;&gt;"",O432&lt;&gt;""),"Yes","No")</f>
        <v>Yes</v>
      </c>
      <c r="AA432" s="10" t="s">
        <v>56</v>
      </c>
    </row>
    <row r="433" spans="1:27">
      <c r="A433" s="10" t="s">
        <v>1317</v>
      </c>
      <c r="B433" s="10" t="s">
        <v>1318</v>
      </c>
      <c r="C433" s="10" t="s">
        <v>12</v>
      </c>
      <c r="D433" s="10" t="s">
        <v>55</v>
      </c>
      <c r="E433" s="11" t="b">
        <v>1</v>
      </c>
      <c r="F433" s="12">
        <v>45254</v>
      </c>
      <c r="G433" s="12">
        <v>45254.999999988424</v>
      </c>
      <c r="H433" s="13">
        <f>IF(F433="","",(Summary!$B$5-F433)/365.25)</f>
        <v>2.6913415231196303</v>
      </c>
      <c r="I433" s="14">
        <v>3.4000000000000002E-2</v>
      </c>
      <c r="J433" s="15">
        <v>-2.9299999999999999E-3</v>
      </c>
      <c r="K433" s="16">
        <v>2228735.08</v>
      </c>
      <c r="L433" s="16">
        <v>76338.468533000007</v>
      </c>
      <c r="M433" s="17">
        <v>3596</v>
      </c>
      <c r="N433" s="14">
        <v>3.4000000000000002E-2</v>
      </c>
      <c r="O433" s="14">
        <v>3.4099999999999998E-2</v>
      </c>
      <c r="P433" s="18">
        <f>IF(OR(N433="",O433="",N433=0,O433=0),"",(O433-N433)/((O433+N433)/2))</f>
        <v>2.9368575624081038E-3</v>
      </c>
      <c r="Q433" s="14">
        <v>3.425193E-2</v>
      </c>
      <c r="R433" s="14">
        <v>3.4700000000000002E-2</v>
      </c>
      <c r="S433" s="14">
        <v>3.39E-2</v>
      </c>
      <c r="T433" s="12">
        <v>46236.012384849535</v>
      </c>
      <c r="U433" s="12">
        <v>46237.012384849535</v>
      </c>
      <c r="V433" s="14">
        <v>5</v>
      </c>
      <c r="W433" s="14">
        <v>0.01</v>
      </c>
      <c r="X433" s="14">
        <v>0.01</v>
      </c>
      <c r="Y433" s="14">
        <v>1E-4</v>
      </c>
      <c r="Z433" s="10" t="str">
        <f>IF(AND(D433="TRADING",I433&lt;&gt;"",L433&lt;&gt;"",M433&lt;&gt;"",N433&lt;&gt;"",O433&lt;&gt;""),"Yes","No")</f>
        <v>Yes</v>
      </c>
      <c r="AA433" s="10" t="s">
        <v>56</v>
      </c>
    </row>
    <row r="434" spans="1:27">
      <c r="A434" s="10" t="s">
        <v>1305</v>
      </c>
      <c r="B434" s="10" t="s">
        <v>1306</v>
      </c>
      <c r="C434" s="10" t="s">
        <v>12</v>
      </c>
      <c r="D434" s="10" t="s">
        <v>55</v>
      </c>
      <c r="E434" s="11" t="b">
        <v>1</v>
      </c>
      <c r="F434" s="12">
        <v>45261</v>
      </c>
      <c r="G434" s="12">
        <v>45261.999999988424</v>
      </c>
      <c r="H434" s="13">
        <f>IF(F434="","",(Summary!$B$5-F434)/365.25)</f>
        <v>2.6721765676097058</v>
      </c>
      <c r="I434" s="14">
        <v>3.7139999999999999E-3</v>
      </c>
      <c r="J434" s="15">
        <v>-4.3520000000000003E-2</v>
      </c>
      <c r="K434" s="16">
        <v>238601236</v>
      </c>
      <c r="L434" s="16">
        <v>904613.270288</v>
      </c>
      <c r="M434" s="17">
        <v>10170</v>
      </c>
      <c r="N434" s="14">
        <v>3.7139999999999999E-3</v>
      </c>
      <c r="O434" s="14">
        <v>3.7169999999999998E-3</v>
      </c>
      <c r="P434" s="18">
        <f>IF(OR(N434="",O434="",N434=0,O434=0),"",(O434-N434)/((O434+N434)/2))</f>
        <v>8.0742834073475021E-4</v>
      </c>
      <c r="Q434" s="14">
        <v>3.7913199999999999E-3</v>
      </c>
      <c r="R434" s="14">
        <v>3.9220000000000001E-3</v>
      </c>
      <c r="S434" s="14">
        <v>3.7000000000000002E-3</v>
      </c>
      <c r="T434" s="12">
        <v>46236.012353148151</v>
      </c>
      <c r="U434" s="12">
        <v>46237.012353148151</v>
      </c>
      <c r="V434" s="14">
        <v>5</v>
      </c>
      <c r="W434" s="14">
        <v>1</v>
      </c>
      <c r="X434" s="14">
        <v>1</v>
      </c>
      <c r="Y434" s="14">
        <v>9.9999999999999995E-7</v>
      </c>
      <c r="Z434" s="10" t="str">
        <f>IF(AND(D434="TRADING",I434&lt;&gt;"",L434&lt;&gt;"",M434&lt;&gt;"",N434&lt;&gt;"",O434&lt;&gt;""),"Yes","No")</f>
        <v>Yes</v>
      </c>
      <c r="AA434" s="10" t="s">
        <v>56</v>
      </c>
    </row>
    <row r="435" spans="1:27">
      <c r="A435" s="10" t="s">
        <v>111</v>
      </c>
      <c r="B435" s="10" t="s">
        <v>112</v>
      </c>
      <c r="C435" s="10" t="s">
        <v>12</v>
      </c>
      <c r="D435" s="10" t="s">
        <v>84</v>
      </c>
      <c r="E435" s="11" t="b">
        <v>1</v>
      </c>
      <c r="F435" s="12">
        <v>45264</v>
      </c>
      <c r="G435" s="12">
        <v>45264.999999988424</v>
      </c>
      <c r="H435" s="13">
        <f>IF(F435="","",(Summary!$B$5-F435)/365.25)</f>
        <v>2.6639630152483091</v>
      </c>
      <c r="I435" s="14">
        <v>1.1443000000000001</v>
      </c>
      <c r="J435" s="15">
        <v>3.8600000000000001E-3</v>
      </c>
      <c r="K435" s="16">
        <v>7809.3</v>
      </c>
      <c r="L435" s="16">
        <v>8918.17382</v>
      </c>
      <c r="M435" s="17">
        <v>213</v>
      </c>
      <c r="N435" s="14">
        <v>0</v>
      </c>
      <c r="O435" s="14">
        <v>0</v>
      </c>
      <c r="P435" s="18" t="str">
        <f>IF(OR(N435="",O435="",N435=0,O435=0),"",(O435-N435)/((O435+N435)/2))</f>
        <v/>
      </c>
      <c r="Q435" s="14">
        <v>1.1419940099999999</v>
      </c>
      <c r="R435" s="14">
        <v>1.1456999999999999</v>
      </c>
      <c r="S435" s="14">
        <v>1.1396999999999999</v>
      </c>
      <c r="T435" s="12">
        <v>46233.125029074072</v>
      </c>
      <c r="U435" s="12">
        <v>46234.125029074072</v>
      </c>
      <c r="V435" s="14">
        <v>5</v>
      </c>
      <c r="W435" s="14">
        <v>0.1</v>
      </c>
      <c r="X435" s="14">
        <v>0.1</v>
      </c>
      <c r="Y435" s="14">
        <v>1E-4</v>
      </c>
      <c r="Z435" s="10" t="str">
        <f>IF(AND(D435="TRADING",I435&lt;&gt;"",L435&lt;&gt;"",M435&lt;&gt;"",N435&lt;&gt;"",O435&lt;&gt;""),"Yes","No")</f>
        <v>No</v>
      </c>
      <c r="AA435" s="10" t="s">
        <v>56</v>
      </c>
    </row>
    <row r="436" spans="1:27">
      <c r="A436" s="10" t="s">
        <v>694</v>
      </c>
      <c r="B436" s="10" t="s">
        <v>695</v>
      </c>
      <c r="C436" s="10" t="s">
        <v>12</v>
      </c>
      <c r="D436" s="10" t="s">
        <v>55</v>
      </c>
      <c r="E436" s="11" t="b">
        <v>1</v>
      </c>
      <c r="F436" s="12">
        <v>45267</v>
      </c>
      <c r="G436" s="12">
        <v>45267.999999988424</v>
      </c>
      <c r="H436" s="13">
        <f>IF(F436="","",(Summary!$B$5-F436)/365.25)</f>
        <v>2.6557494628869129</v>
      </c>
      <c r="I436" s="14">
        <v>0.49480000000000002</v>
      </c>
      <c r="J436" s="15">
        <v>-1.1390000000000001E-2</v>
      </c>
      <c r="K436" s="16">
        <v>1750697.5</v>
      </c>
      <c r="L436" s="16">
        <v>862727.33400000003</v>
      </c>
      <c r="M436" s="17">
        <v>25243</v>
      </c>
      <c r="N436" s="14">
        <v>0.49469999999999997</v>
      </c>
      <c r="O436" s="14">
        <v>0.49480000000000002</v>
      </c>
      <c r="P436" s="18">
        <f>IF(OR(N436="",O436="",N436=0,O436=0),"",(O436-N436)/((O436+N436)/2))</f>
        <v>2.0212228398189892E-4</v>
      </c>
      <c r="Q436" s="14">
        <v>0.49279064</v>
      </c>
      <c r="R436" s="14">
        <v>0.50519999999999998</v>
      </c>
      <c r="S436" s="14">
        <v>0.48039999999999999</v>
      </c>
      <c r="T436" s="12">
        <v>46236.012457442128</v>
      </c>
      <c r="U436" s="12">
        <v>46237.012457442128</v>
      </c>
      <c r="V436" s="14">
        <v>5</v>
      </c>
      <c r="W436" s="14">
        <v>0.1</v>
      </c>
      <c r="X436" s="14">
        <v>0.1</v>
      </c>
      <c r="Y436" s="14">
        <v>1E-4</v>
      </c>
      <c r="Z436" s="10" t="str">
        <f>IF(AND(D436="TRADING",I436&lt;&gt;"",L436&lt;&gt;"",M436&lt;&gt;"",N436&lt;&gt;"",O436&lt;&gt;""),"Yes","No")</f>
        <v>Yes</v>
      </c>
      <c r="AA436" s="10" t="s">
        <v>56</v>
      </c>
    </row>
    <row r="437" spans="1:27">
      <c r="A437" s="10" t="s">
        <v>74</v>
      </c>
      <c r="B437" s="10" t="s">
        <v>75</v>
      </c>
      <c r="C437" s="10" t="s">
        <v>12</v>
      </c>
      <c r="D437" s="10" t="s">
        <v>55</v>
      </c>
      <c r="E437" s="11" t="b">
        <v>1</v>
      </c>
      <c r="F437" s="12">
        <v>45272</v>
      </c>
      <c r="G437" s="12">
        <v>45272.999999988424</v>
      </c>
      <c r="H437" s="13">
        <f>IF(F437="","",(Summary!$B$5-F437)/365.25)</f>
        <v>2.6420602089512526</v>
      </c>
      <c r="I437" s="14">
        <v>1.0679999999999999E-5</v>
      </c>
      <c r="J437" s="15">
        <v>-3.8699999999999998E-2</v>
      </c>
      <c r="K437" s="16">
        <v>341870647131</v>
      </c>
      <c r="L437" s="16">
        <v>3815810.9489485999</v>
      </c>
      <c r="M437" s="17">
        <v>48772</v>
      </c>
      <c r="N437" s="14">
        <v>1.0679999999999999E-5</v>
      </c>
      <c r="O437" s="14">
        <v>1.0689999999999999E-5</v>
      </c>
      <c r="P437" s="18">
        <f>IF(OR(N437="",O437="",N437=0,O437=0),"",(O437-N437)/((O437+N437)/2))</f>
        <v>9.3589143659334622E-4</v>
      </c>
      <c r="Q437" s="14">
        <v>1.116E-5</v>
      </c>
      <c r="R437" s="14">
        <v>1.199E-5</v>
      </c>
      <c r="S437" s="14">
        <v>1.0329999999999999E-5</v>
      </c>
      <c r="T437" s="12">
        <v>46236.012049074074</v>
      </c>
      <c r="U437" s="12">
        <v>46237.012049074074</v>
      </c>
      <c r="V437" s="14">
        <v>1</v>
      </c>
      <c r="W437" s="14">
        <v>1</v>
      </c>
      <c r="X437" s="14">
        <v>1</v>
      </c>
      <c r="Y437" s="14">
        <v>1E-8</v>
      </c>
      <c r="Z437" s="10" t="str">
        <f>IF(AND(D437="TRADING",I437&lt;&gt;"",L437&lt;&gt;"",M437&lt;&gt;"",N437&lt;&gt;"",O437&lt;&gt;""),"Yes","No")</f>
        <v>Yes</v>
      </c>
      <c r="AA437" s="10" t="s">
        <v>56</v>
      </c>
    </row>
    <row r="438" spans="1:27">
      <c r="A438" s="10" t="s">
        <v>310</v>
      </c>
      <c r="B438" s="10" t="s">
        <v>311</v>
      </c>
      <c r="C438" s="10" t="s">
        <v>12</v>
      </c>
      <c r="D438" s="10" t="s">
        <v>55</v>
      </c>
      <c r="E438" s="11" t="b">
        <v>1</v>
      </c>
      <c r="F438" s="12">
        <v>45275</v>
      </c>
      <c r="G438" s="12">
        <v>45275.999999988424</v>
      </c>
      <c r="H438" s="13">
        <f>IF(F438="","",(Summary!$B$5-F438)/365.25)</f>
        <v>2.633846656589856</v>
      </c>
      <c r="I438" s="14">
        <v>2.88E-6</v>
      </c>
      <c r="J438" s="15">
        <v>3.2259999999999997E-2</v>
      </c>
      <c r="K438" s="16">
        <v>519717752893</v>
      </c>
      <c r="L438" s="16">
        <v>1503760.4447475499</v>
      </c>
      <c r="M438" s="17">
        <v>8001</v>
      </c>
      <c r="N438" s="14">
        <v>2.88E-6</v>
      </c>
      <c r="O438" s="14">
        <v>2.8899999999999999E-6</v>
      </c>
      <c r="P438" s="18">
        <f>IF(OR(N438="",O438="",N438=0,O438=0),"",(O438-N438)/((O438+N438)/2))</f>
        <v>3.4662045060658247E-3</v>
      </c>
      <c r="Q438" s="14">
        <v>2.8899999999999999E-6</v>
      </c>
      <c r="R438" s="14">
        <v>2.9399999999999998E-6</v>
      </c>
      <c r="S438" s="14">
        <v>2.7700000000000002E-6</v>
      </c>
      <c r="T438" s="12">
        <v>46236.012445925924</v>
      </c>
      <c r="U438" s="12">
        <v>46237.012445925924</v>
      </c>
      <c r="V438" s="14">
        <v>1</v>
      </c>
      <c r="W438" s="14">
        <v>1</v>
      </c>
      <c r="X438" s="14">
        <v>1</v>
      </c>
      <c r="Y438" s="14">
        <v>1E-8</v>
      </c>
      <c r="Z438" s="10" t="str">
        <f>IF(AND(D438="TRADING",I438&lt;&gt;"",L438&lt;&gt;"",M438&lt;&gt;"",N438&lt;&gt;"",O438&lt;&gt;""),"Yes","No")</f>
        <v>Yes</v>
      </c>
      <c r="AA438" s="10" t="s">
        <v>56</v>
      </c>
    </row>
    <row r="439" spans="1:27">
      <c r="A439" s="10" t="s">
        <v>93</v>
      </c>
      <c r="B439" s="10" t="s">
        <v>94</v>
      </c>
      <c r="C439" s="10" t="s">
        <v>12</v>
      </c>
      <c r="D439" s="10" t="s">
        <v>55</v>
      </c>
      <c r="E439" s="11" t="b">
        <v>1</v>
      </c>
      <c r="F439" s="12">
        <v>45278</v>
      </c>
      <c r="G439" s="12">
        <v>45278.999999988424</v>
      </c>
      <c r="H439" s="13">
        <f>IF(F439="","",(Summary!$B$5-F439)/365.25)</f>
        <v>2.6256331042284597</v>
      </c>
      <c r="I439" s="14">
        <v>6.54E-2</v>
      </c>
      <c r="J439" s="15">
        <v>-2.8229999999999998E-2</v>
      </c>
      <c r="K439" s="16">
        <v>12759550.800000001</v>
      </c>
      <c r="L439" s="16">
        <v>837913.73531000002</v>
      </c>
      <c r="M439" s="17">
        <v>9210</v>
      </c>
      <c r="N439" s="14">
        <v>6.5299999999999997E-2</v>
      </c>
      <c r="O439" s="14">
        <v>6.54E-2</v>
      </c>
      <c r="P439" s="18">
        <f>IF(OR(N439="",O439="",N439=0,O439=0),"",(O439-N439)/((O439+N439)/2))</f>
        <v>1.530221882172959E-3</v>
      </c>
      <c r="Q439" s="14">
        <v>6.5669530000000004E-2</v>
      </c>
      <c r="R439" s="14">
        <v>6.8599999999999994E-2</v>
      </c>
      <c r="S439" s="14">
        <v>6.4000000000000001E-2</v>
      </c>
      <c r="T439" s="12">
        <v>46236.012287893522</v>
      </c>
      <c r="U439" s="12">
        <v>46237.012287893522</v>
      </c>
      <c r="V439" s="14">
        <v>5</v>
      </c>
      <c r="W439" s="14">
        <v>0.1</v>
      </c>
      <c r="X439" s="14">
        <v>0.1</v>
      </c>
      <c r="Y439" s="14">
        <v>1E-4</v>
      </c>
      <c r="Z439" s="10" t="str">
        <f>IF(AND(D439="TRADING",I439&lt;&gt;"",L439&lt;&gt;"",M439&lt;&gt;"",N439&lt;&gt;"",O439&lt;&gt;""),"Yes","No")</f>
        <v>Yes</v>
      </c>
      <c r="AA439" s="10" t="s">
        <v>56</v>
      </c>
    </row>
    <row r="440" spans="1:27">
      <c r="A440" s="10" t="s">
        <v>880</v>
      </c>
      <c r="B440" s="10" t="s">
        <v>881</v>
      </c>
      <c r="C440" s="10" t="s">
        <v>12</v>
      </c>
      <c r="D440" s="10" t="s">
        <v>84</v>
      </c>
      <c r="E440" s="11" t="b">
        <v>1</v>
      </c>
      <c r="F440" s="12">
        <v>45287</v>
      </c>
      <c r="G440" s="12">
        <v>45287.999999988424</v>
      </c>
      <c r="H440" s="13">
        <f>IF(F440="","",(Summary!$B$5-F440)/365.25)</f>
        <v>2.6009924471442711</v>
      </c>
      <c r="I440" s="14">
        <v>1.81E-3</v>
      </c>
      <c r="J440" s="15">
        <v>-0.66168000000000005</v>
      </c>
      <c r="K440" s="16">
        <v>1017507194</v>
      </c>
      <c r="L440" s="16">
        <v>3834002.8318500002</v>
      </c>
      <c r="M440" s="17">
        <v>65822</v>
      </c>
      <c r="N440" s="14">
        <v>0</v>
      </c>
      <c r="O440" s="14">
        <v>0</v>
      </c>
      <c r="P440" s="18" t="str">
        <f>IF(OR(N440="",O440="",N440=0,O440=0),"",(O440-N440)/((O440+N440)/2))</f>
        <v/>
      </c>
      <c r="Q440" s="14">
        <v>3.7680399999999998E-3</v>
      </c>
      <c r="R440" s="14">
        <v>5.7000000000000002E-3</v>
      </c>
      <c r="S440" s="14">
        <v>1.6800000000000001E-3</v>
      </c>
      <c r="T440" s="12">
        <v>46212.125102430553</v>
      </c>
      <c r="U440" s="12">
        <v>46213.125102430553</v>
      </c>
      <c r="V440" s="14">
        <v>5</v>
      </c>
      <c r="W440" s="14">
        <v>1</v>
      </c>
      <c r="X440" s="14">
        <v>1</v>
      </c>
      <c r="Y440" s="14">
        <v>1.0000000000000001E-5</v>
      </c>
      <c r="Z440" s="10" t="str">
        <f>IF(AND(D440="TRADING",I440&lt;&gt;"",L440&lt;&gt;"",M440&lt;&gt;"",N440&lt;&gt;"",O440&lt;&gt;""),"Yes","No")</f>
        <v>No</v>
      </c>
      <c r="AA440" s="10" t="s">
        <v>56</v>
      </c>
    </row>
    <row r="441" spans="1:27">
      <c r="A441" s="10" t="s">
        <v>123</v>
      </c>
      <c r="B441" s="10" t="s">
        <v>124</v>
      </c>
      <c r="C441" s="10" t="s">
        <v>12</v>
      </c>
      <c r="D441" s="10" t="s">
        <v>55</v>
      </c>
      <c r="E441" s="11" t="b">
        <v>1</v>
      </c>
      <c r="F441" s="12">
        <v>45295</v>
      </c>
      <c r="G441" s="12">
        <v>45295.999999988424</v>
      </c>
      <c r="H441" s="13">
        <f>IF(F441="","",(Summary!$B$5-F441)/365.25)</f>
        <v>2.5790896408472141</v>
      </c>
      <c r="I441" s="14">
        <v>1.7500000000000002E-2</v>
      </c>
      <c r="J441" s="15">
        <v>0</v>
      </c>
      <c r="K441" s="16">
        <v>7831473.4000000004</v>
      </c>
      <c r="L441" s="16">
        <v>136746.99994000001</v>
      </c>
      <c r="M441" s="17">
        <v>2491</v>
      </c>
      <c r="N441" s="14">
        <v>1.7399999999999999E-2</v>
      </c>
      <c r="O441" s="14">
        <v>1.7500000000000002E-2</v>
      </c>
      <c r="P441" s="18">
        <f>IF(OR(N441="",O441="",N441=0,O441=0),"",(O441-N441)/((O441+N441)/2))</f>
        <v>5.7306590257881294E-3</v>
      </c>
      <c r="Q441" s="14">
        <v>1.7461210000000001E-2</v>
      </c>
      <c r="R441" s="14">
        <v>1.77E-2</v>
      </c>
      <c r="S441" s="14">
        <v>1.72E-2</v>
      </c>
      <c r="T441" s="12">
        <v>46236.012427939815</v>
      </c>
      <c r="U441" s="12">
        <v>46237.012427939815</v>
      </c>
      <c r="V441" s="14">
        <v>5</v>
      </c>
      <c r="W441" s="14">
        <v>0.1</v>
      </c>
      <c r="X441" s="14">
        <v>0.1</v>
      </c>
      <c r="Y441" s="14">
        <v>1E-4</v>
      </c>
      <c r="Z441" s="10" t="str">
        <f>IF(AND(D441="TRADING",I441&lt;&gt;"",L441&lt;&gt;"",M441&lt;&gt;"",N441&lt;&gt;"",O441&lt;&gt;""),"Yes","No")</f>
        <v>Yes</v>
      </c>
      <c r="AA441" s="10" t="s">
        <v>56</v>
      </c>
    </row>
    <row r="442" spans="1:27">
      <c r="A442" s="10" t="s">
        <v>1365</v>
      </c>
      <c r="B442" s="10" t="s">
        <v>1366</v>
      </c>
      <c r="C442" s="10" t="s">
        <v>12</v>
      </c>
      <c r="D442" s="10" t="s">
        <v>55</v>
      </c>
      <c r="E442" s="11" t="b">
        <v>1</v>
      </c>
      <c r="F442" s="12">
        <v>45300</v>
      </c>
      <c r="G442" s="12">
        <v>45300.999999988424</v>
      </c>
      <c r="H442" s="13">
        <f>IF(F442="","",(Summary!$B$5-F442)/365.25)</f>
        <v>2.5654003869115538</v>
      </c>
      <c r="I442" s="14">
        <v>6.0800000000000003E-3</v>
      </c>
      <c r="J442" s="15">
        <v>3.3E-3</v>
      </c>
      <c r="K442" s="16">
        <v>25509599.100000001</v>
      </c>
      <c r="L442" s="16">
        <v>155398.59273100001</v>
      </c>
      <c r="M442" s="17">
        <v>3014</v>
      </c>
      <c r="N442" s="14">
        <v>6.0600000000000003E-3</v>
      </c>
      <c r="O442" s="14">
        <v>6.0699999999999999E-3</v>
      </c>
      <c r="P442" s="18">
        <f>IF(OR(N442="",O442="",N442=0,O442=0),"",(O442-N442)/((O442+N442)/2))</f>
        <v>1.6488046166528594E-3</v>
      </c>
      <c r="Q442" s="14">
        <v>6.0917699999999998E-3</v>
      </c>
      <c r="R442" s="14">
        <v>6.1599999999999997E-3</v>
      </c>
      <c r="S442" s="14">
        <v>6.0299999999999998E-3</v>
      </c>
      <c r="T442" s="12">
        <v>46236.012440115737</v>
      </c>
      <c r="U442" s="12">
        <v>46237.012440115737</v>
      </c>
      <c r="V442" s="14">
        <v>5</v>
      </c>
      <c r="W442" s="14">
        <v>0.1</v>
      </c>
      <c r="X442" s="14">
        <v>0.1</v>
      </c>
      <c r="Y442" s="14">
        <v>1.0000000000000001E-5</v>
      </c>
      <c r="Z442" s="10" t="str">
        <f>IF(AND(D442="TRADING",I442&lt;&gt;"",L442&lt;&gt;"",M442&lt;&gt;"",N442&lt;&gt;"",O442&lt;&gt;""),"Yes","No")</f>
        <v>Yes</v>
      </c>
      <c r="AA442" s="10" t="s">
        <v>56</v>
      </c>
    </row>
    <row r="443" spans="1:27">
      <c r="A443" s="10" t="s">
        <v>784</v>
      </c>
      <c r="B443" s="10" t="s">
        <v>785</v>
      </c>
      <c r="C443" s="10" t="s">
        <v>12</v>
      </c>
      <c r="D443" s="10" t="s">
        <v>55</v>
      </c>
      <c r="E443" s="11" t="b">
        <v>1</v>
      </c>
      <c r="F443" s="12">
        <v>45309</v>
      </c>
      <c r="G443" s="12">
        <v>45309.999999988424</v>
      </c>
      <c r="H443" s="13">
        <f>IF(F443="","",(Summary!$B$5-F443)/365.25)</f>
        <v>2.5407597298273648</v>
      </c>
      <c r="I443" s="14">
        <v>5.7979999999999997E-2</v>
      </c>
      <c r="J443" s="15">
        <v>-1.8450000000000001E-2</v>
      </c>
      <c r="K443" s="16">
        <v>3454973.9</v>
      </c>
      <c r="L443" s="16">
        <v>201555.84849400001</v>
      </c>
      <c r="M443" s="17">
        <v>3116</v>
      </c>
      <c r="N443" s="14">
        <v>5.7959999999999998E-2</v>
      </c>
      <c r="O443" s="14">
        <v>5.8009999999999999E-2</v>
      </c>
      <c r="P443" s="18">
        <f>IF(OR(N443="",O443="",N443=0,O443=0),"",(O443-N443)/((O443+N443)/2))</f>
        <v>8.622919720617649E-4</v>
      </c>
      <c r="Q443" s="14">
        <v>5.8337880000000002E-2</v>
      </c>
      <c r="R443" s="14">
        <v>5.9499999999999997E-2</v>
      </c>
      <c r="S443" s="14">
        <v>5.7360000000000001E-2</v>
      </c>
      <c r="T443" s="12">
        <v>46236.01163400463</v>
      </c>
      <c r="U443" s="12">
        <v>46237.01163400463</v>
      </c>
      <c r="V443" s="14">
        <v>5</v>
      </c>
      <c r="W443" s="14">
        <v>0.1</v>
      </c>
      <c r="X443" s="14">
        <v>0.1</v>
      </c>
      <c r="Y443" s="14">
        <v>1.0000000000000001E-5</v>
      </c>
      <c r="Z443" s="10" t="str">
        <f>IF(AND(D443="TRADING",I443&lt;&gt;"",L443&lt;&gt;"",M443&lt;&gt;"",N443&lt;&gt;"",O443&lt;&gt;""),"Yes","No")</f>
        <v>Yes</v>
      </c>
      <c r="AA443" s="10" t="s">
        <v>56</v>
      </c>
    </row>
    <row r="444" spans="1:27">
      <c r="A444" s="10" t="s">
        <v>143</v>
      </c>
      <c r="B444" s="10" t="s">
        <v>144</v>
      </c>
      <c r="C444" s="10" t="s">
        <v>12</v>
      </c>
      <c r="D444" s="10" t="s">
        <v>55</v>
      </c>
      <c r="E444" s="11" t="b">
        <v>1</v>
      </c>
      <c r="F444" s="12">
        <v>45316</v>
      </c>
      <c r="G444" s="12">
        <v>45316.999999988424</v>
      </c>
      <c r="H444" s="13">
        <f>IF(F444="","",(Summary!$B$5-F444)/365.25)</f>
        <v>2.5215947743174398</v>
      </c>
      <c r="I444" s="14">
        <v>5.7299999999999999E-3</v>
      </c>
      <c r="J444" s="15">
        <v>-2.7160000000000004E-2</v>
      </c>
      <c r="K444" s="16">
        <v>20189445</v>
      </c>
      <c r="L444" s="16">
        <v>117189.78373</v>
      </c>
      <c r="M444" s="17">
        <v>1746</v>
      </c>
      <c r="N444" s="14">
        <v>5.7299999999999999E-3</v>
      </c>
      <c r="O444" s="14">
        <v>5.7400000000000003E-3</v>
      </c>
      <c r="P444" s="18">
        <f>IF(OR(N444="",O444="",N444=0,O444=0),"",(O444-N444)/((O444+N444)/2))</f>
        <v>1.7436791630340818E-3</v>
      </c>
      <c r="Q444" s="14">
        <v>5.8045099999999997E-3</v>
      </c>
      <c r="R444" s="14">
        <v>5.96E-3</v>
      </c>
      <c r="S444" s="14">
        <v>5.7099999999999998E-3</v>
      </c>
      <c r="T444" s="12">
        <v>46236.012388344905</v>
      </c>
      <c r="U444" s="12">
        <v>46237.012388344905</v>
      </c>
      <c r="V444" s="14">
        <v>5</v>
      </c>
      <c r="W444" s="14">
        <v>1</v>
      </c>
      <c r="X444" s="14">
        <v>1</v>
      </c>
      <c r="Y444" s="14">
        <v>1.0000000000000001E-5</v>
      </c>
      <c r="Z444" s="10" t="str">
        <f>IF(AND(D444="TRADING",I444&lt;&gt;"",L444&lt;&gt;"",M444&lt;&gt;"",N444&lt;&gt;"",O444&lt;&gt;""),"Yes","No")</f>
        <v>Yes</v>
      </c>
      <c r="AA444" s="10" t="s">
        <v>56</v>
      </c>
    </row>
    <row r="445" spans="1:27">
      <c r="A445" s="10" t="s">
        <v>696</v>
      </c>
      <c r="B445" s="10" t="s">
        <v>697</v>
      </c>
      <c r="C445" s="10" t="s">
        <v>12</v>
      </c>
      <c r="D445" s="10" t="s">
        <v>55</v>
      </c>
      <c r="E445" s="11" t="b">
        <v>1</v>
      </c>
      <c r="F445" s="12">
        <v>45322</v>
      </c>
      <c r="G445" s="12">
        <v>45322.999999988424</v>
      </c>
      <c r="H445" s="13">
        <f>IF(F445="","",(Summary!$B$5-F445)/365.25)</f>
        <v>2.5051676695946474</v>
      </c>
      <c r="I445" s="14">
        <v>0.1943</v>
      </c>
      <c r="J445" s="15">
        <v>3.0999999999999999E-3</v>
      </c>
      <c r="K445" s="16">
        <v>8417379.8000000007</v>
      </c>
      <c r="L445" s="16">
        <v>1650167.40074</v>
      </c>
      <c r="M445" s="17">
        <v>12352</v>
      </c>
      <c r="N445" s="14">
        <v>0.1943</v>
      </c>
      <c r="O445" s="14">
        <v>0.19439999999999999</v>
      </c>
      <c r="P445" s="18">
        <f>IF(OR(N445="",O445="",N445=0,O445=0),"",(O445-N445)/((O445+N445)/2))</f>
        <v>5.1453563159243113E-4</v>
      </c>
      <c r="Q445" s="14">
        <v>0.19604288</v>
      </c>
      <c r="R445" s="14">
        <v>0.19889999999999999</v>
      </c>
      <c r="S445" s="14">
        <v>0.19359999999999999</v>
      </c>
      <c r="T445" s="12">
        <v>46236.012476157404</v>
      </c>
      <c r="U445" s="12">
        <v>46237.012476157404</v>
      </c>
      <c r="V445" s="14">
        <v>5</v>
      </c>
      <c r="W445" s="14">
        <v>0.1</v>
      </c>
      <c r="X445" s="14">
        <v>0.1</v>
      </c>
      <c r="Y445" s="14">
        <v>1E-4</v>
      </c>
      <c r="Z445" s="10" t="str">
        <f>IF(AND(D445="TRADING",I445&lt;&gt;"",L445&lt;&gt;"",M445&lt;&gt;"",N445&lt;&gt;"",O445&lt;&gt;""),"Yes","No")</f>
        <v>Yes</v>
      </c>
      <c r="AA445" s="10" t="s">
        <v>56</v>
      </c>
    </row>
    <row r="446" spans="1:27">
      <c r="A446" s="10" t="s">
        <v>1022</v>
      </c>
      <c r="B446" s="10" t="s">
        <v>1023</v>
      </c>
      <c r="C446" s="10" t="s">
        <v>12</v>
      </c>
      <c r="D446" s="10" t="s">
        <v>55</v>
      </c>
      <c r="E446" s="11" t="b">
        <v>1</v>
      </c>
      <c r="F446" s="12">
        <v>45324</v>
      </c>
      <c r="G446" s="12">
        <v>45324.999999988424</v>
      </c>
      <c r="H446" s="13">
        <f>IF(F446="","",(Summary!$B$5-F446)/365.25)</f>
        <v>2.4996919680203833</v>
      </c>
      <c r="I446" s="14">
        <v>3.9210000000000002E-2</v>
      </c>
      <c r="J446" s="15">
        <v>3.5799999999999998E-3</v>
      </c>
      <c r="K446" s="16">
        <v>25501496.300000001</v>
      </c>
      <c r="L446" s="16">
        <v>1011745.31655</v>
      </c>
      <c r="M446" s="17">
        <v>16793</v>
      </c>
      <c r="N446" s="14">
        <v>3.9170000000000003E-2</v>
      </c>
      <c r="O446" s="14">
        <v>3.9199999999999999E-2</v>
      </c>
      <c r="P446" s="18">
        <f>IF(OR(N446="",O446="",N446=0,O446=0),"",(O446-N446)/((O446+N446)/2))</f>
        <v>7.6559908128098276E-4</v>
      </c>
      <c r="Q446" s="14">
        <v>3.9673960000000001E-2</v>
      </c>
      <c r="R446" s="14">
        <v>4.045E-2</v>
      </c>
      <c r="S446" s="14">
        <v>3.8780000000000002E-2</v>
      </c>
      <c r="T446" s="12">
        <v>46236.012480277779</v>
      </c>
      <c r="U446" s="12">
        <v>46237.012480277779</v>
      </c>
      <c r="V446" s="14">
        <v>5</v>
      </c>
      <c r="W446" s="14">
        <v>0.1</v>
      </c>
      <c r="X446" s="14">
        <v>0.1</v>
      </c>
      <c r="Y446" s="14">
        <v>1.0000000000000001E-5</v>
      </c>
      <c r="Z446" s="10" t="str">
        <f>IF(AND(D446="TRADING",I446&lt;&gt;"",L446&lt;&gt;"",M446&lt;&gt;"",N446&lt;&gt;"",O446&lt;&gt;""),"Yes","No")</f>
        <v>Yes</v>
      </c>
      <c r="AA446" s="10" t="s">
        <v>56</v>
      </c>
    </row>
    <row r="447" spans="1:27">
      <c r="A447" s="10" t="s">
        <v>1084</v>
      </c>
      <c r="B447" s="10" t="s">
        <v>1085</v>
      </c>
      <c r="C447" s="10" t="s">
        <v>12</v>
      </c>
      <c r="D447" s="10" t="s">
        <v>55</v>
      </c>
      <c r="E447" s="11" t="b">
        <v>1</v>
      </c>
      <c r="F447" s="12">
        <v>45327</v>
      </c>
      <c r="G447" s="12">
        <v>45327.999999988424</v>
      </c>
      <c r="H447" s="13">
        <f>IF(F447="","",(Summary!$B$5-F447)/365.25)</f>
        <v>2.4914784156589871</v>
      </c>
      <c r="I447" s="14">
        <v>4.8300000000000003E-2</v>
      </c>
      <c r="J447" s="15">
        <v>-1.2270000000000001E-2</v>
      </c>
      <c r="K447" s="16">
        <v>2272689.3199999998</v>
      </c>
      <c r="L447" s="16">
        <v>110212.75624</v>
      </c>
      <c r="M447" s="17">
        <v>2738</v>
      </c>
      <c r="N447" s="14">
        <v>4.82E-2</v>
      </c>
      <c r="O447" s="14">
        <v>4.8300000000000003E-2</v>
      </c>
      <c r="P447" s="18">
        <f>IF(OR(N447="",O447="",N447=0,O447=0),"",(O447-N447)/((O447+N447)/2))</f>
        <v>2.0725388601036863E-3</v>
      </c>
      <c r="Q447" s="14">
        <v>4.8494420000000003E-2</v>
      </c>
      <c r="R447" s="14">
        <v>4.9299999999999997E-2</v>
      </c>
      <c r="S447" s="14">
        <v>4.7600000000000003E-2</v>
      </c>
      <c r="T447" s="12">
        <v>46236.011183680559</v>
      </c>
      <c r="U447" s="12">
        <v>46237.011183680559</v>
      </c>
      <c r="V447" s="14">
        <v>5</v>
      </c>
      <c r="W447" s="14">
        <v>0.01</v>
      </c>
      <c r="X447" s="14">
        <v>0.01</v>
      </c>
      <c r="Y447" s="14">
        <v>1E-4</v>
      </c>
      <c r="Z447" s="10" t="str">
        <f>IF(AND(D447="TRADING",I447&lt;&gt;"",L447&lt;&gt;"",M447&lt;&gt;"",N447&lt;&gt;"",O447&lt;&gt;""),"Yes","No")</f>
        <v>Yes</v>
      </c>
      <c r="AA447" s="10" t="s">
        <v>56</v>
      </c>
    </row>
    <row r="448" spans="1:27">
      <c r="A448" s="10" t="s">
        <v>459</v>
      </c>
      <c r="B448" s="10" t="s">
        <v>460</v>
      </c>
      <c r="C448" s="10" t="s">
        <v>12</v>
      </c>
      <c r="D448" s="10" t="s">
        <v>55</v>
      </c>
      <c r="E448" s="11" t="b">
        <v>1</v>
      </c>
      <c r="F448" s="12">
        <v>45328</v>
      </c>
      <c r="G448" s="12">
        <v>45328.999999988424</v>
      </c>
      <c r="H448" s="13">
        <f>IF(F448="","",(Summary!$B$5-F448)/365.25)</f>
        <v>2.4887405648718546</v>
      </c>
      <c r="I448" s="14">
        <v>1.319E-2</v>
      </c>
      <c r="J448" s="15">
        <v>5.3400000000000001E-3</v>
      </c>
      <c r="K448" s="16">
        <v>5816414.9000000004</v>
      </c>
      <c r="L448" s="16">
        <v>76801.686665000001</v>
      </c>
      <c r="M448" s="17">
        <v>1403</v>
      </c>
      <c r="N448" s="14">
        <v>1.3180000000000001E-2</v>
      </c>
      <c r="O448" s="14">
        <v>1.319E-2</v>
      </c>
      <c r="P448" s="18">
        <f>IF(OR(N448="",O448="",N448=0,O448=0),"",(O448-N448)/((O448+N448)/2))</f>
        <v>7.5843761850584695E-4</v>
      </c>
      <c r="Q448" s="14">
        <v>1.32043E-2</v>
      </c>
      <c r="R448" s="14">
        <v>1.342E-2</v>
      </c>
      <c r="S448" s="14">
        <v>1.3089999999999999E-2</v>
      </c>
      <c r="T448" s="12">
        <v>46236.011931319445</v>
      </c>
      <c r="U448" s="12">
        <v>46237.011931319445</v>
      </c>
      <c r="V448" s="14">
        <v>5</v>
      </c>
      <c r="W448" s="14">
        <v>0.1</v>
      </c>
      <c r="X448" s="14">
        <v>0.1</v>
      </c>
      <c r="Y448" s="14">
        <v>1.0000000000000001E-5</v>
      </c>
      <c r="Z448" s="10" t="str">
        <f>IF(AND(D448="TRADING",I448&lt;&gt;"",L448&lt;&gt;"",M448&lt;&gt;"",N448&lt;&gt;"",O448&lt;&gt;""),"Yes","No")</f>
        <v>Yes</v>
      </c>
      <c r="AA448" s="10" t="s">
        <v>56</v>
      </c>
    </row>
    <row r="449" spans="1:27">
      <c r="A449" s="10" t="s">
        <v>978</v>
      </c>
      <c r="B449" s="10" t="s">
        <v>979</v>
      </c>
      <c r="C449" s="10" t="s">
        <v>12</v>
      </c>
      <c r="D449" s="10" t="s">
        <v>55</v>
      </c>
      <c r="E449" s="11" t="b">
        <v>1</v>
      </c>
      <c r="F449" s="12">
        <v>45341</v>
      </c>
      <c r="G449" s="12">
        <v>45341.999999988424</v>
      </c>
      <c r="H449" s="13">
        <f>IF(F449="","",(Summary!$B$5-F449)/365.25)</f>
        <v>2.4531485046391373</v>
      </c>
      <c r="I449" s="14">
        <v>4.0800000000000003E-3</v>
      </c>
      <c r="J449" s="15">
        <v>0.02</v>
      </c>
      <c r="K449" s="16">
        <v>83927525.900000006</v>
      </c>
      <c r="L449" s="16">
        <v>338559.01836099999</v>
      </c>
      <c r="M449" s="17">
        <v>5778</v>
      </c>
      <c r="N449" s="14">
        <v>4.0699999999999998E-3</v>
      </c>
      <c r="O449" s="14">
        <v>4.0800000000000003E-3</v>
      </c>
      <c r="P449" s="18">
        <f>IF(OR(N449="",O449="",N449=0,O449=0),"",(O449-N449)/((O449+N449)/2))</f>
        <v>2.4539877300614622E-3</v>
      </c>
      <c r="Q449" s="14">
        <v>4.0339399999999997E-3</v>
      </c>
      <c r="R449" s="14">
        <v>4.1599999999999996E-3</v>
      </c>
      <c r="S449" s="14">
        <v>3.9199999999999999E-3</v>
      </c>
      <c r="T449" s="12">
        <v>46236.012226747684</v>
      </c>
      <c r="U449" s="12">
        <v>46237.012226747684</v>
      </c>
      <c r="V449" s="14">
        <v>5</v>
      </c>
      <c r="W449" s="14">
        <v>0.1</v>
      </c>
      <c r="X449" s="14">
        <v>0.1</v>
      </c>
      <c r="Y449" s="14">
        <v>1.0000000000000001E-5</v>
      </c>
      <c r="Z449" s="10" t="str">
        <f>IF(AND(D449="TRADING",I449&lt;&gt;"",L449&lt;&gt;"",M449&lt;&gt;"",N449&lt;&gt;"",O449&lt;&gt;""),"Yes","No")</f>
        <v>Yes</v>
      </c>
      <c r="AA449" s="10" t="s">
        <v>56</v>
      </c>
    </row>
    <row r="450" spans="1:27">
      <c r="A450" s="10" t="s">
        <v>1185</v>
      </c>
      <c r="B450" s="10" t="s">
        <v>1186</v>
      </c>
      <c r="C450" s="10" t="s">
        <v>12</v>
      </c>
      <c r="D450" s="10" t="s">
        <v>55</v>
      </c>
      <c r="E450" s="11" t="b">
        <v>1</v>
      </c>
      <c r="F450" s="12">
        <v>45342</v>
      </c>
      <c r="G450" s="12">
        <v>45342.999999988424</v>
      </c>
      <c r="H450" s="13">
        <f>IF(F450="","",(Summary!$B$5-F450)/365.25)</f>
        <v>2.4504106538520052</v>
      </c>
      <c r="I450" s="14">
        <v>2.5590000000000002E-2</v>
      </c>
      <c r="J450" s="15">
        <v>5.8310000000000001E-2</v>
      </c>
      <c r="K450" s="16">
        <v>60524056.289999999</v>
      </c>
      <c r="L450" s="16">
        <v>1507519.2185763</v>
      </c>
      <c r="M450" s="17">
        <v>19791</v>
      </c>
      <c r="N450" s="14">
        <v>2.5590000000000002E-2</v>
      </c>
      <c r="O450" s="14">
        <v>2.5600000000000001E-2</v>
      </c>
      <c r="P450" s="18">
        <f>IF(OR(N450="",O450="",N450=0,O450=0),"",(O450-N450)/((O450+N450)/2))</f>
        <v>3.9070130884936874E-4</v>
      </c>
      <c r="Q450" s="14">
        <v>2.4907769999999999E-2</v>
      </c>
      <c r="R450" s="14">
        <v>2.6079999999999999E-2</v>
      </c>
      <c r="S450" s="14">
        <v>2.3939999999999999E-2</v>
      </c>
      <c r="T450" s="12">
        <v>46236.012447789355</v>
      </c>
      <c r="U450" s="12">
        <v>46237.012447789355</v>
      </c>
      <c r="V450" s="14">
        <v>5</v>
      </c>
      <c r="W450" s="14">
        <v>0.01</v>
      </c>
      <c r="X450" s="14">
        <v>0.01</v>
      </c>
      <c r="Y450" s="14">
        <v>1.0000000000000001E-5</v>
      </c>
      <c r="Z450" s="10" t="str">
        <f>IF(AND(D450="TRADING",I450&lt;&gt;"",L450&lt;&gt;"",M450&lt;&gt;"",N450&lt;&gt;"",O450&lt;&gt;""),"Yes","No")</f>
        <v>Yes</v>
      </c>
      <c r="AA450" s="10" t="s">
        <v>56</v>
      </c>
    </row>
    <row r="451" spans="1:27">
      <c r="A451" s="10" t="s">
        <v>1000</v>
      </c>
      <c r="B451" s="10" t="s">
        <v>1001</v>
      </c>
      <c r="C451" s="10" t="s">
        <v>12</v>
      </c>
      <c r="D451" s="10" t="s">
        <v>55</v>
      </c>
      <c r="E451" s="11" t="b">
        <v>1</v>
      </c>
      <c r="F451" s="12">
        <v>45351</v>
      </c>
      <c r="G451" s="12">
        <v>45351.999999988424</v>
      </c>
      <c r="H451" s="13">
        <f>IF(F451="","",(Summary!$B$5-F451)/365.25)</f>
        <v>2.4257699967678166</v>
      </c>
      <c r="I451" s="14">
        <v>1.043E-2</v>
      </c>
      <c r="J451" s="15">
        <v>6.2119999999999995E-2</v>
      </c>
      <c r="K451" s="16">
        <v>389346921.5</v>
      </c>
      <c r="L451" s="16">
        <v>4284095.2590190005</v>
      </c>
      <c r="M451" s="17">
        <v>83110</v>
      </c>
      <c r="N451" s="14">
        <v>1.043E-2</v>
      </c>
      <c r="O451" s="14">
        <v>1.044E-2</v>
      </c>
      <c r="P451" s="18">
        <f>IF(OR(N451="",O451="",N451=0,O451=0),"",(O451-N451)/((O451+N451)/2))</f>
        <v>9.5831336847145118E-4</v>
      </c>
      <c r="Q451" s="14">
        <v>1.1003290000000001E-2</v>
      </c>
      <c r="R451" s="14">
        <v>1.196E-2</v>
      </c>
      <c r="S451" s="14">
        <v>9.7800000000000005E-3</v>
      </c>
      <c r="T451" s="12">
        <v>46236.012470648151</v>
      </c>
      <c r="U451" s="12">
        <v>46237.012470648151</v>
      </c>
      <c r="V451" s="14">
        <v>5</v>
      </c>
      <c r="W451" s="14">
        <v>0.1</v>
      </c>
      <c r="X451" s="14">
        <v>0.1</v>
      </c>
      <c r="Y451" s="14">
        <v>1.0000000000000001E-5</v>
      </c>
      <c r="Z451" s="10" t="str">
        <f>IF(AND(D451="TRADING",I451&lt;&gt;"",L451&lt;&gt;"",M451&lt;&gt;"",N451&lt;&gt;"",O451&lt;&gt;""),"Yes","No")</f>
        <v>Yes</v>
      </c>
      <c r="AA451" s="10" t="s">
        <v>56</v>
      </c>
    </row>
    <row r="452" spans="1:27">
      <c r="A452" s="10" t="s">
        <v>221</v>
      </c>
      <c r="B452" s="10" t="s">
        <v>222</v>
      </c>
      <c r="C452" s="10" t="s">
        <v>12</v>
      </c>
      <c r="D452" s="10" t="s">
        <v>55</v>
      </c>
      <c r="E452" s="11" t="b">
        <v>1</v>
      </c>
      <c r="F452" s="12">
        <v>45352</v>
      </c>
      <c r="G452" s="12">
        <v>45352.999999988424</v>
      </c>
      <c r="H452" s="13">
        <f>IF(F452="","",(Summary!$B$5-F452)/365.25)</f>
        <v>2.4230321459806845</v>
      </c>
      <c r="I452" s="14">
        <v>3.6600000000000001E-2</v>
      </c>
      <c r="J452" s="15">
        <v>-2.7200000000000002E-3</v>
      </c>
      <c r="K452" s="16">
        <v>4630726.67</v>
      </c>
      <c r="L452" s="16">
        <v>169110.854265</v>
      </c>
      <c r="M452" s="17">
        <v>2863</v>
      </c>
      <c r="N452" s="14">
        <v>3.6499999999999998E-2</v>
      </c>
      <c r="O452" s="14">
        <v>3.6600000000000001E-2</v>
      </c>
      <c r="P452" s="18">
        <f>IF(OR(N452="",O452="",N452=0,O452=0),"",(O452-N452)/((O452+N452)/2))</f>
        <v>2.7359781121751811E-3</v>
      </c>
      <c r="Q452" s="14">
        <v>3.6519290000000003E-2</v>
      </c>
      <c r="R452" s="14">
        <v>3.7499999999999999E-2</v>
      </c>
      <c r="S452" s="14">
        <v>3.5999999999999997E-2</v>
      </c>
      <c r="T452" s="12">
        <v>46236.012257106479</v>
      </c>
      <c r="U452" s="12">
        <v>46237.012257106479</v>
      </c>
      <c r="V452" s="14">
        <v>5</v>
      </c>
      <c r="W452" s="14">
        <v>0.01</v>
      </c>
      <c r="X452" s="14">
        <v>0.01</v>
      </c>
      <c r="Y452" s="14">
        <v>1E-4</v>
      </c>
      <c r="Z452" s="10" t="str">
        <f>IF(AND(D452="TRADING",I452&lt;&gt;"",L452&lt;&gt;"",M452&lt;&gt;"",N452&lt;&gt;"",O452&lt;&gt;""),"Yes","No")</f>
        <v>Yes</v>
      </c>
      <c r="AA452" s="10" t="s">
        <v>56</v>
      </c>
    </row>
    <row r="453" spans="1:27">
      <c r="A453" s="10" t="s">
        <v>958</v>
      </c>
      <c r="B453" s="10" t="s">
        <v>959</v>
      </c>
      <c r="C453" s="10" t="s">
        <v>12</v>
      </c>
      <c r="D453" s="10" t="s">
        <v>84</v>
      </c>
      <c r="E453" s="11" t="b">
        <v>1</v>
      </c>
      <c r="F453" s="12">
        <v>45352</v>
      </c>
      <c r="G453" s="12">
        <v>45352.999999988424</v>
      </c>
      <c r="H453" s="13">
        <f>IF(F453="","",(Summary!$B$5-F453)/365.25)</f>
        <v>2.4230321459806845</v>
      </c>
      <c r="I453" s="14">
        <v>9.7699999999999992E-3</v>
      </c>
      <c r="J453" s="15">
        <v>-5.7859999999999995E-2</v>
      </c>
      <c r="K453" s="16">
        <v>52449576.299999997</v>
      </c>
      <c r="L453" s="16">
        <v>533148.08612200001</v>
      </c>
      <c r="M453" s="17">
        <v>4001</v>
      </c>
      <c r="N453" s="14">
        <v>0</v>
      </c>
      <c r="O453" s="14">
        <v>0</v>
      </c>
      <c r="P453" s="18" t="str">
        <f>IF(OR(N453="",O453="",N453=0,O453=0),"",(O453-N453)/((O453+N453)/2))</f>
        <v/>
      </c>
      <c r="Q453" s="14">
        <v>1.0164960000000001E-2</v>
      </c>
      <c r="R453" s="14">
        <v>1.18E-2</v>
      </c>
      <c r="S453" s="14">
        <v>8.5000000000000006E-3</v>
      </c>
      <c r="T453" s="12">
        <v>46209.261123090277</v>
      </c>
      <c r="U453" s="12">
        <v>46210.261123090277</v>
      </c>
      <c r="V453" s="14">
        <v>5</v>
      </c>
      <c r="W453" s="14">
        <v>0.1</v>
      </c>
      <c r="X453" s="14">
        <v>0.1</v>
      </c>
      <c r="Y453" s="14">
        <v>1.0000000000000001E-5</v>
      </c>
      <c r="Z453" s="10" t="str">
        <f>IF(AND(D453="TRADING",I453&lt;&gt;"",L453&lt;&gt;"",M453&lt;&gt;"",N453&lt;&gt;"",O453&lt;&gt;""),"Yes","No")</f>
        <v>No</v>
      </c>
      <c r="AA453" s="10" t="s">
        <v>56</v>
      </c>
    </row>
    <row r="454" spans="1:27">
      <c r="A454" s="10" t="s">
        <v>1345</v>
      </c>
      <c r="B454" s="10" t="s">
        <v>1346</v>
      </c>
      <c r="C454" s="10" t="s">
        <v>12</v>
      </c>
      <c r="D454" s="10" t="s">
        <v>55</v>
      </c>
      <c r="E454" s="11" t="b">
        <v>1</v>
      </c>
      <c r="F454" s="12">
        <v>45356</v>
      </c>
      <c r="G454" s="12">
        <v>45356.999999988424</v>
      </c>
      <c r="H454" s="13">
        <f>IF(F454="","",(Summary!$B$5-F454)/365.25)</f>
        <v>2.4120807428321558</v>
      </c>
      <c r="I454" s="14">
        <v>0.13869999999999999</v>
      </c>
      <c r="J454" s="15">
        <v>1.985E-2</v>
      </c>
      <c r="K454" s="16">
        <v>6240726.9500000002</v>
      </c>
      <c r="L454" s="16">
        <v>872326.47492399998</v>
      </c>
      <c r="M454" s="17">
        <v>17671</v>
      </c>
      <c r="N454" s="14">
        <v>0.13869999999999999</v>
      </c>
      <c r="O454" s="14">
        <v>0.13880000000000001</v>
      </c>
      <c r="P454" s="18">
        <f>IF(OR(N454="",O454="",N454=0,O454=0),"",(O454-N454)/((O454+N454)/2))</f>
        <v>7.2072072072084151E-4</v>
      </c>
      <c r="Q454" s="14">
        <v>0.13977962999999999</v>
      </c>
      <c r="R454" s="14">
        <v>0.14299999999999999</v>
      </c>
      <c r="S454" s="14">
        <v>0.13569999999999999</v>
      </c>
      <c r="T454" s="12">
        <v>46236.01247710648</v>
      </c>
      <c r="U454" s="12">
        <v>46237.01247710648</v>
      </c>
      <c r="V454" s="14">
        <v>1</v>
      </c>
      <c r="W454" s="14">
        <v>0.01</v>
      </c>
      <c r="X454" s="14">
        <v>0.01</v>
      </c>
      <c r="Y454" s="14">
        <v>1E-4</v>
      </c>
      <c r="Z454" s="10" t="str">
        <f>IF(AND(D454="TRADING",I454&lt;&gt;"",L454&lt;&gt;"",M454&lt;&gt;"",N454&lt;&gt;"",O454&lt;&gt;""),"Yes","No")</f>
        <v>Yes</v>
      </c>
      <c r="AA454" s="10" t="s">
        <v>56</v>
      </c>
    </row>
    <row r="455" spans="1:27">
      <c r="A455" s="10" t="s">
        <v>812</v>
      </c>
      <c r="B455" s="10" t="s">
        <v>813</v>
      </c>
      <c r="C455" s="10" t="s">
        <v>12</v>
      </c>
      <c r="D455" s="10" t="s">
        <v>55</v>
      </c>
      <c r="E455" s="11" t="b">
        <v>1</v>
      </c>
      <c r="F455" s="12">
        <v>45362</v>
      </c>
      <c r="G455" s="12">
        <v>45362.999999988424</v>
      </c>
      <c r="H455" s="13">
        <f>IF(F455="","",(Summary!$B$5-F455)/365.25)</f>
        <v>2.3956536381093634</v>
      </c>
      <c r="I455" s="14">
        <v>2.48</v>
      </c>
      <c r="J455" s="15">
        <v>4.0500000000000006E-3</v>
      </c>
      <c r="K455" s="16">
        <v>29908.933000000001</v>
      </c>
      <c r="L455" s="16">
        <v>74468.416140000001</v>
      </c>
      <c r="M455" s="17">
        <v>1401</v>
      </c>
      <c r="N455" s="14">
        <v>2.4700000000000002</v>
      </c>
      <c r="O455" s="14">
        <v>2.48</v>
      </c>
      <c r="P455" s="18">
        <f>IF(OR(N455="",O455="",N455=0,O455=0),"",(O455-N455)/((O455+N455)/2))</f>
        <v>4.0404040404039545E-3</v>
      </c>
      <c r="Q455" s="14">
        <v>2.4898386100000001</v>
      </c>
      <c r="R455" s="14">
        <v>2.52</v>
      </c>
      <c r="S455" s="14">
        <v>2.46</v>
      </c>
      <c r="T455" s="12">
        <v>46236.012354409722</v>
      </c>
      <c r="U455" s="12">
        <v>46237.012354409722</v>
      </c>
      <c r="V455" s="14">
        <v>5</v>
      </c>
      <c r="W455" s="14">
        <v>1E-3</v>
      </c>
      <c r="X455" s="14">
        <v>1E-3</v>
      </c>
      <c r="Y455" s="14">
        <v>0.01</v>
      </c>
      <c r="Z455" s="10" t="str">
        <f>IF(AND(D455="TRADING",I455&lt;&gt;"",L455&lt;&gt;"",M455&lt;&gt;"",N455&lt;&gt;"",O455&lt;&gt;""),"Yes","No")</f>
        <v>Yes</v>
      </c>
      <c r="AA455" s="10" t="s">
        <v>56</v>
      </c>
    </row>
    <row r="456" spans="1:27">
      <c r="A456" s="10" t="s">
        <v>113</v>
      </c>
      <c r="B456" s="10" t="s">
        <v>114</v>
      </c>
      <c r="C456" s="10" t="s">
        <v>12</v>
      </c>
      <c r="D456" s="10" t="s">
        <v>55</v>
      </c>
      <c r="E456" s="11" t="b">
        <v>1</v>
      </c>
      <c r="F456" s="12">
        <v>45364</v>
      </c>
      <c r="G456" s="12">
        <v>45364.999999988424</v>
      </c>
      <c r="H456" s="13">
        <f>IF(F456="","",(Summary!$B$5-F456)/365.25)</f>
        <v>2.3901779365350992</v>
      </c>
      <c r="I456" s="14">
        <v>1.9130000000000001E-2</v>
      </c>
      <c r="J456" s="15">
        <v>-7.5399999999999995E-2</v>
      </c>
      <c r="K456" s="16">
        <v>72999949.560000002</v>
      </c>
      <c r="L456" s="16">
        <v>1461284.604052</v>
      </c>
      <c r="M456" s="17">
        <v>23055</v>
      </c>
      <c r="N456" s="14">
        <v>1.9130000000000001E-2</v>
      </c>
      <c r="O456" s="14">
        <v>1.915E-2</v>
      </c>
      <c r="P456" s="18">
        <f>IF(OR(N456="",O456="",N456=0,O456=0),"",(O456-N456)/((O456+N456)/2))</f>
        <v>1.0449320794147954E-3</v>
      </c>
      <c r="Q456" s="14">
        <v>2.0017610000000002E-2</v>
      </c>
      <c r="R456" s="14">
        <v>2.1569999999999999E-2</v>
      </c>
      <c r="S456" s="14">
        <v>1.89E-2</v>
      </c>
      <c r="T456" s="12">
        <v>46236.012413877317</v>
      </c>
      <c r="U456" s="12">
        <v>46237.012413877317</v>
      </c>
      <c r="V456" s="14">
        <v>5</v>
      </c>
      <c r="W456" s="14">
        <v>0.01</v>
      </c>
      <c r="X456" s="14">
        <v>0.01</v>
      </c>
      <c r="Y456" s="14">
        <v>1.0000000000000001E-5</v>
      </c>
      <c r="Z456" s="10" t="str">
        <f>IF(AND(D456="TRADING",I456&lt;&gt;"",L456&lt;&gt;"",M456&lt;&gt;"",N456&lt;&gt;"",O456&lt;&gt;""),"Yes","No")</f>
        <v>Yes</v>
      </c>
      <c r="AA456" s="10" t="s">
        <v>56</v>
      </c>
    </row>
    <row r="457" spans="1:27">
      <c r="A457" s="10" t="s">
        <v>306</v>
      </c>
      <c r="B457" s="10" t="s">
        <v>307</v>
      </c>
      <c r="C457" s="10" t="s">
        <v>12</v>
      </c>
      <c r="D457" s="10" t="s">
        <v>55</v>
      </c>
      <c r="E457" s="11" t="b">
        <v>1</v>
      </c>
      <c r="F457" s="12">
        <v>45367</v>
      </c>
      <c r="G457" s="12">
        <v>45367.999999988424</v>
      </c>
      <c r="H457" s="13">
        <f>IF(F457="","",(Summary!$B$5-F457)/365.25)</f>
        <v>2.381964384173703</v>
      </c>
      <c r="I457" s="14">
        <v>5.9389999999999996E-4</v>
      </c>
      <c r="J457" s="15">
        <v>5.5259999999999997E-2</v>
      </c>
      <c r="K457" s="16">
        <v>3007367502</v>
      </c>
      <c r="L457" s="16">
        <v>1835905.4051389</v>
      </c>
      <c r="M457" s="17">
        <v>75666</v>
      </c>
      <c r="N457" s="14">
        <v>5.9369999999999996E-4</v>
      </c>
      <c r="O457" s="14">
        <v>5.9400000000000002E-4</v>
      </c>
      <c r="P457" s="18">
        <f>IF(OR(N457="",O457="",N457=0,O457=0),"",(O457-N457)/((O457+N457)/2))</f>
        <v>5.051780752716368E-4</v>
      </c>
      <c r="Q457" s="14">
        <v>6.1047E-4</v>
      </c>
      <c r="R457" s="14">
        <v>6.3900000000000003E-4</v>
      </c>
      <c r="S457" s="14">
        <v>5.5999999999999995E-4</v>
      </c>
      <c r="T457" s="12">
        <v>46236.012373194448</v>
      </c>
      <c r="U457" s="12">
        <v>46237.012373194448</v>
      </c>
      <c r="V457" s="14">
        <v>1</v>
      </c>
      <c r="W457" s="14">
        <v>1</v>
      </c>
      <c r="X457" s="14">
        <v>1</v>
      </c>
      <c r="Y457" s="14">
        <v>9.9999999999999995E-8</v>
      </c>
      <c r="Z457" s="10" t="str">
        <f>IF(AND(D457="TRADING",I457&lt;&gt;"",L457&lt;&gt;"",M457&lt;&gt;"",N457&lt;&gt;"",O457&lt;&gt;""),"Yes","No")</f>
        <v>Yes</v>
      </c>
      <c r="AA457" s="10" t="s">
        <v>56</v>
      </c>
    </row>
    <row r="458" spans="1:27">
      <c r="A458" s="10" t="s">
        <v>505</v>
      </c>
      <c r="B458" s="10" t="s">
        <v>506</v>
      </c>
      <c r="C458" s="10" t="s">
        <v>12</v>
      </c>
      <c r="D458" s="10" t="s">
        <v>55</v>
      </c>
      <c r="E458" s="11" t="b">
        <v>1</v>
      </c>
      <c r="F458" s="12">
        <v>45369</v>
      </c>
      <c r="G458" s="12">
        <v>45369.999999988424</v>
      </c>
      <c r="H458" s="13">
        <f>IF(F458="","",(Summary!$B$5-F458)/365.25)</f>
        <v>2.3764886825994385</v>
      </c>
      <c r="I458" s="14">
        <v>0.39760000000000001</v>
      </c>
      <c r="J458" s="15">
        <v>-2.5100000000000001E-3</v>
      </c>
      <c r="K458" s="16">
        <v>4018515.3</v>
      </c>
      <c r="L458" s="16">
        <v>1626153.5574399999</v>
      </c>
      <c r="M458" s="17">
        <v>24833</v>
      </c>
      <c r="N458" s="14">
        <v>0.39750000000000002</v>
      </c>
      <c r="O458" s="14">
        <v>0.39760000000000001</v>
      </c>
      <c r="P458" s="18">
        <f>IF(OR(N458="",O458="",N458=0,O458=0),"",(O458-N458)/((O458+N458)/2))</f>
        <v>2.5154068670604697E-4</v>
      </c>
      <c r="Q458" s="14">
        <v>0.40466526000000003</v>
      </c>
      <c r="R458" s="14">
        <v>0.41460000000000002</v>
      </c>
      <c r="S458" s="14">
        <v>0.39589999999999997</v>
      </c>
      <c r="T458" s="12">
        <v>46236.012466168984</v>
      </c>
      <c r="U458" s="12">
        <v>46237.012466168984</v>
      </c>
      <c r="V458" s="14">
        <v>5</v>
      </c>
      <c r="W458" s="14">
        <v>0.1</v>
      </c>
      <c r="X458" s="14">
        <v>0.1</v>
      </c>
      <c r="Y458" s="14">
        <v>1E-4</v>
      </c>
      <c r="Z458" s="10" t="str">
        <f>IF(AND(D458="TRADING",I458&lt;&gt;"",L458&lt;&gt;"",M458&lt;&gt;"",N458&lt;&gt;"",O458&lt;&gt;""),"Yes","No")</f>
        <v>Yes</v>
      </c>
      <c r="AA458" s="10" t="s">
        <v>56</v>
      </c>
    </row>
    <row r="459" spans="1:27">
      <c r="A459" s="10" t="s">
        <v>471</v>
      </c>
      <c r="B459" s="10" t="s">
        <v>472</v>
      </c>
      <c r="C459" s="10" t="s">
        <v>12</v>
      </c>
      <c r="D459" s="10" t="s">
        <v>55</v>
      </c>
      <c r="E459" s="11" t="b">
        <v>1</v>
      </c>
      <c r="F459" s="12">
        <v>45384</v>
      </c>
      <c r="G459" s="12">
        <v>45384.999999988424</v>
      </c>
      <c r="H459" s="13">
        <f>IF(F459="","",(Summary!$B$5-F459)/365.25)</f>
        <v>2.335420920792457</v>
      </c>
      <c r="I459" s="14">
        <v>8.9200000000000002E-2</v>
      </c>
      <c r="J459" s="15">
        <v>0.1192</v>
      </c>
      <c r="K459" s="16">
        <v>224608874.22</v>
      </c>
      <c r="L459" s="16">
        <v>19651927.288601</v>
      </c>
      <c r="M459" s="17">
        <v>85002</v>
      </c>
      <c r="N459" s="14">
        <v>8.9099999999999999E-2</v>
      </c>
      <c r="O459" s="14">
        <v>8.9200000000000002E-2</v>
      </c>
      <c r="P459" s="18">
        <f>IF(OR(N459="",O459="",N459=0,O459=0),"",(O459-N459)/((O459+N459)/2))</f>
        <v>1.1217049915872447E-3</v>
      </c>
      <c r="Q459" s="14">
        <v>8.7493989999999994E-2</v>
      </c>
      <c r="R459" s="14">
        <v>9.0399999999999994E-2</v>
      </c>
      <c r="S459" s="14">
        <v>7.9500000000000001E-2</v>
      </c>
      <c r="T459" s="12">
        <v>46236.012482951388</v>
      </c>
      <c r="U459" s="12">
        <v>46237.012482951388</v>
      </c>
      <c r="V459" s="14">
        <v>5</v>
      </c>
      <c r="W459" s="14">
        <v>0.01</v>
      </c>
      <c r="X459" s="14">
        <v>0.01</v>
      </c>
      <c r="Y459" s="14">
        <v>1E-4</v>
      </c>
      <c r="Z459" s="10" t="str">
        <f>IF(AND(D459="TRADING",I459&lt;&gt;"",L459&lt;&gt;"",M459&lt;&gt;"",N459&lt;&gt;"",O459&lt;&gt;""),"Yes","No")</f>
        <v>Yes</v>
      </c>
      <c r="AA459" s="10" t="s">
        <v>56</v>
      </c>
    </row>
    <row r="460" spans="1:27">
      <c r="A460" s="10" t="s">
        <v>1363</v>
      </c>
      <c r="B460" s="10" t="s">
        <v>1364</v>
      </c>
      <c r="C460" s="10" t="s">
        <v>12</v>
      </c>
      <c r="D460" s="10" t="s">
        <v>55</v>
      </c>
      <c r="E460" s="11" t="b">
        <v>1</v>
      </c>
      <c r="F460" s="12">
        <v>45385</v>
      </c>
      <c r="G460" s="12">
        <v>45385.999999988424</v>
      </c>
      <c r="H460" s="13">
        <f>IF(F460="","",(Summary!$B$5-F460)/365.25)</f>
        <v>2.3326830700053249</v>
      </c>
      <c r="I460" s="14">
        <v>8.1700000000000002E-3</v>
      </c>
      <c r="J460" s="15">
        <v>2.3809999999999998E-2</v>
      </c>
      <c r="K460" s="16">
        <v>44416599.299999997</v>
      </c>
      <c r="L460" s="16">
        <v>362375.54130699998</v>
      </c>
      <c r="M460" s="17">
        <v>3612</v>
      </c>
      <c r="N460" s="14">
        <v>8.1600000000000006E-3</v>
      </c>
      <c r="O460" s="14">
        <v>8.1700000000000002E-3</v>
      </c>
      <c r="P460" s="18">
        <f>IF(OR(N460="",O460="",N460=0,O460=0),"",(O460-N460)/((O460+N460)/2))</f>
        <v>1.2247397428046041E-3</v>
      </c>
      <c r="Q460" s="14">
        <v>8.1585600000000005E-3</v>
      </c>
      <c r="R460" s="14">
        <v>8.26E-3</v>
      </c>
      <c r="S460" s="14">
        <v>7.9699999999999997E-3</v>
      </c>
      <c r="T460" s="12">
        <v>46236.01175380787</v>
      </c>
      <c r="U460" s="12">
        <v>46237.01175380787</v>
      </c>
      <c r="V460" s="14">
        <v>5</v>
      </c>
      <c r="W460" s="14">
        <v>0.1</v>
      </c>
      <c r="X460" s="14">
        <v>0.1</v>
      </c>
      <c r="Y460" s="14">
        <v>1.0000000000000001E-5</v>
      </c>
      <c r="Z460" s="10" t="str">
        <f>IF(AND(D460="TRADING",I460&lt;&gt;"",L460&lt;&gt;"",M460&lt;&gt;"",N460&lt;&gt;"",O460&lt;&gt;""),"Yes","No")</f>
        <v>Yes</v>
      </c>
      <c r="AA460" s="10" t="s">
        <v>56</v>
      </c>
    </row>
    <row r="461" spans="1:27">
      <c r="A461" s="10" t="s">
        <v>1227</v>
      </c>
      <c r="B461" s="10" t="s">
        <v>1228</v>
      </c>
      <c r="C461" s="10" t="s">
        <v>12</v>
      </c>
      <c r="D461" s="10" t="s">
        <v>55</v>
      </c>
      <c r="E461" s="11" t="b">
        <v>1</v>
      </c>
      <c r="F461" s="12">
        <v>45390</v>
      </c>
      <c r="G461" s="12">
        <v>45390.999999988424</v>
      </c>
      <c r="H461" s="13">
        <f>IF(F461="","",(Summary!$B$5-F461)/365.25)</f>
        <v>2.3189938160696646</v>
      </c>
      <c r="I461" s="14">
        <v>2.9700000000000001E-2</v>
      </c>
      <c r="J461" s="15">
        <v>-0.01</v>
      </c>
      <c r="K461" s="16">
        <v>8096341.0999999996</v>
      </c>
      <c r="L461" s="16">
        <v>241507.95077</v>
      </c>
      <c r="M461" s="17">
        <v>2845</v>
      </c>
      <c r="N461" s="14">
        <v>2.9700000000000001E-2</v>
      </c>
      <c r="O461" s="14">
        <v>2.98E-2</v>
      </c>
      <c r="P461" s="18">
        <f>IF(OR(N461="",O461="",N461=0,O461=0),"",(O461-N461)/((O461+N461)/2))</f>
        <v>3.3613445378151059E-3</v>
      </c>
      <c r="Q461" s="14">
        <v>2.9829270000000001E-2</v>
      </c>
      <c r="R461" s="14">
        <v>3.0300000000000001E-2</v>
      </c>
      <c r="S461" s="14">
        <v>2.9499999999999998E-2</v>
      </c>
      <c r="T461" s="12">
        <v>46236.012344733797</v>
      </c>
      <c r="U461" s="12">
        <v>46237.012344733797</v>
      </c>
      <c r="V461" s="14">
        <v>5</v>
      </c>
      <c r="W461" s="14">
        <v>0.1</v>
      </c>
      <c r="X461" s="14">
        <v>0.1</v>
      </c>
      <c r="Y461" s="14">
        <v>1E-4</v>
      </c>
      <c r="Z461" s="10" t="str">
        <f>IF(AND(D461="TRADING",I461&lt;&gt;"",L461&lt;&gt;"",M461&lt;&gt;"",N461&lt;&gt;"",O461&lt;&gt;""),"Yes","No")</f>
        <v>Yes</v>
      </c>
      <c r="AA461" s="10" t="s">
        <v>56</v>
      </c>
    </row>
    <row r="462" spans="1:27">
      <c r="A462" s="10" t="s">
        <v>1096</v>
      </c>
      <c r="B462" s="10" t="s">
        <v>1097</v>
      </c>
      <c r="C462" s="10" t="s">
        <v>12</v>
      </c>
      <c r="D462" s="10" t="s">
        <v>55</v>
      </c>
      <c r="E462" s="11" t="b">
        <v>1</v>
      </c>
      <c r="F462" s="12">
        <v>45391</v>
      </c>
      <c r="G462" s="12">
        <v>45391.999999988424</v>
      </c>
      <c r="H462" s="13">
        <f>IF(F462="","",(Summary!$B$5-F462)/365.25)</f>
        <v>2.3162559652825325</v>
      </c>
      <c r="I462" s="14">
        <v>1.2869999999999999E-2</v>
      </c>
      <c r="J462" s="15">
        <v>4.3799999999999999E-2</v>
      </c>
      <c r="K462" s="16">
        <v>146648523.90000001</v>
      </c>
      <c r="L462" s="16">
        <v>1894687.018621</v>
      </c>
      <c r="M462" s="17">
        <v>23650</v>
      </c>
      <c r="N462" s="14">
        <v>1.286E-2</v>
      </c>
      <c r="O462" s="14">
        <v>1.2869999999999999E-2</v>
      </c>
      <c r="P462" s="18">
        <f>IF(OR(N462="",O462="",N462=0,O462=0),"",(O462-N462)/((O462+N462)/2))</f>
        <v>7.7730275942476429E-4</v>
      </c>
      <c r="Q462" s="14">
        <v>1.291992E-2</v>
      </c>
      <c r="R462" s="14">
        <v>1.341E-2</v>
      </c>
      <c r="S462" s="14">
        <v>1.209E-2</v>
      </c>
      <c r="T462" s="12">
        <v>46236.012397824074</v>
      </c>
      <c r="U462" s="12">
        <v>46237.012397824074</v>
      </c>
      <c r="V462" s="14">
        <v>5</v>
      </c>
      <c r="W462" s="14">
        <v>0.1</v>
      </c>
      <c r="X462" s="14">
        <v>0.1</v>
      </c>
      <c r="Y462" s="14">
        <v>1.0000000000000001E-5</v>
      </c>
      <c r="Z462" s="10" t="str">
        <f>IF(AND(D462="TRADING",I462&lt;&gt;"",L462&lt;&gt;"",M462&lt;&gt;"",N462&lt;&gt;"",O462&lt;&gt;""),"Yes","No")</f>
        <v>Yes</v>
      </c>
      <c r="AA462" s="10" t="s">
        <v>56</v>
      </c>
    </row>
    <row r="463" spans="1:27">
      <c r="A463" s="10" t="s">
        <v>1211</v>
      </c>
      <c r="B463" s="10" t="s">
        <v>1212</v>
      </c>
      <c r="C463" s="10" t="s">
        <v>12</v>
      </c>
      <c r="D463" s="10" t="s">
        <v>55</v>
      </c>
      <c r="E463" s="11" t="b">
        <v>1</v>
      </c>
      <c r="F463" s="12">
        <v>45393</v>
      </c>
      <c r="G463" s="12">
        <v>45393.999999988424</v>
      </c>
      <c r="H463" s="13">
        <f>IF(F463="","",(Summary!$B$5-F463)/365.25)</f>
        <v>2.3107802637082684</v>
      </c>
      <c r="I463" s="14">
        <v>191.6</v>
      </c>
      <c r="J463" s="15">
        <v>-4.1599999999999996E-3</v>
      </c>
      <c r="K463" s="16">
        <v>25321.1636</v>
      </c>
      <c r="L463" s="16">
        <v>4900527.0376199996</v>
      </c>
      <c r="M463" s="17">
        <v>29410</v>
      </c>
      <c r="N463" s="14">
        <v>191.5</v>
      </c>
      <c r="O463" s="14">
        <v>191.6</v>
      </c>
      <c r="P463" s="18">
        <f>IF(OR(N463="",O463="",N463=0,O463=0),"",(O463-N463)/((O463+N463)/2))</f>
        <v>5.2205690420252841E-4</v>
      </c>
      <c r="Q463" s="14">
        <v>193.53482782</v>
      </c>
      <c r="R463" s="14">
        <v>195.9</v>
      </c>
      <c r="S463" s="14">
        <v>191.2</v>
      </c>
      <c r="T463" s="12">
        <v>46236.012481956015</v>
      </c>
      <c r="U463" s="12">
        <v>46237.012481956015</v>
      </c>
      <c r="V463" s="14">
        <v>5</v>
      </c>
      <c r="W463" s="14">
        <v>1E-4</v>
      </c>
      <c r="X463" s="14">
        <v>1E-4</v>
      </c>
      <c r="Y463" s="14">
        <v>0.1</v>
      </c>
      <c r="Z463" s="10" t="str">
        <f>IF(AND(D463="TRADING",I463&lt;&gt;"",L463&lt;&gt;"",M463&lt;&gt;"",N463&lt;&gt;"",O463&lt;&gt;""),"Yes","No")</f>
        <v>Yes</v>
      </c>
      <c r="AA463" s="10" t="s">
        <v>56</v>
      </c>
    </row>
    <row r="464" spans="1:27">
      <c r="A464" s="10" t="s">
        <v>918</v>
      </c>
      <c r="B464" s="10" t="s">
        <v>919</v>
      </c>
      <c r="C464" s="10" t="s">
        <v>12</v>
      </c>
      <c r="D464" s="10" t="s">
        <v>84</v>
      </c>
      <c r="E464" s="11" t="b">
        <v>1</v>
      </c>
      <c r="F464" s="12">
        <v>45399</v>
      </c>
      <c r="G464" s="12">
        <v>45399.999999988424</v>
      </c>
      <c r="H464" s="13">
        <f>IF(F464="","",(Summary!$B$5-F464)/365.25)</f>
        <v>2.2943531589854755</v>
      </c>
      <c r="I464" s="14">
        <v>3.88</v>
      </c>
      <c r="J464" s="15">
        <v>-6.5060000000000007E-2</v>
      </c>
      <c r="K464" s="16">
        <v>281147.77</v>
      </c>
      <c r="L464" s="16">
        <v>1105809.5996000001</v>
      </c>
      <c r="M464" s="17">
        <v>4001</v>
      </c>
      <c r="N464" s="14">
        <v>0</v>
      </c>
      <c r="O464" s="14">
        <v>0</v>
      </c>
      <c r="P464" s="18" t="str">
        <f>IF(OR(N464="",O464="",N464=0,O464=0),"",(O464-N464)/((O464+N464)/2))</f>
        <v/>
      </c>
      <c r="Q464" s="14">
        <v>3.93319712</v>
      </c>
      <c r="R464" s="14">
        <v>4.17</v>
      </c>
      <c r="S464" s="14">
        <v>3.82</v>
      </c>
      <c r="T464" s="12">
        <v>46209.261123090277</v>
      </c>
      <c r="U464" s="12">
        <v>46210.261123090277</v>
      </c>
      <c r="V464" s="14">
        <v>5</v>
      </c>
      <c r="W464" s="14">
        <v>0.01</v>
      </c>
      <c r="X464" s="14">
        <v>0.01</v>
      </c>
      <c r="Y464" s="14">
        <v>0.01</v>
      </c>
      <c r="Z464" s="10" t="str">
        <f>IF(AND(D464="TRADING",I464&lt;&gt;"",L464&lt;&gt;"",M464&lt;&gt;"",N464&lt;&gt;"",O464&lt;&gt;""),"Yes","No")</f>
        <v>No</v>
      </c>
      <c r="AA464" s="10" t="s">
        <v>56</v>
      </c>
    </row>
    <row r="465" spans="1:27">
      <c r="A465" s="10" t="s">
        <v>1068</v>
      </c>
      <c r="B465" s="10" t="s">
        <v>1069</v>
      </c>
      <c r="C465" s="10" t="s">
        <v>12</v>
      </c>
      <c r="D465" s="10" t="s">
        <v>55</v>
      </c>
      <c r="E465" s="11" t="b">
        <v>1</v>
      </c>
      <c r="F465" s="12">
        <v>45412</v>
      </c>
      <c r="G465" s="12">
        <v>45412.999999988424</v>
      </c>
      <c r="H465" s="13">
        <f>IF(F465="","",(Summary!$B$5-F465)/365.25)</f>
        <v>2.2587610987527582</v>
      </c>
      <c r="I465" s="14">
        <v>2.601E-3</v>
      </c>
      <c r="J465" s="15">
        <v>1.325E-2</v>
      </c>
      <c r="K465" s="16">
        <v>665848700.89999998</v>
      </c>
      <c r="L465" s="16">
        <v>1795334.7070428</v>
      </c>
      <c r="M465" s="17">
        <v>38166</v>
      </c>
      <c r="N465" s="14">
        <v>2.598E-3</v>
      </c>
      <c r="O465" s="14">
        <v>2.601E-3</v>
      </c>
      <c r="P465" s="18">
        <f>IF(OR(N465="",O465="",N465=0,O465=0),"",(O465-N465)/((O465+N465)/2))</f>
        <v>1.1540680900172973E-3</v>
      </c>
      <c r="Q465" s="14">
        <v>2.6963099999999999E-3</v>
      </c>
      <c r="R465" s="14">
        <v>2.8310000000000002E-3</v>
      </c>
      <c r="S465" s="14">
        <v>2.5569999999999998E-3</v>
      </c>
      <c r="T465" s="12">
        <v>46236.01248326389</v>
      </c>
      <c r="U465" s="12">
        <v>46237.01248326389</v>
      </c>
      <c r="V465" s="14">
        <v>5</v>
      </c>
      <c r="W465" s="14">
        <v>0.1</v>
      </c>
      <c r="X465" s="14">
        <v>0.1</v>
      </c>
      <c r="Y465" s="14">
        <v>9.9999999999999995E-7</v>
      </c>
      <c r="Z465" s="10" t="str">
        <f>IF(AND(D465="TRADING",I465&lt;&gt;"",L465&lt;&gt;"",M465&lt;&gt;"",N465&lt;&gt;"",O465&lt;&gt;""),"Yes","No")</f>
        <v>Yes</v>
      </c>
      <c r="AA465" s="10" t="s">
        <v>56</v>
      </c>
    </row>
    <row r="466" spans="1:27">
      <c r="A466" s="10" t="s">
        <v>251</v>
      </c>
      <c r="B466" s="10" t="s">
        <v>252</v>
      </c>
      <c r="C466" s="10" t="s">
        <v>12</v>
      </c>
      <c r="D466" s="10" t="s">
        <v>55</v>
      </c>
      <c r="E466" s="11" t="b">
        <v>1</v>
      </c>
      <c r="F466" s="12">
        <v>45425</v>
      </c>
      <c r="G466" s="12">
        <v>45425.999999988424</v>
      </c>
      <c r="H466" s="13">
        <f>IF(F466="","",(Summary!$B$5-F466)/365.25)</f>
        <v>2.2231690385200409</v>
      </c>
      <c r="I466" s="14">
        <v>1.4160000000000001E-2</v>
      </c>
      <c r="J466" s="15">
        <v>-3.8039999999999997E-2</v>
      </c>
      <c r="K466" s="16">
        <v>22254385.399999999</v>
      </c>
      <c r="L466" s="16">
        <v>319004.16224600002</v>
      </c>
      <c r="M466" s="17">
        <v>5726</v>
      </c>
      <c r="N466" s="14">
        <v>1.4160000000000001E-2</v>
      </c>
      <c r="O466" s="14">
        <v>1.418E-2</v>
      </c>
      <c r="P466" s="18">
        <f>IF(OR(N466="",O466="",N466=0,O466=0),"",(O466-N466)/((O466+N466)/2))</f>
        <v>1.411432604093097E-3</v>
      </c>
      <c r="Q466" s="14">
        <v>1.433444E-2</v>
      </c>
      <c r="R466" s="14">
        <v>1.4959999999999999E-2</v>
      </c>
      <c r="S466" s="14">
        <v>1.4109999999999999E-2</v>
      </c>
      <c r="T466" s="12">
        <v>46236.012469131943</v>
      </c>
      <c r="U466" s="12">
        <v>46237.012469131943</v>
      </c>
      <c r="V466" s="14">
        <v>5</v>
      </c>
      <c r="W466" s="14">
        <v>0.1</v>
      </c>
      <c r="X466" s="14">
        <v>0.1</v>
      </c>
      <c r="Y466" s="14">
        <v>1.0000000000000001E-5</v>
      </c>
      <c r="Z466" s="10" t="str">
        <f>IF(AND(D466="TRADING",I466&lt;&gt;"",L466&lt;&gt;"",M466&lt;&gt;"",N466&lt;&gt;"",O466&lt;&gt;""),"Yes","No")</f>
        <v>Yes</v>
      </c>
      <c r="AA466" s="10" t="s">
        <v>56</v>
      </c>
    </row>
    <row r="467" spans="1:27">
      <c r="A467" s="10" t="s">
        <v>894</v>
      </c>
      <c r="B467" s="10" t="s">
        <v>895</v>
      </c>
      <c r="C467" s="10" t="s">
        <v>12</v>
      </c>
      <c r="D467" s="10" t="s">
        <v>55</v>
      </c>
      <c r="E467" s="11" t="b">
        <v>1</v>
      </c>
      <c r="F467" s="12">
        <v>45428</v>
      </c>
      <c r="G467" s="12">
        <v>45428.999999988424</v>
      </c>
      <c r="H467" s="13">
        <f>IF(F467="","",(Summary!$B$5-F467)/365.25)</f>
        <v>2.2149554861586447</v>
      </c>
      <c r="I467" s="14">
        <v>3.4299999999999999E-4</v>
      </c>
      <c r="J467" s="15">
        <v>2.3879999999999998E-2</v>
      </c>
      <c r="K467" s="16">
        <v>533701520</v>
      </c>
      <c r="L467" s="16">
        <v>184412.91841000001</v>
      </c>
      <c r="M467" s="17">
        <v>3915</v>
      </c>
      <c r="N467" s="14">
        <v>3.4200000000000002E-4</v>
      </c>
      <c r="O467" s="14">
        <v>3.4299999999999999E-4</v>
      </c>
      <c r="P467" s="18">
        <f>IF(OR(N467="",O467="",N467=0,O467=0),"",(O467-N467)/((O467+N467)/2))</f>
        <v>2.9197080291969925E-3</v>
      </c>
      <c r="Q467" s="14">
        <v>3.4553999999999997E-4</v>
      </c>
      <c r="R467" s="14">
        <v>3.5500000000000001E-4</v>
      </c>
      <c r="S467" s="14">
        <v>3.3399999999999999E-4</v>
      </c>
      <c r="T467" s="12">
        <v>46236.011812083336</v>
      </c>
      <c r="U467" s="12">
        <v>46237.011812083336</v>
      </c>
      <c r="V467" s="14">
        <v>5</v>
      </c>
      <c r="W467" s="14">
        <v>1</v>
      </c>
      <c r="X467" s="14">
        <v>1</v>
      </c>
      <c r="Y467" s="14">
        <v>9.9999999999999995E-7</v>
      </c>
      <c r="Z467" s="10" t="str">
        <f>IF(AND(D467="TRADING",I467&lt;&gt;"",L467&lt;&gt;"",M467&lt;&gt;"",N467&lt;&gt;"",O467&lt;&gt;""),"Yes","No")</f>
        <v>Yes</v>
      </c>
      <c r="AA467" s="10" t="s">
        <v>56</v>
      </c>
    </row>
    <row r="468" spans="1:27">
      <c r="A468" s="10" t="s">
        <v>682</v>
      </c>
      <c r="B468" s="10" t="s">
        <v>683</v>
      </c>
      <c r="C468" s="10" t="s">
        <v>12</v>
      </c>
      <c r="D468" s="10" t="s">
        <v>55</v>
      </c>
      <c r="E468" s="11" t="b">
        <v>1</v>
      </c>
      <c r="F468" s="12">
        <v>45454</v>
      </c>
      <c r="G468" s="12">
        <v>45454.999999988424</v>
      </c>
      <c r="H468" s="13">
        <f>IF(F468="","",(Summary!$B$5-F468)/365.25)</f>
        <v>2.14377136569321</v>
      </c>
      <c r="I468" s="14">
        <v>0.1313</v>
      </c>
      <c r="J468" s="15">
        <v>-6.0599999999999994E-3</v>
      </c>
      <c r="K468" s="16">
        <v>1718583.84</v>
      </c>
      <c r="L468" s="16">
        <v>228006.059366</v>
      </c>
      <c r="M468" s="17">
        <v>2710</v>
      </c>
      <c r="N468" s="14">
        <v>0.13120000000000001</v>
      </c>
      <c r="O468" s="14">
        <v>0.1313</v>
      </c>
      <c r="P468" s="18">
        <f>IF(OR(N468="",O468="",N468=0,O468=0),"",(O468-N468)/((O468+N468)/2))</f>
        <v>7.6190476190467801E-4</v>
      </c>
      <c r="Q468" s="14">
        <v>0.13267090000000001</v>
      </c>
      <c r="R468" s="14">
        <v>0.1353</v>
      </c>
      <c r="S468" s="14">
        <v>0.1313</v>
      </c>
      <c r="T468" s="12">
        <v>46236.012176111108</v>
      </c>
      <c r="U468" s="12">
        <v>46237.012176111108</v>
      </c>
      <c r="V468" s="14">
        <v>5</v>
      </c>
      <c r="W468" s="14">
        <v>0.01</v>
      </c>
      <c r="X468" s="14">
        <v>0.01</v>
      </c>
      <c r="Y468" s="14">
        <v>1E-4</v>
      </c>
      <c r="Z468" s="10" t="str">
        <f>IF(AND(D468="TRADING",I468&lt;&gt;"",L468&lt;&gt;"",M468&lt;&gt;"",N468&lt;&gt;"",O468&lt;&gt;""),"Yes","No")</f>
        <v>Yes</v>
      </c>
      <c r="AA468" s="10" t="s">
        <v>56</v>
      </c>
    </row>
    <row r="469" spans="1:27">
      <c r="A469" s="10" t="s">
        <v>1419</v>
      </c>
      <c r="B469" s="10" t="s">
        <v>1420</v>
      </c>
      <c r="C469" s="10" t="s">
        <v>12</v>
      </c>
      <c r="D469" s="10" t="s">
        <v>55</v>
      </c>
      <c r="E469" s="11" t="b">
        <v>1</v>
      </c>
      <c r="F469" s="12">
        <v>45460</v>
      </c>
      <c r="G469" s="12">
        <v>45460.999999988424</v>
      </c>
      <c r="H469" s="13">
        <f>IF(F469="","",(Summary!$B$5-F469)/365.25)</f>
        <v>2.1273442609704176</v>
      </c>
      <c r="I469" s="14">
        <v>8.0800000000000004E-3</v>
      </c>
      <c r="J469" s="15">
        <v>2.7990000000000001E-2</v>
      </c>
      <c r="K469" s="16">
        <v>132760942.2</v>
      </c>
      <c r="L469" s="16">
        <v>1054831.6138259999</v>
      </c>
      <c r="M469" s="17">
        <v>8663</v>
      </c>
      <c r="N469" s="14">
        <v>8.0700000000000008E-3</v>
      </c>
      <c r="O469" s="14">
        <v>8.0800000000000004E-3</v>
      </c>
      <c r="P469" s="18">
        <f>IF(OR(N469="",O469="",N469=0,O469=0),"",(O469-N469)/((O469+N469)/2))</f>
        <v>1.2383900928792065E-3</v>
      </c>
      <c r="Q469" s="14">
        <v>7.9453500000000003E-3</v>
      </c>
      <c r="R469" s="14">
        <v>8.2000000000000007E-3</v>
      </c>
      <c r="S469" s="14">
        <v>7.7200000000000003E-3</v>
      </c>
      <c r="T469" s="12">
        <v>46236.012474340278</v>
      </c>
      <c r="U469" s="12">
        <v>46237.012474340278</v>
      </c>
      <c r="V469" s="14">
        <v>5</v>
      </c>
      <c r="W469" s="14">
        <v>0.1</v>
      </c>
      <c r="X469" s="14">
        <v>0.1</v>
      </c>
      <c r="Y469" s="14">
        <v>1.0000000000000001E-5</v>
      </c>
      <c r="Z469" s="10" t="str">
        <f>IF(AND(D469="TRADING",I469&lt;&gt;"",L469&lt;&gt;"",M469&lt;&gt;"",N469&lt;&gt;"",O469&lt;&gt;""),"Yes","No")</f>
        <v>Yes</v>
      </c>
      <c r="AA469" s="10" t="s">
        <v>56</v>
      </c>
    </row>
    <row r="470" spans="1:27">
      <c r="A470" s="10" t="s">
        <v>752</v>
      </c>
      <c r="B470" s="10" t="s">
        <v>753</v>
      </c>
      <c r="C470" s="10" t="s">
        <v>12</v>
      </c>
      <c r="D470" s="10" t="s">
        <v>55</v>
      </c>
      <c r="E470" s="11" t="b">
        <v>1</v>
      </c>
      <c r="F470" s="12">
        <v>45463</v>
      </c>
      <c r="G470" s="12">
        <v>45463.999999988424</v>
      </c>
      <c r="H470" s="13">
        <f>IF(F470="","",(Summary!$B$5-F470)/365.25)</f>
        <v>2.119130708609021</v>
      </c>
      <c r="I470" s="14">
        <v>5.1499999999999997E-2</v>
      </c>
      <c r="J470" s="15">
        <v>-4.2750000000000003E-2</v>
      </c>
      <c r="K470" s="16">
        <v>6805142.5</v>
      </c>
      <c r="L470" s="16">
        <v>350987.77490999998</v>
      </c>
      <c r="M470" s="17">
        <v>4599</v>
      </c>
      <c r="N470" s="14">
        <v>5.1499999999999997E-2</v>
      </c>
      <c r="O470" s="14">
        <v>5.16E-2</v>
      </c>
      <c r="P470" s="18">
        <f>IF(OR(N470="",O470="",N470=0,O470=0),"",(O470-N470)/((O470+N470)/2))</f>
        <v>1.9398642095053902E-3</v>
      </c>
      <c r="Q470" s="14">
        <v>5.1576839999999999E-2</v>
      </c>
      <c r="R470" s="14">
        <v>5.45E-2</v>
      </c>
      <c r="S470" s="14">
        <v>4.9500000000000002E-2</v>
      </c>
      <c r="T470" s="12">
        <v>46236.012408125003</v>
      </c>
      <c r="U470" s="12">
        <v>46237.012408125003</v>
      </c>
      <c r="V470" s="14">
        <v>5</v>
      </c>
      <c r="W470" s="14">
        <v>0.1</v>
      </c>
      <c r="X470" s="14">
        <v>0.1</v>
      </c>
      <c r="Y470" s="14">
        <v>1E-4</v>
      </c>
      <c r="Z470" s="10" t="str">
        <f>IF(AND(D470="TRADING",I470&lt;&gt;"",L470&lt;&gt;"",M470&lt;&gt;"",N470&lt;&gt;"",O470&lt;&gt;""),"Yes","No")</f>
        <v>Yes</v>
      </c>
      <c r="AA470" s="10" t="s">
        <v>56</v>
      </c>
    </row>
    <row r="471" spans="1:27">
      <c r="A471" s="10" t="s">
        <v>1421</v>
      </c>
      <c r="B471" s="10" t="s">
        <v>1422</v>
      </c>
      <c r="C471" s="10" t="s">
        <v>12</v>
      </c>
      <c r="D471" s="10" t="s">
        <v>55</v>
      </c>
      <c r="E471" s="11" t="b">
        <v>1</v>
      </c>
      <c r="F471" s="12">
        <v>45463</v>
      </c>
      <c r="G471" s="12">
        <v>45463.999999988424</v>
      </c>
      <c r="H471" s="13">
        <f>IF(F471="","",(Summary!$B$5-F471)/365.25)</f>
        <v>2.119130708609021</v>
      </c>
      <c r="I471" s="14">
        <v>0.71699999999999997</v>
      </c>
      <c r="J471" s="15">
        <v>-1.24E-2</v>
      </c>
      <c r="K471" s="16">
        <v>2511845.2599999998</v>
      </c>
      <c r="L471" s="16">
        <v>1823411.1544300001</v>
      </c>
      <c r="M471" s="17">
        <v>15874</v>
      </c>
      <c r="N471" s="14">
        <v>0.71699999999999997</v>
      </c>
      <c r="O471" s="14">
        <v>0.71799999999999997</v>
      </c>
      <c r="P471" s="18">
        <f>IF(OR(N471="",O471="",N471=0,O471=0),"",(O471-N471)/((O471+N471)/2))</f>
        <v>1.3937282229965168E-3</v>
      </c>
      <c r="Q471" s="14">
        <v>0.72592495000000001</v>
      </c>
      <c r="R471" s="14">
        <v>0.745</v>
      </c>
      <c r="S471" s="14">
        <v>0.71</v>
      </c>
      <c r="T471" s="12">
        <v>46236.012477372686</v>
      </c>
      <c r="U471" s="12">
        <v>46237.012477372686</v>
      </c>
      <c r="V471" s="14">
        <v>5</v>
      </c>
      <c r="W471" s="14">
        <v>0.01</v>
      </c>
      <c r="X471" s="14">
        <v>0.01</v>
      </c>
      <c r="Y471" s="14">
        <v>1E-3</v>
      </c>
      <c r="Z471" s="10" t="str">
        <f>IF(AND(D471="TRADING",I471&lt;&gt;"",L471&lt;&gt;"",M471&lt;&gt;"",N471&lt;&gt;"",O471&lt;&gt;""),"Yes","No")</f>
        <v>Yes</v>
      </c>
      <c r="AA471" s="10" t="s">
        <v>56</v>
      </c>
    </row>
    <row r="472" spans="1:27">
      <c r="A472" s="10" t="s">
        <v>612</v>
      </c>
      <c r="B472" s="10" t="s">
        <v>613</v>
      </c>
      <c r="C472" s="10" t="s">
        <v>12</v>
      </c>
      <c r="D472" s="10" t="s">
        <v>55</v>
      </c>
      <c r="E472" s="11" t="b">
        <v>1</v>
      </c>
      <c r="F472" s="12">
        <v>45492</v>
      </c>
      <c r="G472" s="12">
        <v>45492.999999988424</v>
      </c>
      <c r="H472" s="13">
        <f>IF(F472="","",(Summary!$B$5-F472)/365.25)</f>
        <v>2.0397330357821901</v>
      </c>
      <c r="I472" s="14">
        <v>3.64E-3</v>
      </c>
      <c r="J472" s="15">
        <v>4.598E-2</v>
      </c>
      <c r="K472" s="16">
        <v>327922381</v>
      </c>
      <c r="L472" s="16">
        <v>1190699.30538</v>
      </c>
      <c r="M472" s="17">
        <v>24194</v>
      </c>
      <c r="N472" s="14">
        <v>3.63E-3</v>
      </c>
      <c r="O472" s="14">
        <v>3.64E-3</v>
      </c>
      <c r="P472" s="18">
        <f>IF(OR(N472="",O472="",N472=0,O472=0),"",(O472-N472)/((O472+N472)/2))</f>
        <v>2.7510316368638309E-3</v>
      </c>
      <c r="Q472" s="14">
        <v>3.6310399999999999E-3</v>
      </c>
      <c r="R472" s="14">
        <v>3.7200000000000002E-3</v>
      </c>
      <c r="S472" s="14">
        <v>3.47E-3</v>
      </c>
      <c r="T472" s="12">
        <v>46236.012438124999</v>
      </c>
      <c r="U472" s="12">
        <v>46237.012438124999</v>
      </c>
      <c r="V472" s="14">
        <v>5</v>
      </c>
      <c r="W472" s="14">
        <v>1</v>
      </c>
      <c r="X472" s="14">
        <v>1</v>
      </c>
      <c r="Y472" s="14">
        <v>1.0000000000000001E-5</v>
      </c>
      <c r="Z472" s="10" t="str">
        <f>IF(AND(D472="TRADING",I472&lt;&gt;"",L472&lt;&gt;"",M472&lt;&gt;"",N472&lt;&gt;"",O472&lt;&gt;""),"Yes","No")</f>
        <v>Yes</v>
      </c>
      <c r="AA472" s="10" t="s">
        <v>56</v>
      </c>
    </row>
    <row r="473" spans="1:27">
      <c r="A473" s="10" t="s">
        <v>239</v>
      </c>
      <c r="B473" s="10" t="s">
        <v>240</v>
      </c>
      <c r="C473" s="10" t="s">
        <v>12</v>
      </c>
      <c r="D473" s="10" t="s">
        <v>55</v>
      </c>
      <c r="E473" s="11" t="b">
        <v>1</v>
      </c>
      <c r="F473" s="12">
        <v>45493</v>
      </c>
      <c r="G473" s="12">
        <v>45493.999999988424</v>
      </c>
      <c r="H473" s="13">
        <f>IF(F473="","",(Summary!$B$5-F473)/365.25)</f>
        <v>2.0369951849950581</v>
      </c>
      <c r="I473" s="14">
        <v>3.5049999999999999</v>
      </c>
      <c r="J473" s="15">
        <v>-3.3639999999999996E-2</v>
      </c>
      <c r="K473" s="16">
        <v>65737.404999999999</v>
      </c>
      <c r="L473" s="16">
        <v>235997.38191500001</v>
      </c>
      <c r="M473" s="17">
        <v>2961</v>
      </c>
      <c r="N473" s="14">
        <v>3.512</v>
      </c>
      <c r="O473" s="14">
        <v>3.516</v>
      </c>
      <c r="P473" s="18">
        <f>IF(OR(N473="",O473="",N473=0,O473=0),"",(O473-N473)/((O473+N473)/2))</f>
        <v>1.1383039271485496E-3</v>
      </c>
      <c r="Q473" s="14">
        <v>3.5900014900000001</v>
      </c>
      <c r="R473" s="14">
        <v>3.6829999999999998</v>
      </c>
      <c r="S473" s="14">
        <v>3.504</v>
      </c>
      <c r="T473" s="12">
        <v>46236.012300324073</v>
      </c>
      <c r="U473" s="12">
        <v>46237.012300324073</v>
      </c>
      <c r="V473" s="14">
        <v>5</v>
      </c>
      <c r="W473" s="14">
        <v>1E-3</v>
      </c>
      <c r="X473" s="14">
        <v>1E-3</v>
      </c>
      <c r="Y473" s="14">
        <v>1E-3</v>
      </c>
      <c r="Z473" s="10" t="str">
        <f>IF(AND(D473="TRADING",I473&lt;&gt;"",L473&lt;&gt;"",M473&lt;&gt;"",N473&lt;&gt;"",O473&lt;&gt;""),"Yes","No")</f>
        <v>Yes</v>
      </c>
      <c r="AA473" s="10" t="s">
        <v>56</v>
      </c>
    </row>
    <row r="474" spans="1:27">
      <c r="A474" s="10" t="s">
        <v>1056</v>
      </c>
      <c r="B474" s="10" t="s">
        <v>1057</v>
      </c>
      <c r="C474" s="10" t="s">
        <v>12</v>
      </c>
      <c r="D474" s="10" t="s">
        <v>55</v>
      </c>
      <c r="E474" s="11" t="b">
        <v>1</v>
      </c>
      <c r="F474" s="12">
        <v>45499</v>
      </c>
      <c r="G474" s="12">
        <v>45499.999999988424</v>
      </c>
      <c r="H474" s="13">
        <f>IF(F474="","",(Summary!$B$5-F474)/365.25)</f>
        <v>2.0205680802722656</v>
      </c>
      <c r="I474" s="14">
        <v>1.379</v>
      </c>
      <c r="J474" s="15">
        <v>1.8460000000000001E-2</v>
      </c>
      <c r="K474" s="16">
        <v>752462.63</v>
      </c>
      <c r="L474" s="16">
        <v>1032640.87207</v>
      </c>
      <c r="M474" s="17">
        <v>5249</v>
      </c>
      <c r="N474" s="14">
        <v>1.379</v>
      </c>
      <c r="O474" s="14">
        <v>1.38</v>
      </c>
      <c r="P474" s="18">
        <f>IF(OR(N474="",O474="",N474=0,O474=0),"",(O474-N474)/((O474+N474)/2))</f>
        <v>7.2490032620506697E-4</v>
      </c>
      <c r="Q474" s="14">
        <v>1.37234838</v>
      </c>
      <c r="R474" s="14">
        <v>1.389</v>
      </c>
      <c r="S474" s="14">
        <v>1.3520000000000001</v>
      </c>
      <c r="T474" s="12">
        <v>46236.012266504629</v>
      </c>
      <c r="U474" s="12">
        <v>46237.012266504629</v>
      </c>
      <c r="V474" s="14">
        <v>5</v>
      </c>
      <c r="W474" s="14">
        <v>0.01</v>
      </c>
      <c r="X474" s="14">
        <v>0.01</v>
      </c>
      <c r="Y474" s="14">
        <v>1E-3</v>
      </c>
      <c r="Z474" s="10" t="str">
        <f>IF(AND(D474="TRADING",I474&lt;&gt;"",L474&lt;&gt;"",M474&lt;&gt;"",N474&lt;&gt;"",O474&lt;&gt;""),"Yes","No")</f>
        <v>Yes</v>
      </c>
      <c r="AA474" s="10" t="s">
        <v>56</v>
      </c>
    </row>
    <row r="475" spans="1:27">
      <c r="A475" s="10" t="s">
        <v>1231</v>
      </c>
      <c r="B475" s="10" t="s">
        <v>1232</v>
      </c>
      <c r="C475" s="10" t="s">
        <v>12</v>
      </c>
      <c r="D475" s="10" t="s">
        <v>84</v>
      </c>
      <c r="E475" s="11" t="b">
        <v>1</v>
      </c>
      <c r="F475" s="12">
        <v>45512</v>
      </c>
      <c r="G475" s="12">
        <v>45512.999999988424</v>
      </c>
      <c r="H475" s="13">
        <f>IF(F475="","",(Summary!$B$5-F475)/365.25)</f>
        <v>1.9849760200395481</v>
      </c>
      <c r="I475" s="14">
        <v>1.6</v>
      </c>
      <c r="J475" s="15">
        <v>9.4599999999999997E-3</v>
      </c>
      <c r="K475" s="16">
        <v>4800378.41</v>
      </c>
      <c r="L475" s="16">
        <v>7717352.4198200004</v>
      </c>
      <c r="M475" s="17">
        <v>85935</v>
      </c>
      <c r="N475" s="14">
        <v>0</v>
      </c>
      <c r="O475" s="14">
        <v>0</v>
      </c>
      <c r="P475" s="18" t="str">
        <f>IF(OR(N475="",O475="",N475=0,O475=0),"",(O475-N475)/((O475+N475)/2))</f>
        <v/>
      </c>
      <c r="Q475" s="14">
        <v>1.60765501</v>
      </c>
      <c r="R475" s="14">
        <v>1.641</v>
      </c>
      <c r="S475" s="14">
        <v>1.58</v>
      </c>
      <c r="T475" s="12">
        <v>46209.261123090277</v>
      </c>
      <c r="U475" s="12">
        <v>46210.261123090277</v>
      </c>
      <c r="V475" s="14">
        <v>5</v>
      </c>
      <c r="W475" s="14">
        <v>0.01</v>
      </c>
      <c r="X475" s="14">
        <v>0.01</v>
      </c>
      <c r="Y475" s="14">
        <v>1E-3</v>
      </c>
      <c r="Z475" s="10" t="str">
        <f>IF(AND(D475="TRADING",I475&lt;&gt;"",L475&lt;&gt;"",M475&lt;&gt;"",N475&lt;&gt;"",O475&lt;&gt;""),"Yes","No")</f>
        <v>No</v>
      </c>
      <c r="AA475" s="10" t="s">
        <v>56</v>
      </c>
    </row>
    <row r="476" spans="1:27">
      <c r="A476" s="10" t="s">
        <v>443</v>
      </c>
      <c r="B476" s="10" t="s">
        <v>444</v>
      </c>
      <c r="C476" s="10" t="s">
        <v>12</v>
      </c>
      <c r="D476" s="10" t="s">
        <v>55</v>
      </c>
      <c r="E476" s="11" t="b">
        <v>1</v>
      </c>
      <c r="F476" s="12">
        <v>45530</v>
      </c>
      <c r="G476" s="12">
        <v>45530.999999988424</v>
      </c>
      <c r="H476" s="13">
        <f>IF(F476="","",(Summary!$B$5-F476)/365.25)</f>
        <v>1.9356947058711704</v>
      </c>
      <c r="I476" s="14">
        <v>3.4289999999999999E-5</v>
      </c>
      <c r="J476" s="15">
        <v>3.2200000000000002E-3</v>
      </c>
      <c r="K476" s="16">
        <v>4572930125</v>
      </c>
      <c r="L476" s="16">
        <v>158071.12085471</v>
      </c>
      <c r="M476" s="17">
        <v>3965</v>
      </c>
      <c r="N476" s="14">
        <v>3.4289999999999999E-5</v>
      </c>
      <c r="O476" s="14">
        <v>3.4319999999999997E-5</v>
      </c>
      <c r="P476" s="18">
        <f>IF(OR(N476="",O476="",N476=0,O476=0),"",(O476-N476)/((O476+N476)/2))</f>
        <v>8.7450808919976744E-4</v>
      </c>
      <c r="Q476" s="14">
        <v>3.4570000000000003E-5</v>
      </c>
      <c r="R476" s="14">
        <v>3.5110000000000001E-5</v>
      </c>
      <c r="S476" s="14">
        <v>3.4159999999999998E-5</v>
      </c>
      <c r="T476" s="12">
        <v>46236.012478425924</v>
      </c>
      <c r="U476" s="12">
        <v>46237.012478425924</v>
      </c>
      <c r="V476" s="14">
        <v>1</v>
      </c>
      <c r="W476" s="14">
        <v>1</v>
      </c>
      <c r="X476" s="14">
        <v>1</v>
      </c>
      <c r="Y476" s="14">
        <v>1E-8</v>
      </c>
      <c r="Z476" s="10" t="str">
        <f>IF(AND(D476="TRADING",I476&lt;&gt;"",L476&lt;&gt;"",M476&lt;&gt;"",N476&lt;&gt;"",O476&lt;&gt;""),"Yes","No")</f>
        <v>Yes</v>
      </c>
      <c r="AA476" s="10" t="s">
        <v>56</v>
      </c>
    </row>
    <row r="477" spans="1:27">
      <c r="A477" s="10" t="s">
        <v>510</v>
      </c>
      <c r="B477" s="10" t="s">
        <v>511</v>
      </c>
      <c r="C477" s="10" t="s">
        <v>12</v>
      </c>
      <c r="D477" s="10" t="s">
        <v>55</v>
      </c>
      <c r="E477" s="11" t="b">
        <v>1</v>
      </c>
      <c r="F477" s="12">
        <v>45532</v>
      </c>
      <c r="G477" s="12">
        <v>45532.999999988424</v>
      </c>
      <c r="H477" s="13">
        <f>IF(F477="","",(Summary!$B$5-F477)/365.25)</f>
        <v>1.9302190042969061</v>
      </c>
      <c r="I477" s="14">
        <v>1.1541999999999999</v>
      </c>
      <c r="J477" s="15">
        <v>1.65E-3</v>
      </c>
      <c r="K477" s="16">
        <v>126282</v>
      </c>
      <c r="L477" s="16">
        <v>145689.12544999999</v>
      </c>
      <c r="M477" s="17">
        <v>1734</v>
      </c>
      <c r="N477" s="14">
        <v>1.1540999999999999</v>
      </c>
      <c r="O477" s="14">
        <v>1.1543000000000001</v>
      </c>
      <c r="P477" s="18">
        <f>IF(OR(N477="",O477="",N477=0,O477=0),"",(O477-N477)/((O477+N477)/2))</f>
        <v>1.7328019407399068E-4</v>
      </c>
      <c r="Q477" s="14">
        <v>1.15368085</v>
      </c>
      <c r="R477" s="14">
        <v>1.1560999999999999</v>
      </c>
      <c r="S477" s="14">
        <v>1.1523000000000001</v>
      </c>
      <c r="T477" s="12">
        <v>46236.011749050929</v>
      </c>
      <c r="U477" s="12">
        <v>46237.011749050929</v>
      </c>
      <c r="V477" s="14">
        <v>5</v>
      </c>
      <c r="W477" s="14">
        <v>0.1</v>
      </c>
      <c r="X477" s="14">
        <v>0.1</v>
      </c>
      <c r="Y477" s="14">
        <v>1E-4</v>
      </c>
      <c r="Z477" s="10" t="str">
        <f>IF(AND(D477="TRADING",I477&lt;&gt;"",L477&lt;&gt;"",M477&lt;&gt;"",N477&lt;&gt;"",O477&lt;&gt;""),"Yes","No")</f>
        <v>Yes</v>
      </c>
      <c r="AA477" s="10" t="s">
        <v>56</v>
      </c>
    </row>
    <row r="478" spans="1:27">
      <c r="A478" s="10" t="s">
        <v>1130</v>
      </c>
      <c r="B478" s="10" t="s">
        <v>1131</v>
      </c>
      <c r="C478" s="10" t="s">
        <v>12</v>
      </c>
      <c r="D478" s="10" t="s">
        <v>84</v>
      </c>
      <c r="E478" s="11" t="b">
        <v>1</v>
      </c>
      <c r="F478" s="12">
        <v>45534</v>
      </c>
      <c r="G478" s="12">
        <v>45534.999999988424</v>
      </c>
      <c r="H478" s="13">
        <f>IF(F478="","",(Summary!$B$5-F478)/365.25)</f>
        <v>1.9247433027226419</v>
      </c>
      <c r="I478" s="14">
        <v>2.0799999999999999E-2</v>
      </c>
      <c r="J478" s="15">
        <v>-0.12236000000000001</v>
      </c>
      <c r="K478" s="16">
        <v>14359265</v>
      </c>
      <c r="L478" s="16">
        <v>306328.70209999999</v>
      </c>
      <c r="M478" s="17">
        <v>4001</v>
      </c>
      <c r="N478" s="14">
        <v>0</v>
      </c>
      <c r="O478" s="14">
        <v>0</v>
      </c>
      <c r="P478" s="18" t="str">
        <f>IF(OR(N478="",O478="",N478=0,O478=0),"",(O478-N478)/((O478+N478)/2))</f>
        <v/>
      </c>
      <c r="Q478" s="14">
        <v>2.1333169999999999E-2</v>
      </c>
      <c r="R478" s="14">
        <v>2.4199999999999999E-2</v>
      </c>
      <c r="S478" s="14">
        <v>1.5599999999999999E-2</v>
      </c>
      <c r="T478" s="12">
        <v>46209.261123090277</v>
      </c>
      <c r="U478" s="12">
        <v>46210.261123090277</v>
      </c>
      <c r="V478" s="14">
        <v>5</v>
      </c>
      <c r="W478" s="14">
        <v>0.1</v>
      </c>
      <c r="X478" s="14">
        <v>0.1</v>
      </c>
      <c r="Y478" s="14">
        <v>1E-4</v>
      </c>
      <c r="Z478" s="10" t="str">
        <f>IF(AND(D478="TRADING",I478&lt;&gt;"",L478&lt;&gt;"",M478&lt;&gt;"",N478&lt;&gt;"",O478&lt;&gt;""),"Yes","No")</f>
        <v>No</v>
      </c>
      <c r="AA478" s="10" t="s">
        <v>56</v>
      </c>
    </row>
    <row r="479" spans="1:27">
      <c r="A479" s="10" t="s">
        <v>992</v>
      </c>
      <c r="B479" s="10" t="s">
        <v>993</v>
      </c>
      <c r="C479" s="10" t="s">
        <v>12</v>
      </c>
      <c r="D479" s="10" t="s">
        <v>55</v>
      </c>
      <c r="E479" s="11" t="b">
        <v>1</v>
      </c>
      <c r="F479" s="12">
        <v>45548</v>
      </c>
      <c r="G479" s="12">
        <v>45548.999999988424</v>
      </c>
      <c r="H479" s="13">
        <f>IF(F479="","",(Summary!$B$5-F479)/365.25)</f>
        <v>1.8864133917027925</v>
      </c>
      <c r="I479" s="14">
        <v>7.2789999999999994E-2</v>
      </c>
      <c r="J479" s="15">
        <v>1.21E-2</v>
      </c>
      <c r="K479" s="16">
        <v>14473609.800000001</v>
      </c>
      <c r="L479" s="16">
        <v>1052556.809194</v>
      </c>
      <c r="M479" s="17">
        <v>19581</v>
      </c>
      <c r="N479" s="14">
        <v>7.2789999999999994E-2</v>
      </c>
      <c r="O479" s="14">
        <v>7.2800000000000004E-2</v>
      </c>
      <c r="P479" s="18">
        <f>IF(OR(N479="",O479="",N479=0,O479=0),"",(O479-N479)/((O479+N479)/2))</f>
        <v>1.3737207225784738E-4</v>
      </c>
      <c r="Q479" s="14">
        <v>7.2722480000000006E-2</v>
      </c>
      <c r="R479" s="14">
        <v>7.3300000000000004E-2</v>
      </c>
      <c r="S479" s="14">
        <v>7.1870000000000003E-2</v>
      </c>
      <c r="T479" s="12">
        <v>46236.012473773146</v>
      </c>
      <c r="U479" s="12">
        <v>46237.012473773146</v>
      </c>
      <c r="V479" s="14">
        <v>5</v>
      </c>
      <c r="W479" s="14">
        <v>0.1</v>
      </c>
      <c r="X479" s="14">
        <v>0.1</v>
      </c>
      <c r="Y479" s="14">
        <v>1.0000000000000001E-5</v>
      </c>
      <c r="Z479" s="10" t="str">
        <f>IF(AND(D479="TRADING",I479&lt;&gt;"",L479&lt;&gt;"",M479&lt;&gt;"",N479&lt;&gt;"",O479&lt;&gt;""),"Yes","No")</f>
        <v>Yes</v>
      </c>
      <c r="AA479" s="10" t="s">
        <v>56</v>
      </c>
    </row>
    <row r="480" spans="1:27">
      <c r="A480" s="10" t="s">
        <v>78</v>
      </c>
      <c r="B480" s="10" t="s">
        <v>79</v>
      </c>
      <c r="C480" s="10" t="s">
        <v>12</v>
      </c>
      <c r="D480" s="10" t="s">
        <v>55</v>
      </c>
      <c r="E480" s="11" t="b">
        <v>1</v>
      </c>
      <c r="F480" s="12">
        <v>45551</v>
      </c>
      <c r="G480" s="12">
        <v>45551.999999988424</v>
      </c>
      <c r="H480" s="13">
        <f>IF(F480="","",(Summary!$B$5-F480)/365.25)</f>
        <v>1.8781998393413961</v>
      </c>
      <c r="I480" s="14">
        <v>3.0679999999999998E-4</v>
      </c>
      <c r="J480" s="15">
        <v>1.154E-2</v>
      </c>
      <c r="K480" s="16">
        <v>754401567</v>
      </c>
      <c r="L480" s="16">
        <v>232098.81661089999</v>
      </c>
      <c r="M480" s="17">
        <v>3158</v>
      </c>
      <c r="N480" s="14">
        <v>3.0679999999999998E-4</v>
      </c>
      <c r="O480" s="14">
        <v>3.0709999999999998E-4</v>
      </c>
      <c r="P480" s="18">
        <f>IF(OR(N480="",O480="",N480=0,O480=0),"",(O480-N480)/((O480+N480)/2))</f>
        <v>9.7735787587557377E-4</v>
      </c>
      <c r="Q480" s="14">
        <v>3.0766000000000002E-4</v>
      </c>
      <c r="R480" s="14">
        <v>3.102E-4</v>
      </c>
      <c r="S480" s="14">
        <v>3.0229999999999998E-4</v>
      </c>
      <c r="T480" s="12">
        <v>46236.012460694445</v>
      </c>
      <c r="U480" s="12">
        <v>46237.012460694445</v>
      </c>
      <c r="V480" s="14">
        <v>1</v>
      </c>
      <c r="W480" s="14">
        <v>1</v>
      </c>
      <c r="X480" s="14">
        <v>1</v>
      </c>
      <c r="Y480" s="14">
        <v>9.9999999999999995E-8</v>
      </c>
      <c r="Z480" s="10" t="str">
        <f>IF(AND(D480="TRADING",I480&lt;&gt;"",L480&lt;&gt;"",M480&lt;&gt;"",N480&lt;&gt;"",O480&lt;&gt;""),"Yes","No")</f>
        <v>Yes</v>
      </c>
      <c r="AA480" s="10" t="s">
        <v>56</v>
      </c>
    </row>
    <row r="481" spans="1:27">
      <c r="A481" s="10" t="s">
        <v>872</v>
      </c>
      <c r="B481" s="10" t="s">
        <v>873</v>
      </c>
      <c r="C481" s="10" t="s">
        <v>12</v>
      </c>
      <c r="D481" s="10" t="s">
        <v>55</v>
      </c>
      <c r="E481" s="11" t="b">
        <v>1</v>
      </c>
      <c r="F481" s="12">
        <v>45551</v>
      </c>
      <c r="G481" s="12">
        <v>45551.999999988424</v>
      </c>
      <c r="H481" s="13">
        <f>IF(F481="","",(Summary!$B$5-F481)/365.25)</f>
        <v>1.8781998393413961</v>
      </c>
      <c r="I481" s="14">
        <v>6.1630000000000005E-5</v>
      </c>
      <c r="J481" s="15">
        <v>9.0000000000000011E-3</v>
      </c>
      <c r="K481" s="16">
        <v>19755181148</v>
      </c>
      <c r="L481" s="16">
        <v>1239018.0409952099</v>
      </c>
      <c r="M481" s="17">
        <v>45818</v>
      </c>
      <c r="N481" s="14">
        <v>6.1630000000000005E-5</v>
      </c>
      <c r="O481" s="14">
        <v>6.1639999999999999E-5</v>
      </c>
      <c r="P481" s="18">
        <f>IF(OR(N481="",O481="",N481=0,O481=0),"",(O481-N481)/((O481+N481)/2))</f>
        <v>1.6224547740723326E-4</v>
      </c>
      <c r="Q481" s="14">
        <v>6.2719999999999996E-5</v>
      </c>
      <c r="R481" s="14">
        <v>6.4629999999999996E-5</v>
      </c>
      <c r="S481" s="14">
        <v>6.0970000000000001E-5</v>
      </c>
      <c r="T481" s="12">
        <v>46236.012478379627</v>
      </c>
      <c r="U481" s="12">
        <v>46237.012478379627</v>
      </c>
      <c r="V481" s="14">
        <v>1</v>
      </c>
      <c r="W481" s="14">
        <v>1</v>
      </c>
      <c r="X481" s="14">
        <v>1</v>
      </c>
      <c r="Y481" s="14">
        <v>1E-8</v>
      </c>
      <c r="Z481" s="10" t="str">
        <f>IF(AND(D481="TRADING",I481&lt;&gt;"",L481&lt;&gt;"",M481&lt;&gt;"",N481&lt;&gt;"",O481&lt;&gt;""),"Yes","No")</f>
        <v>Yes</v>
      </c>
      <c r="AA481" s="10" t="s">
        <v>56</v>
      </c>
    </row>
    <row r="482" spans="1:27">
      <c r="A482" s="10" t="s">
        <v>1259</v>
      </c>
      <c r="B482" s="10" t="s">
        <v>1260</v>
      </c>
      <c r="C482" s="10" t="s">
        <v>12</v>
      </c>
      <c r="D482" s="10" t="s">
        <v>55</v>
      </c>
      <c r="E482" s="11" t="b">
        <v>1</v>
      </c>
      <c r="F482" s="12">
        <v>45551</v>
      </c>
      <c r="G482" s="12">
        <v>45551.999999988424</v>
      </c>
      <c r="H482" s="13">
        <f>IF(F482="","",(Summary!$B$5-F482)/365.25)</f>
        <v>1.8781998393413961</v>
      </c>
      <c r="I482" s="14">
        <v>7.94E-4</v>
      </c>
      <c r="J482" s="15">
        <v>6.3400000000000001E-3</v>
      </c>
      <c r="K482" s="16">
        <v>313606920</v>
      </c>
      <c r="L482" s="16">
        <v>251055.46834399999</v>
      </c>
      <c r="M482" s="17">
        <v>3911</v>
      </c>
      <c r="N482" s="14">
        <v>7.9299999999999998E-4</v>
      </c>
      <c r="O482" s="14">
        <v>7.94E-4</v>
      </c>
      <c r="P482" s="18">
        <f>IF(OR(N482="",O482="",N482=0,O482=0),"",(O482-N482)/((O482+N482)/2))</f>
        <v>1.2602394454946748E-3</v>
      </c>
      <c r="Q482" s="14">
        <v>8.0053999999999998E-4</v>
      </c>
      <c r="R482" s="14">
        <v>8.1099999999999998E-4</v>
      </c>
      <c r="S482" s="14">
        <v>7.85E-4</v>
      </c>
      <c r="T482" s="12">
        <v>46236.012469340276</v>
      </c>
      <c r="U482" s="12">
        <v>46237.012469340276</v>
      </c>
      <c r="V482" s="14">
        <v>1</v>
      </c>
      <c r="W482" s="14">
        <v>1</v>
      </c>
      <c r="X482" s="14">
        <v>1</v>
      </c>
      <c r="Y482" s="14">
        <v>9.9999999999999995E-7</v>
      </c>
      <c r="Z482" s="10" t="str">
        <f>IF(AND(D482="TRADING",I482&lt;&gt;"",L482&lt;&gt;"",M482&lt;&gt;"",N482&lt;&gt;"",O482&lt;&gt;""),"Yes","No")</f>
        <v>Yes</v>
      </c>
      <c r="AA482" s="10" t="s">
        <v>56</v>
      </c>
    </row>
    <row r="483" spans="1:27">
      <c r="A483" s="10" t="s">
        <v>341</v>
      </c>
      <c r="B483" s="10" t="s">
        <v>342</v>
      </c>
      <c r="C483" s="10" t="s">
        <v>12</v>
      </c>
      <c r="D483" s="10" t="s">
        <v>55</v>
      </c>
      <c r="E483" s="11" t="b">
        <v>1</v>
      </c>
      <c r="F483" s="12">
        <v>45555</v>
      </c>
      <c r="G483" s="12">
        <v>45555.999999988424</v>
      </c>
      <c r="H483" s="13">
        <f>IF(F483="","",(Summary!$B$5-F483)/365.25)</f>
        <v>1.8672484361928678</v>
      </c>
      <c r="I483" s="14">
        <v>3.6749999999999998E-2</v>
      </c>
      <c r="J483" s="15">
        <v>-1.2359999999999999E-2</v>
      </c>
      <c r="K483" s="16">
        <v>1130276.7</v>
      </c>
      <c r="L483" s="16">
        <v>41359.111217999998</v>
      </c>
      <c r="M483" s="17">
        <v>2225</v>
      </c>
      <c r="N483" s="14">
        <v>3.6729999999999999E-2</v>
      </c>
      <c r="O483" s="14">
        <v>3.6769999999999997E-2</v>
      </c>
      <c r="P483" s="18">
        <f>IF(OR(N483="",O483="",N483=0,O483=0),"",(O483-N483)/((O483+N483)/2))</f>
        <v>1.0884353741496156E-3</v>
      </c>
      <c r="Q483" s="14">
        <v>3.6592020000000003E-2</v>
      </c>
      <c r="R483" s="14">
        <v>3.7589999999999998E-2</v>
      </c>
      <c r="S483" s="14">
        <v>3.5999999999999997E-2</v>
      </c>
      <c r="T483" s="12">
        <v>46236.012468564812</v>
      </c>
      <c r="U483" s="12">
        <v>46237.012468564812</v>
      </c>
      <c r="V483" s="14">
        <v>1</v>
      </c>
      <c r="W483" s="14">
        <v>0.1</v>
      </c>
      <c r="X483" s="14">
        <v>0.1</v>
      </c>
      <c r="Y483" s="14">
        <v>1.0000000000000001E-5</v>
      </c>
      <c r="Z483" s="10" t="str">
        <f>IF(AND(D483="TRADING",I483&lt;&gt;"",L483&lt;&gt;"",M483&lt;&gt;"",N483&lt;&gt;"",O483&lt;&gt;""),"Yes","No")</f>
        <v>Yes</v>
      </c>
      <c r="AA483" s="10" t="s">
        <v>56</v>
      </c>
    </row>
    <row r="484" spans="1:27">
      <c r="A484" s="10" t="s">
        <v>636</v>
      </c>
      <c r="B484" s="10" t="s">
        <v>637</v>
      </c>
      <c r="C484" s="10" t="s">
        <v>12</v>
      </c>
      <c r="D484" s="10" t="s">
        <v>55</v>
      </c>
      <c r="E484" s="11" t="b">
        <v>1</v>
      </c>
      <c r="F484" s="12">
        <v>45561</v>
      </c>
      <c r="G484" s="12">
        <v>45561.999999988424</v>
      </c>
      <c r="H484" s="13">
        <f>IF(F484="","",(Summary!$B$5-F484)/365.25)</f>
        <v>1.8508213314700752</v>
      </c>
      <c r="I484" s="14">
        <v>1.6799999999999999E-4</v>
      </c>
      <c r="J484" s="15">
        <v>-7.0899999999999999E-3</v>
      </c>
      <c r="K484" s="16">
        <v>1886765733</v>
      </c>
      <c r="L484" s="16">
        <v>317498.96924240002</v>
      </c>
      <c r="M484" s="17">
        <v>7549</v>
      </c>
      <c r="N484" s="14">
        <v>1.6809999999999999E-4</v>
      </c>
      <c r="O484" s="14">
        <v>1.682E-4</v>
      </c>
      <c r="P484" s="18">
        <f>IF(OR(N484="",O484="",N484=0,O484=0),"",(O484-N484)/((O484+N484)/2))</f>
        <v>5.9470710674994014E-4</v>
      </c>
      <c r="Q484" s="14">
        <v>1.6828000000000001E-4</v>
      </c>
      <c r="R484" s="14">
        <v>1.7090000000000001E-4</v>
      </c>
      <c r="S484" s="14">
        <v>1.6650000000000001E-4</v>
      </c>
      <c r="T484" s="12">
        <v>46236.012483611114</v>
      </c>
      <c r="U484" s="12">
        <v>46237.012483611114</v>
      </c>
      <c r="V484" s="14">
        <v>5</v>
      </c>
      <c r="W484" s="14">
        <v>1</v>
      </c>
      <c r="X484" s="14">
        <v>1</v>
      </c>
      <c r="Y484" s="14">
        <v>9.9999999999999995E-8</v>
      </c>
      <c r="Z484" s="10" t="str">
        <f>IF(AND(D484="TRADING",I484&lt;&gt;"",L484&lt;&gt;"",M484&lt;&gt;"",N484&lt;&gt;"",O484&lt;&gt;""),"Yes","No")</f>
        <v>Yes</v>
      </c>
      <c r="AA484" s="10" t="s">
        <v>56</v>
      </c>
    </row>
    <row r="485" spans="1:27">
      <c r="A485" s="10" t="s">
        <v>467</v>
      </c>
      <c r="B485" s="10" t="s">
        <v>468</v>
      </c>
      <c r="C485" s="10" t="s">
        <v>12</v>
      </c>
      <c r="D485" s="10" t="s">
        <v>55</v>
      </c>
      <c r="E485" s="11" t="b">
        <v>1</v>
      </c>
      <c r="F485" s="12">
        <v>45566</v>
      </c>
      <c r="G485" s="12">
        <v>45566.999999988424</v>
      </c>
      <c r="H485" s="13">
        <f>IF(F485="","",(Summary!$B$5-F485)/365.25)</f>
        <v>1.8371320775344147</v>
      </c>
      <c r="I485" s="14">
        <v>0.18690000000000001</v>
      </c>
      <c r="J485" s="15">
        <v>3.3170000000000005E-2</v>
      </c>
      <c r="K485" s="16">
        <v>7625464.1799999997</v>
      </c>
      <c r="L485" s="16">
        <v>1438719.4825550001</v>
      </c>
      <c r="M485" s="17">
        <v>14270</v>
      </c>
      <c r="N485" s="14">
        <v>0.18709999999999999</v>
      </c>
      <c r="O485" s="14">
        <v>0.18720000000000001</v>
      </c>
      <c r="P485" s="18">
        <f>IF(OR(N485="",O485="",N485=0,O485=0),"",(O485-N485)/((O485+N485)/2))</f>
        <v>5.3433075073479428E-4</v>
      </c>
      <c r="Q485" s="14">
        <v>0.18867303999999999</v>
      </c>
      <c r="R485" s="14">
        <v>0.19400000000000001</v>
      </c>
      <c r="S485" s="14">
        <v>0.18060000000000001</v>
      </c>
      <c r="T485" s="12">
        <v>46236.012456805554</v>
      </c>
      <c r="U485" s="12">
        <v>46237.012456805554</v>
      </c>
      <c r="V485" s="14">
        <v>5</v>
      </c>
      <c r="W485" s="14">
        <v>0.01</v>
      </c>
      <c r="X485" s="14">
        <v>0.01</v>
      </c>
      <c r="Y485" s="14">
        <v>1E-4</v>
      </c>
      <c r="Z485" s="10" t="str">
        <f>IF(AND(D485="TRADING",I485&lt;&gt;"",L485&lt;&gt;"",M485&lt;&gt;"",N485&lt;&gt;"",O485&lt;&gt;""),"Yes","No")</f>
        <v>Yes</v>
      </c>
      <c r="AA485" s="10" t="s">
        <v>56</v>
      </c>
    </row>
    <row r="486" spans="1:27">
      <c r="A486" s="10" t="s">
        <v>1108</v>
      </c>
      <c r="B486" s="10" t="s">
        <v>1109</v>
      </c>
      <c r="C486" s="10" t="s">
        <v>12</v>
      </c>
      <c r="D486" s="10" t="s">
        <v>55</v>
      </c>
      <c r="E486" s="11" t="b">
        <v>1</v>
      </c>
      <c r="F486" s="12">
        <v>45576</v>
      </c>
      <c r="G486" s="12">
        <v>45576.999999988424</v>
      </c>
      <c r="H486" s="13">
        <f>IF(F486="","",(Summary!$B$5-F486)/365.25)</f>
        <v>1.8097535696630938</v>
      </c>
      <c r="I486" s="14">
        <v>1.916E-2</v>
      </c>
      <c r="J486" s="15">
        <v>-1.0840000000000001E-2</v>
      </c>
      <c r="K486" s="16">
        <v>7672377.9000000004</v>
      </c>
      <c r="L486" s="16">
        <v>148299.85352999999</v>
      </c>
      <c r="M486" s="17">
        <v>3858</v>
      </c>
      <c r="N486" s="14">
        <v>1.9140000000000001E-2</v>
      </c>
      <c r="O486" s="14">
        <v>1.915E-2</v>
      </c>
      <c r="P486" s="18">
        <f>IF(OR(N486="",O486="",N486=0,O486=0),"",(O486-N486)/((O486+N486)/2))</f>
        <v>5.2232958997125054E-4</v>
      </c>
      <c r="Q486" s="14">
        <v>1.9329059999999999E-2</v>
      </c>
      <c r="R486" s="14">
        <v>1.9630000000000002E-2</v>
      </c>
      <c r="S486" s="14">
        <v>1.9040000000000001E-2</v>
      </c>
      <c r="T486" s="12">
        <v>46236.012113506942</v>
      </c>
      <c r="U486" s="12">
        <v>46237.012113506942</v>
      </c>
      <c r="V486" s="14">
        <v>5</v>
      </c>
      <c r="W486" s="14">
        <v>0.1</v>
      </c>
      <c r="X486" s="14">
        <v>0.1</v>
      </c>
      <c r="Y486" s="14">
        <v>1.0000000000000001E-5</v>
      </c>
      <c r="Z486" s="10" t="str">
        <f>IF(AND(D486="TRADING",I486&lt;&gt;"",L486&lt;&gt;"",M486&lt;&gt;"",N486&lt;&gt;"",O486&lt;&gt;""),"Yes","No")</f>
        <v>Yes</v>
      </c>
      <c r="AA486" s="10" t="s">
        <v>56</v>
      </c>
    </row>
    <row r="487" spans="1:27">
      <c r="A487" s="10" t="s">
        <v>300</v>
      </c>
      <c r="B487" s="10" t="s">
        <v>301</v>
      </c>
      <c r="C487" s="10" t="s">
        <v>12</v>
      </c>
      <c r="D487" s="10" t="s">
        <v>55</v>
      </c>
      <c r="E487" s="11" t="b">
        <v>1</v>
      </c>
      <c r="F487" s="12">
        <v>45582</v>
      </c>
      <c r="G487" s="12">
        <v>45582.999999988424</v>
      </c>
      <c r="H487" s="13">
        <f>IF(F487="","",(Summary!$B$5-F487)/365.25)</f>
        <v>1.7933264649403011</v>
      </c>
      <c r="I487" s="14">
        <v>82.6</v>
      </c>
      <c r="J487" s="15">
        <v>1.8500000000000003E-2</v>
      </c>
      <c r="K487" s="16">
        <v>1616.8620000000001</v>
      </c>
      <c r="L487" s="16">
        <v>133144.8248</v>
      </c>
      <c r="M487" s="17">
        <v>2036</v>
      </c>
      <c r="N487" s="14">
        <v>82.6</v>
      </c>
      <c r="O487" s="14">
        <v>82.7</v>
      </c>
      <c r="P487" s="18">
        <f>IF(OR(N487="",O487="",N487=0,O487=0),"",(O487-N487)/((O487+N487)/2))</f>
        <v>1.2099213551120208E-3</v>
      </c>
      <c r="Q487" s="14">
        <v>82.347673950000001</v>
      </c>
      <c r="R487" s="14">
        <v>83.5</v>
      </c>
      <c r="S487" s="14">
        <v>81</v>
      </c>
      <c r="T487" s="12">
        <v>46236.012269918981</v>
      </c>
      <c r="U487" s="12">
        <v>46237.012269918981</v>
      </c>
      <c r="V487" s="14">
        <v>5</v>
      </c>
      <c r="W487" s="14">
        <v>1E-3</v>
      </c>
      <c r="X487" s="14">
        <v>1E-3</v>
      </c>
      <c r="Y487" s="14">
        <v>0.1</v>
      </c>
      <c r="Z487" s="10" t="str">
        <f>IF(AND(D487="TRADING",I487&lt;&gt;"",L487&lt;&gt;"",M487&lt;&gt;"",N487&lt;&gt;"",O487&lt;&gt;""),"Yes","No")</f>
        <v>Yes</v>
      </c>
      <c r="AA487" s="10" t="s">
        <v>56</v>
      </c>
    </row>
    <row r="488" spans="1:27">
      <c r="A488" s="10" t="s">
        <v>774</v>
      </c>
      <c r="B488" s="10" t="s">
        <v>775</v>
      </c>
      <c r="C488" s="10" t="s">
        <v>12</v>
      </c>
      <c r="D488" s="10" t="s">
        <v>55</v>
      </c>
      <c r="E488" s="11" t="b">
        <v>1</v>
      </c>
      <c r="F488" s="12">
        <v>45583</v>
      </c>
      <c r="G488" s="12">
        <v>45583.999999988424</v>
      </c>
      <c r="H488" s="13">
        <f>IF(F488="","",(Summary!$B$5-F488)/365.25)</f>
        <v>1.7905886141531691</v>
      </c>
      <c r="I488" s="14">
        <v>7.4899999999999994E-2</v>
      </c>
      <c r="J488" s="15">
        <v>1.6279999999999999E-2</v>
      </c>
      <c r="K488" s="16">
        <v>11710992.130000001</v>
      </c>
      <c r="L488" s="16">
        <v>907135.788268</v>
      </c>
      <c r="M488" s="17">
        <v>16205</v>
      </c>
      <c r="N488" s="14">
        <v>7.4700000000000003E-2</v>
      </c>
      <c r="O488" s="14">
        <v>7.4800000000000005E-2</v>
      </c>
      <c r="P488" s="18">
        <f>IF(OR(N488="",O488="",N488=0,O488=0),"",(O488-N488)/((O488+N488)/2))</f>
        <v>1.3377926421405063E-3</v>
      </c>
      <c r="Q488" s="14">
        <v>7.7460200000000007E-2</v>
      </c>
      <c r="R488" s="14">
        <v>8.1500000000000003E-2</v>
      </c>
      <c r="S488" s="14">
        <v>7.3200000000000001E-2</v>
      </c>
      <c r="T488" s="12">
        <v>46236.012414699071</v>
      </c>
      <c r="U488" s="12">
        <v>46237.012414699071</v>
      </c>
      <c r="V488" s="14">
        <v>5</v>
      </c>
      <c r="W488" s="14">
        <v>0.01</v>
      </c>
      <c r="X488" s="14">
        <v>0.01</v>
      </c>
      <c r="Y488" s="14">
        <v>1E-4</v>
      </c>
      <c r="Z488" s="10" t="str">
        <f>IF(AND(D488="TRADING",I488&lt;&gt;"",L488&lt;&gt;"",M488&lt;&gt;"",N488&lt;&gt;"",O488&lt;&gt;""),"Yes","No")</f>
        <v>Yes</v>
      </c>
      <c r="AA488" s="10" t="s">
        <v>56</v>
      </c>
    </row>
    <row r="489" spans="1:27">
      <c r="A489" s="10" t="s">
        <v>700</v>
      </c>
      <c r="B489" s="10" t="s">
        <v>701</v>
      </c>
      <c r="C489" s="10" t="s">
        <v>12</v>
      </c>
      <c r="D489" s="10" t="s">
        <v>55</v>
      </c>
      <c r="E489" s="11" t="b">
        <v>1</v>
      </c>
      <c r="F489" s="12">
        <v>45596</v>
      </c>
      <c r="G489" s="12">
        <v>45596.999999988424</v>
      </c>
      <c r="H489" s="13">
        <f>IF(F489="","",(Summary!$B$5-F489)/365.25)</f>
        <v>1.7549965539204517</v>
      </c>
      <c r="I489" s="14">
        <v>2.6200000000000001E-2</v>
      </c>
      <c r="J489" s="15">
        <v>-1.873E-2</v>
      </c>
      <c r="K489" s="16">
        <v>11286688.800000001</v>
      </c>
      <c r="L489" s="16">
        <v>298932.66073</v>
      </c>
      <c r="M489" s="17">
        <v>3004</v>
      </c>
      <c r="N489" s="14">
        <v>2.6200000000000001E-2</v>
      </c>
      <c r="O489" s="14">
        <v>2.63E-2</v>
      </c>
      <c r="P489" s="18">
        <f>IF(OR(N489="",O489="",N489=0,O489=0),"",(O489-N489)/((O489+N489)/2))</f>
        <v>3.8095238095237861E-3</v>
      </c>
      <c r="Q489" s="14">
        <v>2.6485419999999999E-2</v>
      </c>
      <c r="R489" s="14">
        <v>2.69E-2</v>
      </c>
      <c r="S489" s="14">
        <v>2.6200000000000001E-2</v>
      </c>
      <c r="T489" s="12">
        <v>46236.01232050926</v>
      </c>
      <c r="U489" s="12">
        <v>46237.01232050926</v>
      </c>
      <c r="V489" s="14">
        <v>5</v>
      </c>
      <c r="W489" s="14">
        <v>0.1</v>
      </c>
      <c r="X489" s="14">
        <v>0.1</v>
      </c>
      <c r="Y489" s="14">
        <v>1E-4</v>
      </c>
      <c r="Z489" s="10" t="str">
        <f>IF(AND(D489="TRADING",I489&lt;&gt;"",L489&lt;&gt;"",M489&lt;&gt;"",N489&lt;&gt;"",O489&lt;&gt;""),"Yes","No")</f>
        <v>Yes</v>
      </c>
      <c r="AA489" s="10" t="s">
        <v>56</v>
      </c>
    </row>
    <row r="490" spans="1:27">
      <c r="A490" s="10" t="s">
        <v>349</v>
      </c>
      <c r="B490" s="10" t="s">
        <v>350</v>
      </c>
      <c r="C490" s="10" t="s">
        <v>12</v>
      </c>
      <c r="D490" s="10" t="s">
        <v>55</v>
      </c>
      <c r="E490" s="11" t="b">
        <v>1</v>
      </c>
      <c r="F490" s="12">
        <v>45602</v>
      </c>
      <c r="G490" s="12">
        <v>45602.999999988424</v>
      </c>
      <c r="H490" s="13">
        <f>IF(F490="","",(Summary!$B$5-F490)/365.25)</f>
        <v>1.7385694491976591</v>
      </c>
      <c r="I490" s="14">
        <v>1.763E-2</v>
      </c>
      <c r="J490" s="15">
        <v>8.5799999999999991E-3</v>
      </c>
      <c r="K490" s="16">
        <v>3297791.4</v>
      </c>
      <c r="L490" s="16">
        <v>58558.625716000002</v>
      </c>
      <c r="M490" s="17">
        <v>1323</v>
      </c>
      <c r="N490" s="14">
        <v>1.7639999999999999E-2</v>
      </c>
      <c r="O490" s="14">
        <v>1.7649999999999999E-2</v>
      </c>
      <c r="P490" s="18">
        <f>IF(OR(N490="",O490="",N490=0,O490=0),"",(O490-N490)/((O490+N490)/2))</f>
        <v>5.6673278549161752E-4</v>
      </c>
      <c r="Q490" s="14">
        <v>1.7756919999999999E-2</v>
      </c>
      <c r="R490" s="14">
        <v>1.789E-2</v>
      </c>
      <c r="S490" s="14">
        <v>1.746E-2</v>
      </c>
      <c r="T490" s="12">
        <v>46236.012478379627</v>
      </c>
      <c r="U490" s="12">
        <v>46237.012478379627</v>
      </c>
      <c r="V490" s="14">
        <v>5</v>
      </c>
      <c r="W490" s="14">
        <v>0.1</v>
      </c>
      <c r="X490" s="14">
        <v>0.1</v>
      </c>
      <c r="Y490" s="14">
        <v>1.0000000000000001E-5</v>
      </c>
      <c r="Z490" s="10" t="str">
        <f>IF(AND(D490="TRADING",I490&lt;&gt;"",L490&lt;&gt;"",M490&lt;&gt;"",N490&lt;&gt;"",O490&lt;&gt;""),"Yes","No")</f>
        <v>Yes</v>
      </c>
      <c r="AA490" s="10" t="s">
        <v>56</v>
      </c>
    </row>
    <row r="491" spans="1:27">
      <c r="A491" s="10" t="s">
        <v>385</v>
      </c>
      <c r="B491" s="10" t="s">
        <v>386</v>
      </c>
      <c r="C491" s="10" t="s">
        <v>12</v>
      </c>
      <c r="D491" s="10" t="s">
        <v>55</v>
      </c>
      <c r="E491" s="11" t="b">
        <v>1</v>
      </c>
      <c r="F491" s="12">
        <v>45602</v>
      </c>
      <c r="G491" s="12">
        <v>45602.999999988424</v>
      </c>
      <c r="H491" s="13">
        <f>IF(F491="","",(Summary!$B$5-F491)/365.25)</f>
        <v>1.7385694491976591</v>
      </c>
      <c r="I491" s="14">
        <v>0.1139</v>
      </c>
      <c r="J491" s="15">
        <v>3.5199999999999997E-3</v>
      </c>
      <c r="K491" s="16">
        <v>469068.5</v>
      </c>
      <c r="L491" s="16">
        <v>53592.368860000002</v>
      </c>
      <c r="M491" s="17">
        <v>681</v>
      </c>
      <c r="N491" s="14">
        <v>0.1139</v>
      </c>
      <c r="O491" s="14">
        <v>0.114</v>
      </c>
      <c r="P491" s="18">
        <f>IF(OR(N491="",O491="",N491=0,O491=0),"",(O491-N491)/((O491+N491)/2))</f>
        <v>8.7757788503732223E-4</v>
      </c>
      <c r="Q491" s="14">
        <v>0.11425275999999999</v>
      </c>
      <c r="R491" s="14">
        <v>0.115</v>
      </c>
      <c r="S491" s="14">
        <v>0.1132</v>
      </c>
      <c r="T491" s="12">
        <v>46236.012399375002</v>
      </c>
      <c r="U491" s="12">
        <v>46237.012399375002</v>
      </c>
      <c r="V491" s="14">
        <v>5</v>
      </c>
      <c r="W491" s="14">
        <v>0.1</v>
      </c>
      <c r="X491" s="14">
        <v>0.1</v>
      </c>
      <c r="Y491" s="14">
        <v>1E-4</v>
      </c>
      <c r="Z491" s="10" t="str">
        <f>IF(AND(D491="TRADING",I491&lt;&gt;"",L491&lt;&gt;"",M491&lt;&gt;"",N491&lt;&gt;"",O491&lt;&gt;""),"Yes","No")</f>
        <v>Yes</v>
      </c>
      <c r="AA491" s="10" t="s">
        <v>56</v>
      </c>
    </row>
    <row r="492" spans="1:27">
      <c r="A492" s="10" t="s">
        <v>99</v>
      </c>
      <c r="B492" s="10" t="s">
        <v>100</v>
      </c>
      <c r="C492" s="10" t="s">
        <v>12</v>
      </c>
      <c r="D492" s="10" t="s">
        <v>55</v>
      </c>
      <c r="E492" s="11" t="b">
        <v>1</v>
      </c>
      <c r="F492" s="12">
        <v>45607</v>
      </c>
      <c r="G492" s="12">
        <v>45607.999999988424</v>
      </c>
      <c r="H492" s="13">
        <f>IF(F492="","",(Summary!$B$5-F492)/365.25)</f>
        <v>1.7248801952619985</v>
      </c>
      <c r="I492" s="14">
        <v>8.6400000000000001E-3</v>
      </c>
      <c r="J492" s="15">
        <v>-2.7029999999999998E-2</v>
      </c>
      <c r="K492" s="16">
        <v>25997638.800000001</v>
      </c>
      <c r="L492" s="16">
        <v>229961.46716</v>
      </c>
      <c r="M492" s="17">
        <v>7015</v>
      </c>
      <c r="N492" s="14">
        <v>8.6400000000000001E-3</v>
      </c>
      <c r="O492" s="14">
        <v>8.6499999999999997E-3</v>
      </c>
      <c r="P492" s="18">
        <f>IF(OR(N492="",O492="",N492=0,O492=0),"",(O492-N492)/((O492+N492)/2))</f>
        <v>1.1567379988432149E-3</v>
      </c>
      <c r="Q492" s="14">
        <v>8.8454799999999993E-3</v>
      </c>
      <c r="R492" s="14">
        <v>9.0600000000000003E-3</v>
      </c>
      <c r="S492" s="14">
        <v>8.5699999999999995E-3</v>
      </c>
      <c r="T492" s="12">
        <v>46236.012460335645</v>
      </c>
      <c r="U492" s="12">
        <v>46237.012460335645</v>
      </c>
      <c r="V492" s="14">
        <v>1</v>
      </c>
      <c r="W492" s="14">
        <v>0.1</v>
      </c>
      <c r="X492" s="14">
        <v>0.1</v>
      </c>
      <c r="Y492" s="14">
        <v>1.0000000000000001E-5</v>
      </c>
      <c r="Z492" s="10" t="str">
        <f>IF(AND(D492="TRADING",I492&lt;&gt;"",L492&lt;&gt;"",M492&lt;&gt;"",N492&lt;&gt;"",O492&lt;&gt;""),"Yes","No")</f>
        <v>Yes</v>
      </c>
      <c r="AA492" s="10" t="s">
        <v>56</v>
      </c>
    </row>
    <row r="493" spans="1:27">
      <c r="A493" s="10" t="s">
        <v>988</v>
      </c>
      <c r="B493" s="10" t="s">
        <v>989</v>
      </c>
      <c r="C493" s="10" t="s">
        <v>12</v>
      </c>
      <c r="D493" s="10" t="s">
        <v>55</v>
      </c>
      <c r="E493" s="11" t="b">
        <v>1</v>
      </c>
      <c r="F493" s="12">
        <v>45607</v>
      </c>
      <c r="G493" s="12">
        <v>45607.999999988424</v>
      </c>
      <c r="H493" s="13">
        <f>IF(F493="","",(Summary!$B$5-F493)/365.25)</f>
        <v>1.7248801952619985</v>
      </c>
      <c r="I493" s="14">
        <v>3.95E-2</v>
      </c>
      <c r="J493" s="15">
        <v>1.023E-2</v>
      </c>
      <c r="K493" s="16">
        <v>13939655.4</v>
      </c>
      <c r="L493" s="16">
        <v>552473.79377999995</v>
      </c>
      <c r="M493" s="17">
        <v>6181</v>
      </c>
      <c r="N493" s="14">
        <v>3.9399999999999998E-2</v>
      </c>
      <c r="O493" s="14">
        <v>3.95E-2</v>
      </c>
      <c r="P493" s="18">
        <f>IF(OR(N493="",O493="",N493=0,O493=0),"",(O493-N493)/((O493+N493)/2))</f>
        <v>2.5348542458809345E-3</v>
      </c>
      <c r="Q493" s="14">
        <v>3.9633250000000002E-2</v>
      </c>
      <c r="R493" s="14">
        <v>4.0599999999999997E-2</v>
      </c>
      <c r="S493" s="14">
        <v>3.9E-2</v>
      </c>
      <c r="T493" s="12">
        <v>46236.012468796296</v>
      </c>
      <c r="U493" s="12">
        <v>46237.012468796296</v>
      </c>
      <c r="V493" s="14">
        <v>1</v>
      </c>
      <c r="W493" s="14">
        <v>0.1</v>
      </c>
      <c r="X493" s="14">
        <v>0.1</v>
      </c>
      <c r="Y493" s="14">
        <v>1E-4</v>
      </c>
      <c r="Z493" s="10" t="str">
        <f>IF(AND(D493="TRADING",I493&lt;&gt;"",L493&lt;&gt;"",M493&lt;&gt;"",N493&lt;&gt;"",O493&lt;&gt;""),"Yes","No")</f>
        <v>Yes</v>
      </c>
      <c r="AA493" s="10" t="s">
        <v>56</v>
      </c>
    </row>
    <row r="494" spans="1:27">
      <c r="A494" s="10" t="s">
        <v>1298</v>
      </c>
      <c r="B494" s="10" t="s">
        <v>1299</v>
      </c>
      <c r="C494" s="10" t="s">
        <v>12</v>
      </c>
      <c r="D494" s="10" t="s">
        <v>55</v>
      </c>
      <c r="E494" s="11" t="b">
        <v>1</v>
      </c>
      <c r="F494" s="12">
        <v>45615</v>
      </c>
      <c r="G494" s="12">
        <v>45615.999999988424</v>
      </c>
      <c r="H494" s="13">
        <f>IF(F494="","",(Summary!$B$5-F494)/365.25)</f>
        <v>1.7029773889649418</v>
      </c>
      <c r="I494" s="14">
        <v>7.9000000000000008E-3</v>
      </c>
      <c r="J494" s="15">
        <v>5.0899999999999999E-3</v>
      </c>
      <c r="K494" s="16">
        <v>33270030.399999999</v>
      </c>
      <c r="L494" s="16">
        <v>262373.82405699999</v>
      </c>
      <c r="M494" s="17">
        <v>3864</v>
      </c>
      <c r="N494" s="14">
        <v>7.9000000000000008E-3</v>
      </c>
      <c r="O494" s="14">
        <v>7.9100000000000004E-3</v>
      </c>
      <c r="P494" s="18">
        <f>IF(OR(N494="",O494="",N494=0,O494=0),"",(O494-N494)/((O494+N494)/2))</f>
        <v>1.2650221378873614E-3</v>
      </c>
      <c r="Q494" s="14">
        <v>7.8861899999999995E-3</v>
      </c>
      <c r="R494" s="14">
        <v>8.0300000000000007E-3</v>
      </c>
      <c r="S494" s="14">
        <v>7.7499999999999999E-3</v>
      </c>
      <c r="T494" s="12">
        <v>46236.012021562499</v>
      </c>
      <c r="U494" s="12">
        <v>46237.012021562499</v>
      </c>
      <c r="V494" s="14">
        <v>5</v>
      </c>
      <c r="W494" s="14">
        <v>0.1</v>
      </c>
      <c r="X494" s="14">
        <v>0.1</v>
      </c>
      <c r="Y494" s="14">
        <v>1.0000000000000001E-5</v>
      </c>
      <c r="Z494" s="10" t="str">
        <f>IF(AND(D494="TRADING",I494&lt;&gt;"",L494&lt;&gt;"",M494&lt;&gt;"",N494&lt;&gt;"",O494&lt;&gt;""),"Yes","No")</f>
        <v>Yes</v>
      </c>
      <c r="AA494" s="10" t="s">
        <v>56</v>
      </c>
    </row>
    <row r="495" spans="1:27">
      <c r="A495" s="10" t="s">
        <v>1219</v>
      </c>
      <c r="B495" s="10" t="s">
        <v>1220</v>
      </c>
      <c r="C495" s="10" t="s">
        <v>12</v>
      </c>
      <c r="D495" s="10" t="s">
        <v>55</v>
      </c>
      <c r="E495" s="11" t="b">
        <v>1</v>
      </c>
      <c r="F495" s="12">
        <v>45623</v>
      </c>
      <c r="G495" s="12">
        <v>45623.999999988424</v>
      </c>
      <c r="H495" s="13">
        <f>IF(F495="","",(Summary!$B$5-F495)/365.25)</f>
        <v>1.681074582667885</v>
      </c>
      <c r="I495" s="14">
        <v>5.0999999999999997E-2</v>
      </c>
      <c r="J495" s="15">
        <v>0</v>
      </c>
      <c r="K495" s="16">
        <v>2495528.9</v>
      </c>
      <c r="L495" s="16">
        <v>128226.77198</v>
      </c>
      <c r="M495" s="17">
        <v>1764</v>
      </c>
      <c r="N495" s="14">
        <v>5.0999999999999997E-2</v>
      </c>
      <c r="O495" s="14">
        <v>5.11E-2</v>
      </c>
      <c r="P495" s="18">
        <f>IF(OR(N495="",O495="",N495=0,O495=0),"",(O495-N495)/((O495+N495)/2))</f>
        <v>1.9588638589618582E-3</v>
      </c>
      <c r="Q495" s="14">
        <v>5.13826E-2</v>
      </c>
      <c r="R495" s="14">
        <v>5.21E-2</v>
      </c>
      <c r="S495" s="14">
        <v>5.0599999999999999E-2</v>
      </c>
      <c r="T495" s="12">
        <v>46236.012323773146</v>
      </c>
      <c r="U495" s="12">
        <v>46237.012323773146</v>
      </c>
      <c r="V495" s="14">
        <v>5</v>
      </c>
      <c r="W495" s="14">
        <v>0.1</v>
      </c>
      <c r="X495" s="14">
        <v>0.1</v>
      </c>
      <c r="Y495" s="14">
        <v>1E-4</v>
      </c>
      <c r="Z495" s="10" t="str">
        <f>IF(AND(D495="TRADING",I495&lt;&gt;"",L495&lt;&gt;"",M495&lt;&gt;"",N495&lt;&gt;"",O495&lt;&gt;""),"Yes","No")</f>
        <v>Yes</v>
      </c>
      <c r="AA495" s="10" t="s">
        <v>56</v>
      </c>
    </row>
    <row r="496" spans="1:27">
      <c r="A496" s="10" t="s">
        <v>101</v>
      </c>
      <c r="B496" s="10" t="s">
        <v>102</v>
      </c>
      <c r="C496" s="10" t="s">
        <v>12</v>
      </c>
      <c r="D496" s="10" t="s">
        <v>55</v>
      </c>
      <c r="E496" s="11" t="b">
        <v>1</v>
      </c>
      <c r="F496" s="12">
        <v>45632</v>
      </c>
      <c r="G496" s="12">
        <v>45632.999999988424</v>
      </c>
      <c r="H496" s="13">
        <f>IF(F496="","",(Summary!$B$5-F496)/365.25)</f>
        <v>1.656433925583696</v>
      </c>
      <c r="I496" s="14">
        <v>4.0280000000000003E-2</v>
      </c>
      <c r="J496" s="15">
        <v>-2.7290000000000002E-2</v>
      </c>
      <c r="K496" s="16">
        <v>1595027.4</v>
      </c>
      <c r="L496" s="16">
        <v>64719.687804000001</v>
      </c>
      <c r="M496" s="17">
        <v>861</v>
      </c>
      <c r="N496" s="14">
        <v>4.0090000000000001E-2</v>
      </c>
      <c r="O496" s="14">
        <v>4.0169999999999997E-2</v>
      </c>
      <c r="P496" s="18">
        <f>IF(OR(N496="",O496="",N496=0,O496=0),"",(O496-N496)/((O496+N496)/2))</f>
        <v>1.9935210565660789E-3</v>
      </c>
      <c r="Q496" s="14">
        <v>4.057591E-2</v>
      </c>
      <c r="R496" s="14">
        <v>4.1500000000000002E-2</v>
      </c>
      <c r="S496" s="14">
        <v>4.011E-2</v>
      </c>
      <c r="T496" s="12">
        <v>46236.012486724539</v>
      </c>
      <c r="U496" s="12">
        <v>46237.012486724539</v>
      </c>
      <c r="V496" s="14">
        <v>5</v>
      </c>
      <c r="W496" s="14">
        <v>0.1</v>
      </c>
      <c r="X496" s="14">
        <v>0.1</v>
      </c>
      <c r="Y496" s="14">
        <v>1.0000000000000001E-5</v>
      </c>
      <c r="Z496" s="10" t="str">
        <f>IF(AND(D496="TRADING",I496&lt;&gt;"",L496&lt;&gt;"",M496&lt;&gt;"",N496&lt;&gt;"",O496&lt;&gt;""),"Yes","No")</f>
        <v>Yes</v>
      </c>
      <c r="AA496" s="10" t="s">
        <v>56</v>
      </c>
    </row>
    <row r="497" spans="1:27">
      <c r="A497" s="10" t="s">
        <v>940</v>
      </c>
      <c r="B497" s="10" t="s">
        <v>941</v>
      </c>
      <c r="C497" s="10" t="s">
        <v>12</v>
      </c>
      <c r="D497" s="10" t="s">
        <v>55</v>
      </c>
      <c r="E497" s="11" t="b">
        <v>1</v>
      </c>
      <c r="F497" s="12">
        <v>45632</v>
      </c>
      <c r="G497" s="12">
        <v>45632.999999988424</v>
      </c>
      <c r="H497" s="13">
        <f>IF(F497="","",(Summary!$B$5-F497)/365.25)</f>
        <v>1.656433925583696</v>
      </c>
      <c r="I497" s="14">
        <v>1.0880000000000001</v>
      </c>
      <c r="J497" s="15">
        <v>-1.0009999999999998E-2</v>
      </c>
      <c r="K497" s="16">
        <v>172802.64</v>
      </c>
      <c r="L497" s="16">
        <v>190427.78393999999</v>
      </c>
      <c r="M497" s="17">
        <v>2423</v>
      </c>
      <c r="N497" s="14">
        <v>1.0880000000000001</v>
      </c>
      <c r="O497" s="14">
        <v>1.089</v>
      </c>
      <c r="P497" s="18">
        <f>IF(OR(N497="",O497="",N497=0,O497=0),"",(O497-N497)/((O497+N497)/2))</f>
        <v>9.1869545245740918E-4</v>
      </c>
      <c r="Q497" s="14">
        <v>1.1019958000000001</v>
      </c>
      <c r="R497" s="14">
        <v>1.119</v>
      </c>
      <c r="S497" s="14">
        <v>1.0880000000000001</v>
      </c>
      <c r="T497" s="12">
        <v>46236.012476388889</v>
      </c>
      <c r="U497" s="12">
        <v>46237.012476388889</v>
      </c>
      <c r="V497" s="14">
        <v>5</v>
      </c>
      <c r="W497" s="14">
        <v>0.01</v>
      </c>
      <c r="X497" s="14">
        <v>0.01</v>
      </c>
      <c r="Y497" s="14">
        <v>1E-3</v>
      </c>
      <c r="Z497" s="10" t="str">
        <f>IF(AND(D497="TRADING",I497&lt;&gt;"",L497&lt;&gt;"",M497&lt;&gt;"",N497&lt;&gt;"",O497&lt;&gt;""),"Yes","No")</f>
        <v>Yes</v>
      </c>
      <c r="AA497" s="10" t="s">
        <v>56</v>
      </c>
    </row>
    <row r="498" spans="1:27">
      <c r="A498" s="10" t="s">
        <v>840</v>
      </c>
      <c r="B498" s="10" t="s">
        <v>841</v>
      </c>
      <c r="C498" s="10" t="s">
        <v>12</v>
      </c>
      <c r="D498" s="10" t="s">
        <v>55</v>
      </c>
      <c r="E498" s="11" t="b">
        <v>1</v>
      </c>
      <c r="F498" s="12">
        <v>45635</v>
      </c>
      <c r="G498" s="12">
        <v>45635.999999988424</v>
      </c>
      <c r="H498" s="13">
        <f>IF(F498="","",(Summary!$B$5-F498)/365.25)</f>
        <v>1.6482203732222998</v>
      </c>
      <c r="I498" s="14">
        <v>7.4999999999999997E-3</v>
      </c>
      <c r="J498" s="15">
        <v>1.3509999999999999E-2</v>
      </c>
      <c r="K498" s="16">
        <v>15700602.5</v>
      </c>
      <c r="L498" s="16">
        <v>118827.49502</v>
      </c>
      <c r="M498" s="17">
        <v>2781</v>
      </c>
      <c r="N498" s="14">
        <v>7.4999999999999997E-3</v>
      </c>
      <c r="O498" s="14">
        <v>7.6E-3</v>
      </c>
      <c r="P498" s="18">
        <f>IF(OR(N498="",O498="",N498=0,O498=0),"",(O498-N498)/((O498+N498)/2))</f>
        <v>1.3245033112582818E-2</v>
      </c>
      <c r="Q498" s="14">
        <v>7.5683399999999998E-3</v>
      </c>
      <c r="R498" s="14">
        <v>7.7000000000000002E-3</v>
      </c>
      <c r="S498" s="14">
        <v>7.4000000000000003E-3</v>
      </c>
      <c r="T498" s="12">
        <v>46236.012451064817</v>
      </c>
      <c r="U498" s="12">
        <v>46237.012451064817</v>
      </c>
      <c r="V498" s="14">
        <v>5</v>
      </c>
      <c r="W498" s="14">
        <v>0.1</v>
      </c>
      <c r="X498" s="14">
        <v>0.1</v>
      </c>
      <c r="Y498" s="14">
        <v>1E-4</v>
      </c>
      <c r="Z498" s="10" t="str">
        <f>IF(AND(D498="TRADING",I498&lt;&gt;"",L498&lt;&gt;"",M498&lt;&gt;"",N498&lt;&gt;"",O498&lt;&gt;""),"Yes","No")</f>
        <v>Yes</v>
      </c>
      <c r="AA498" s="10" t="s">
        <v>56</v>
      </c>
    </row>
    <row r="499" spans="1:27">
      <c r="A499" s="10" t="s">
        <v>816</v>
      </c>
      <c r="B499" s="10" t="s">
        <v>817</v>
      </c>
      <c r="C499" s="10" t="s">
        <v>12</v>
      </c>
      <c r="D499" s="10" t="s">
        <v>55</v>
      </c>
      <c r="E499" s="11" t="b">
        <v>1</v>
      </c>
      <c r="F499" s="12">
        <v>45636</v>
      </c>
      <c r="G499" s="12">
        <v>45636.999999988424</v>
      </c>
      <c r="H499" s="13">
        <f>IF(F499="","",(Summary!$B$5-F499)/365.25)</f>
        <v>1.6454825224351677</v>
      </c>
      <c r="I499" s="14">
        <v>6.0589999999999998E-2</v>
      </c>
      <c r="J499" s="15">
        <v>2.2620000000000001E-2</v>
      </c>
      <c r="K499" s="16">
        <v>8263602.7400000002</v>
      </c>
      <c r="L499" s="16">
        <v>506457.38883790001</v>
      </c>
      <c r="M499" s="17">
        <v>10887</v>
      </c>
      <c r="N499" s="14">
        <v>6.0589999999999998E-2</v>
      </c>
      <c r="O499" s="14">
        <v>6.0630000000000003E-2</v>
      </c>
      <c r="P499" s="18">
        <f>IF(OR(N499="",O499="",N499=0,O499=0),"",(O499-N499)/((O499+N499)/2))</f>
        <v>6.5995710278840634E-4</v>
      </c>
      <c r="Q499" s="14">
        <v>6.1287719999999997E-2</v>
      </c>
      <c r="R499" s="14">
        <v>6.3519999999999993E-2</v>
      </c>
      <c r="S499" s="14">
        <v>5.9130000000000002E-2</v>
      </c>
      <c r="T499" s="12">
        <v>46236.012486689811</v>
      </c>
      <c r="U499" s="12">
        <v>46237.012486689811</v>
      </c>
      <c r="V499" s="14">
        <v>5</v>
      </c>
      <c r="W499" s="14">
        <v>0.01</v>
      </c>
      <c r="X499" s="14">
        <v>0.01</v>
      </c>
      <c r="Y499" s="14">
        <v>1.0000000000000001E-5</v>
      </c>
      <c r="Z499" s="10" t="str">
        <f>IF(AND(D499="TRADING",I499&lt;&gt;"",L499&lt;&gt;"",M499&lt;&gt;"",N499&lt;&gt;"",O499&lt;&gt;""),"Yes","No")</f>
        <v>Yes</v>
      </c>
      <c r="AA499" s="10" t="s">
        <v>56</v>
      </c>
    </row>
    <row r="500" spans="1:27">
      <c r="A500" s="10" t="s">
        <v>1307</v>
      </c>
      <c r="B500" s="10" t="s">
        <v>1308</v>
      </c>
      <c r="C500" s="10" t="s">
        <v>12</v>
      </c>
      <c r="D500" s="10" t="s">
        <v>55</v>
      </c>
      <c r="E500" s="11" t="b">
        <v>1</v>
      </c>
      <c r="F500" s="12">
        <v>45639</v>
      </c>
      <c r="G500" s="12">
        <v>45639.999999988424</v>
      </c>
      <c r="H500" s="13">
        <f>IF(F500="","",(Summary!$B$5-F500)/365.25)</f>
        <v>1.6372689700737713</v>
      </c>
      <c r="I500" s="14">
        <v>1.653E-2</v>
      </c>
      <c r="J500" s="15">
        <v>-8.9899999999999997E-3</v>
      </c>
      <c r="K500" s="16">
        <v>4592661.0999999996</v>
      </c>
      <c r="L500" s="16">
        <v>76000.320445999998</v>
      </c>
      <c r="M500" s="17">
        <v>4319</v>
      </c>
      <c r="N500" s="14">
        <v>1.652E-2</v>
      </c>
      <c r="O500" s="14">
        <v>1.6539999999999999E-2</v>
      </c>
      <c r="P500" s="18">
        <f>IF(OR(N500="",O500="",N500=0,O500=0),"",(O500-N500)/((O500+N500)/2))</f>
        <v>1.2099213551118684E-3</v>
      </c>
      <c r="Q500" s="14">
        <v>1.6548210000000001E-2</v>
      </c>
      <c r="R500" s="14">
        <v>1.6969999999999999E-2</v>
      </c>
      <c r="S500" s="14">
        <v>1.618E-2</v>
      </c>
      <c r="T500" s="12">
        <v>46236.011722951385</v>
      </c>
      <c r="U500" s="12">
        <v>46237.011722951385</v>
      </c>
      <c r="V500" s="14">
        <v>5</v>
      </c>
      <c r="W500" s="14">
        <v>0.1</v>
      </c>
      <c r="X500" s="14">
        <v>0.1</v>
      </c>
      <c r="Y500" s="14">
        <v>1.0000000000000001E-5</v>
      </c>
      <c r="Z500" s="10" t="str">
        <f>IF(AND(D500="TRADING",I500&lt;&gt;"",L500&lt;&gt;"",M500&lt;&gt;"",N500&lt;&gt;"",O500&lt;&gt;""),"Yes","No")</f>
        <v>Yes</v>
      </c>
      <c r="AA500" s="10" t="s">
        <v>56</v>
      </c>
    </row>
    <row r="501" spans="1:27">
      <c r="A501" s="10" t="s">
        <v>1303</v>
      </c>
      <c r="B501" s="10" t="s">
        <v>1304</v>
      </c>
      <c r="C501" s="10" t="s">
        <v>12</v>
      </c>
      <c r="D501" s="10" t="s">
        <v>55</v>
      </c>
      <c r="E501" s="11" t="b">
        <v>1</v>
      </c>
      <c r="F501" s="12">
        <v>45642</v>
      </c>
      <c r="G501" s="12">
        <v>45642.999999988424</v>
      </c>
      <c r="H501" s="13">
        <f>IF(F501="","",(Summary!$B$5-F501)/365.25)</f>
        <v>1.6290554177123751</v>
      </c>
      <c r="I501" s="14">
        <v>0.85299999999999998</v>
      </c>
      <c r="J501" s="15">
        <v>-4.1570000000000003E-2</v>
      </c>
      <c r="K501" s="16">
        <v>746053.99</v>
      </c>
      <c r="L501" s="16">
        <v>651514.25031000003</v>
      </c>
      <c r="M501" s="17">
        <v>6162</v>
      </c>
      <c r="N501" s="14">
        <v>0.85199999999999998</v>
      </c>
      <c r="O501" s="14">
        <v>0.85299999999999998</v>
      </c>
      <c r="P501" s="18">
        <f>IF(OR(N501="",O501="",N501=0,O501=0),"",(O501-N501)/((O501+N501)/2))</f>
        <v>1.1730205278592386E-3</v>
      </c>
      <c r="Q501" s="14">
        <v>0.87328030000000001</v>
      </c>
      <c r="R501" s="14">
        <v>0.89500000000000002</v>
      </c>
      <c r="S501" s="14">
        <v>0.85099999999999998</v>
      </c>
      <c r="T501" s="12">
        <v>46236.012465509259</v>
      </c>
      <c r="U501" s="12">
        <v>46237.012465509259</v>
      </c>
      <c r="V501" s="14">
        <v>5</v>
      </c>
      <c r="W501" s="14">
        <v>0.01</v>
      </c>
      <c r="X501" s="14">
        <v>0.01</v>
      </c>
      <c r="Y501" s="14">
        <v>1E-3</v>
      </c>
      <c r="Z501" s="10" t="str">
        <f>IF(AND(D501="TRADING",I501&lt;&gt;"",L501&lt;&gt;"",M501&lt;&gt;"",N501&lt;&gt;"",O501&lt;&gt;""),"Yes","No")</f>
        <v>Yes</v>
      </c>
      <c r="AA501" s="10" t="s">
        <v>56</v>
      </c>
    </row>
    <row r="502" spans="1:27">
      <c r="A502" s="10" t="s">
        <v>70</v>
      </c>
      <c r="B502" s="10" t="s">
        <v>71</v>
      </c>
      <c r="C502" s="10" t="s">
        <v>12</v>
      </c>
      <c r="D502" s="10" t="s">
        <v>55</v>
      </c>
      <c r="E502" s="11" t="b">
        <v>1</v>
      </c>
      <c r="F502" s="12">
        <v>45643</v>
      </c>
      <c r="G502" s="12">
        <v>45643.999999988424</v>
      </c>
      <c r="H502" s="13">
        <f>IF(F502="","",(Summary!$B$5-F502)/365.25)</f>
        <v>1.626317566925243</v>
      </c>
      <c r="I502" s="14">
        <v>1.3600000000000001E-3</v>
      </c>
      <c r="J502" s="15">
        <v>-2.1579999999999998E-2</v>
      </c>
      <c r="K502" s="16">
        <v>131063321</v>
      </c>
      <c r="L502" s="16">
        <v>182640.32591700001</v>
      </c>
      <c r="M502" s="17">
        <v>2884</v>
      </c>
      <c r="N502" s="14">
        <v>1.3600000000000001E-3</v>
      </c>
      <c r="O502" s="14">
        <v>1.3699999999999999E-3</v>
      </c>
      <c r="P502" s="18">
        <f>IF(OR(N502="",O502="",N502=0,O502=0),"",(O502-N502)/((O502+N502)/2))</f>
        <v>7.3260073260071872E-3</v>
      </c>
      <c r="Q502" s="14">
        <v>1.39353E-3</v>
      </c>
      <c r="R502" s="14">
        <v>1.4599999999999999E-3</v>
      </c>
      <c r="S502" s="14">
        <v>1.3500000000000001E-3</v>
      </c>
      <c r="T502" s="12">
        <v>46236.012467986111</v>
      </c>
      <c r="U502" s="12">
        <v>46237.012467986111</v>
      </c>
      <c r="V502" s="14">
        <v>1</v>
      </c>
      <c r="W502" s="14">
        <v>0.1</v>
      </c>
      <c r="X502" s="14">
        <v>0.1</v>
      </c>
      <c r="Y502" s="14">
        <v>1.0000000000000001E-5</v>
      </c>
      <c r="Z502" s="10" t="str">
        <f>IF(AND(D502="TRADING",I502&lt;&gt;"",L502&lt;&gt;"",M502&lt;&gt;"",N502&lt;&gt;"",O502&lt;&gt;""),"Yes","No")</f>
        <v>Yes</v>
      </c>
      <c r="AA502" s="10" t="s">
        <v>56</v>
      </c>
    </row>
    <row r="503" spans="1:27">
      <c r="A503" s="10" t="s">
        <v>962</v>
      </c>
      <c r="B503" s="10" t="s">
        <v>963</v>
      </c>
      <c r="C503" s="10" t="s">
        <v>12</v>
      </c>
      <c r="D503" s="10" t="s">
        <v>55</v>
      </c>
      <c r="E503" s="11" t="b">
        <v>1</v>
      </c>
      <c r="F503" s="12">
        <v>45643</v>
      </c>
      <c r="G503" s="12">
        <v>45643.999999988424</v>
      </c>
      <c r="H503" s="13">
        <f>IF(F503="","",(Summary!$B$5-F503)/365.25)</f>
        <v>1.626317566925243</v>
      </c>
      <c r="I503" s="14">
        <v>6.1390000000000004E-3</v>
      </c>
      <c r="J503" s="15">
        <v>3.107E-2</v>
      </c>
      <c r="K503" s="16">
        <v>872178941</v>
      </c>
      <c r="L503" s="16">
        <v>5364902.9880459998</v>
      </c>
      <c r="M503" s="17">
        <v>91078</v>
      </c>
      <c r="N503" s="14">
        <v>6.1390000000000004E-3</v>
      </c>
      <c r="O503" s="14">
        <v>6.1399999999999996E-3</v>
      </c>
      <c r="P503" s="18">
        <f>IF(OR(N503="",O503="",N503=0,O503=0),"",(O503-N503)/((O503+N503)/2))</f>
        <v>1.6287971333158488E-4</v>
      </c>
      <c r="Q503" s="14">
        <v>6.1511500000000002E-3</v>
      </c>
      <c r="R503" s="14">
        <v>6.2760000000000003E-3</v>
      </c>
      <c r="S503" s="14">
        <v>5.9540000000000001E-3</v>
      </c>
      <c r="T503" s="12">
        <v>46236.01248582176</v>
      </c>
      <c r="U503" s="12">
        <v>46237.01248582176</v>
      </c>
      <c r="V503" s="14">
        <v>1</v>
      </c>
      <c r="W503" s="14">
        <v>1</v>
      </c>
      <c r="X503" s="14">
        <v>1</v>
      </c>
      <c r="Y503" s="14">
        <v>9.9999999999999995E-7</v>
      </c>
      <c r="Z503" s="10" t="str">
        <f>IF(AND(D503="TRADING",I503&lt;&gt;"",L503&lt;&gt;"",M503&lt;&gt;"",N503&lt;&gt;"",O503&lt;&gt;""),"Yes","No")</f>
        <v>Yes</v>
      </c>
      <c r="AA503" s="10" t="s">
        <v>56</v>
      </c>
    </row>
    <row r="504" spans="1:27">
      <c r="A504" s="10" t="s">
        <v>285</v>
      </c>
      <c r="B504" s="10" t="s">
        <v>286</v>
      </c>
      <c r="C504" s="10" t="s">
        <v>12</v>
      </c>
      <c r="D504" s="10" t="s">
        <v>55</v>
      </c>
      <c r="E504" s="11" t="b">
        <v>1</v>
      </c>
      <c r="F504" s="12">
        <v>45660</v>
      </c>
      <c r="G504" s="12">
        <v>45660.999999988424</v>
      </c>
      <c r="H504" s="13">
        <f>IF(F504="","",(Summary!$B$5-F504)/365.25)</f>
        <v>1.5797741035439972</v>
      </c>
      <c r="I504" s="14">
        <v>2.23E-2</v>
      </c>
      <c r="J504" s="15">
        <v>-8.9999999999999998E-4</v>
      </c>
      <c r="K504" s="16">
        <v>12372138.1</v>
      </c>
      <c r="L504" s="16">
        <v>277138.96283500001</v>
      </c>
      <c r="M504" s="17">
        <v>3543</v>
      </c>
      <c r="N504" s="14">
        <v>2.231E-2</v>
      </c>
      <c r="O504" s="14">
        <v>2.2329999999999999E-2</v>
      </c>
      <c r="P504" s="18">
        <f>IF(OR(N504="",O504="",N504=0,O504=0),"",(O504-N504)/((O504+N504)/2))</f>
        <v>8.9605734767021436E-4</v>
      </c>
      <c r="Q504" s="14">
        <v>2.240025E-2</v>
      </c>
      <c r="R504" s="14">
        <v>2.266E-2</v>
      </c>
      <c r="S504" s="14">
        <v>2.222E-2</v>
      </c>
      <c r="T504" s="12">
        <v>46236.012341412039</v>
      </c>
      <c r="U504" s="12">
        <v>46237.012341412039</v>
      </c>
      <c r="V504" s="14">
        <v>5</v>
      </c>
      <c r="W504" s="14">
        <v>0.1</v>
      </c>
      <c r="X504" s="14">
        <v>0.1</v>
      </c>
      <c r="Y504" s="14">
        <v>1.0000000000000001E-5</v>
      </c>
      <c r="Z504" s="10" t="str">
        <f>IF(AND(D504="TRADING",I504&lt;&gt;"",L504&lt;&gt;"",M504&lt;&gt;"",N504&lt;&gt;"",O504&lt;&gt;""),"Yes","No")</f>
        <v>Yes</v>
      </c>
      <c r="AA504" s="10" t="s">
        <v>56</v>
      </c>
    </row>
    <row r="505" spans="1:27">
      <c r="A505" s="10" t="s">
        <v>453</v>
      </c>
      <c r="B505" s="10" t="s">
        <v>454</v>
      </c>
      <c r="C505" s="10" t="s">
        <v>12</v>
      </c>
      <c r="D505" s="10" t="s">
        <v>84</v>
      </c>
      <c r="E505" s="11" t="b">
        <v>1</v>
      </c>
      <c r="F505" s="12">
        <v>45666</v>
      </c>
      <c r="G505" s="12">
        <v>45666.999999988424</v>
      </c>
      <c r="H505" s="13">
        <f>IF(F505="","",(Summary!$B$5-F505)/365.25)</f>
        <v>1.5633469988212045</v>
      </c>
      <c r="I505" s="14">
        <v>4.6100000000000004E-3</v>
      </c>
      <c r="J505" s="15">
        <v>-0.13832</v>
      </c>
      <c r="K505" s="16">
        <v>361993662</v>
      </c>
      <c r="L505" s="16">
        <v>1832194.32076</v>
      </c>
      <c r="M505" s="17">
        <v>28386</v>
      </c>
      <c r="N505" s="14">
        <v>0</v>
      </c>
      <c r="O505" s="14">
        <v>0</v>
      </c>
      <c r="P505" s="18" t="str">
        <f>IF(OR(N505="",O505="",N505=0,O505=0),"",(O505-N505)/((O505+N505)/2))</f>
        <v/>
      </c>
      <c r="Q505" s="14">
        <v>5.0613999999999998E-3</v>
      </c>
      <c r="R505" s="14">
        <v>6.0000000000000001E-3</v>
      </c>
      <c r="S505" s="14">
        <v>4.4200000000000003E-3</v>
      </c>
      <c r="T505" s="12">
        <v>46209.261123090277</v>
      </c>
      <c r="U505" s="12">
        <v>46210.261123090277</v>
      </c>
      <c r="V505" s="14">
        <v>5</v>
      </c>
      <c r="W505" s="14">
        <v>1</v>
      </c>
      <c r="X505" s="14">
        <v>1</v>
      </c>
      <c r="Y505" s="14">
        <v>1.0000000000000001E-5</v>
      </c>
      <c r="Z505" s="10" t="str">
        <f>IF(AND(D505="TRADING",I505&lt;&gt;"",L505&lt;&gt;"",M505&lt;&gt;"",N505&lt;&gt;"",O505&lt;&gt;""),"Yes","No")</f>
        <v>No</v>
      </c>
      <c r="AA505" s="10" t="s">
        <v>56</v>
      </c>
    </row>
    <row r="506" spans="1:27">
      <c r="A506" s="10" t="s">
        <v>125</v>
      </c>
      <c r="B506" s="10" t="s">
        <v>126</v>
      </c>
      <c r="C506" s="10" t="s">
        <v>12</v>
      </c>
      <c r="D506" s="10" t="s">
        <v>55</v>
      </c>
      <c r="E506" s="11" t="b">
        <v>1</v>
      </c>
      <c r="F506" s="12">
        <v>45667</v>
      </c>
      <c r="G506" s="12">
        <v>45667.999999988424</v>
      </c>
      <c r="H506" s="13">
        <f>IF(F506="","",(Summary!$B$5-F506)/365.25)</f>
        <v>1.5606091480340725</v>
      </c>
      <c r="I506" s="14">
        <v>1.771E-2</v>
      </c>
      <c r="J506" s="15">
        <v>3.0849999999999999E-2</v>
      </c>
      <c r="K506" s="16">
        <v>25834744.199999999</v>
      </c>
      <c r="L506" s="16">
        <v>459023.06358299998</v>
      </c>
      <c r="M506" s="17">
        <v>4960</v>
      </c>
      <c r="N506" s="14">
        <v>1.771E-2</v>
      </c>
      <c r="O506" s="14">
        <v>1.7729999999999999E-2</v>
      </c>
      <c r="P506" s="18">
        <f>IF(OR(N506="",O506="",N506=0,O506=0),"",(O506-N506)/((O506+N506)/2))</f>
        <v>1.128668171557516E-3</v>
      </c>
      <c r="Q506" s="14">
        <v>1.7767660000000001E-2</v>
      </c>
      <c r="R506" s="14">
        <v>1.8100000000000002E-2</v>
      </c>
      <c r="S506" s="14">
        <v>1.711E-2</v>
      </c>
      <c r="T506" s="12">
        <v>46236.012073564816</v>
      </c>
      <c r="U506" s="12">
        <v>46237.012073564816</v>
      </c>
      <c r="V506" s="14">
        <v>5</v>
      </c>
      <c r="W506" s="14">
        <v>0.1</v>
      </c>
      <c r="X506" s="14">
        <v>0.1</v>
      </c>
      <c r="Y506" s="14">
        <v>1.0000000000000001E-5</v>
      </c>
      <c r="Z506" s="10" t="str">
        <f>IF(AND(D506="TRADING",I506&lt;&gt;"",L506&lt;&gt;"",M506&lt;&gt;"",N506&lt;&gt;"",O506&lt;&gt;""),"Yes","No")</f>
        <v>Yes</v>
      </c>
      <c r="AA506" s="10" t="s">
        <v>56</v>
      </c>
    </row>
    <row r="507" spans="1:27">
      <c r="A507" s="10" t="s">
        <v>355</v>
      </c>
      <c r="B507" s="10" t="s">
        <v>356</v>
      </c>
      <c r="C507" s="10" t="s">
        <v>12</v>
      </c>
      <c r="D507" s="10" t="s">
        <v>55</v>
      </c>
      <c r="E507" s="11" t="b">
        <v>1</v>
      </c>
      <c r="F507" s="12">
        <v>45667</v>
      </c>
      <c r="G507" s="12">
        <v>45667.999999988424</v>
      </c>
      <c r="H507" s="13">
        <f>IF(F507="","",(Summary!$B$5-F507)/365.25)</f>
        <v>1.5606091480340725</v>
      </c>
      <c r="I507" s="14">
        <v>1.8259999999999998E-2</v>
      </c>
      <c r="J507" s="15">
        <v>-1.5100000000000001E-2</v>
      </c>
      <c r="K507" s="16">
        <v>7690901.9000000004</v>
      </c>
      <c r="L507" s="16">
        <v>141588.400777</v>
      </c>
      <c r="M507" s="17">
        <v>4137</v>
      </c>
      <c r="N507" s="14">
        <v>1.8259999999999998E-2</v>
      </c>
      <c r="O507" s="14">
        <v>1.8280000000000001E-2</v>
      </c>
      <c r="P507" s="18">
        <f>IF(OR(N507="",O507="",N507=0,O507=0),"",(O507-N507)/((O507+N507)/2))</f>
        <v>1.0946907498633088E-3</v>
      </c>
      <c r="Q507" s="14">
        <v>1.840986E-2</v>
      </c>
      <c r="R507" s="14">
        <v>1.865E-2</v>
      </c>
      <c r="S507" s="14">
        <v>1.8249999999999999E-2</v>
      </c>
      <c r="T507" s="12">
        <v>46236.01248578704</v>
      </c>
      <c r="U507" s="12">
        <v>46237.01248578704</v>
      </c>
      <c r="V507" s="14">
        <v>5</v>
      </c>
      <c r="W507" s="14">
        <v>0.1</v>
      </c>
      <c r="X507" s="14">
        <v>0.1</v>
      </c>
      <c r="Y507" s="14">
        <v>1.0000000000000001E-5</v>
      </c>
      <c r="Z507" s="10" t="str">
        <f>IF(AND(D507="TRADING",I507&lt;&gt;"",L507&lt;&gt;"",M507&lt;&gt;"",N507&lt;&gt;"",O507&lt;&gt;""),"Yes","No")</f>
        <v>Yes</v>
      </c>
      <c r="AA507" s="10" t="s">
        <v>56</v>
      </c>
    </row>
    <row r="508" spans="1:27">
      <c r="A508" s="10" t="s">
        <v>379</v>
      </c>
      <c r="B508" s="10" t="s">
        <v>380</v>
      </c>
      <c r="C508" s="10" t="s">
        <v>12</v>
      </c>
      <c r="D508" s="10" t="s">
        <v>55</v>
      </c>
      <c r="E508" s="11" t="b">
        <v>1</v>
      </c>
      <c r="F508" s="12">
        <v>45667</v>
      </c>
      <c r="G508" s="12">
        <v>45667.999999988424</v>
      </c>
      <c r="H508" s="13">
        <f>IF(F508="","",(Summary!$B$5-F508)/365.25)</f>
        <v>1.5606091480340725</v>
      </c>
      <c r="I508" s="14">
        <v>7.7000000000000002E-3</v>
      </c>
      <c r="J508" s="15">
        <v>0</v>
      </c>
      <c r="K508" s="16">
        <v>18897524.899999999</v>
      </c>
      <c r="L508" s="16">
        <v>147343.13914000001</v>
      </c>
      <c r="M508" s="17">
        <v>1156</v>
      </c>
      <c r="N508" s="14">
        <v>7.7000000000000002E-3</v>
      </c>
      <c r="O508" s="14">
        <v>7.7999999999999996E-3</v>
      </c>
      <c r="P508" s="18">
        <f>IF(OR(N508="",O508="",N508=0,O508=0),"",(O508-N508)/((O508+N508)/2))</f>
        <v>1.2903225806451535E-2</v>
      </c>
      <c r="Q508" s="14">
        <v>7.7969500000000004E-3</v>
      </c>
      <c r="R508" s="14">
        <v>8.0000000000000002E-3</v>
      </c>
      <c r="S508" s="14">
        <v>7.6E-3</v>
      </c>
      <c r="T508" s="12">
        <v>46236.011813761572</v>
      </c>
      <c r="U508" s="12">
        <v>46237.011813761572</v>
      </c>
      <c r="V508" s="14">
        <v>5</v>
      </c>
      <c r="W508" s="14">
        <v>0.1</v>
      </c>
      <c r="X508" s="14">
        <v>0.1</v>
      </c>
      <c r="Y508" s="14">
        <v>1E-4</v>
      </c>
      <c r="Z508" s="10" t="str">
        <f>IF(AND(D508="TRADING",I508&lt;&gt;"",L508&lt;&gt;"",M508&lt;&gt;"",N508&lt;&gt;"",O508&lt;&gt;""),"Yes","No")</f>
        <v>Yes</v>
      </c>
      <c r="AA508" s="10" t="s">
        <v>56</v>
      </c>
    </row>
    <row r="509" spans="1:27">
      <c r="A509" s="10" t="s">
        <v>1195</v>
      </c>
      <c r="B509" s="10" t="s">
        <v>1196</v>
      </c>
      <c r="C509" s="10" t="s">
        <v>12</v>
      </c>
      <c r="D509" s="10" t="s">
        <v>55</v>
      </c>
      <c r="E509" s="11" t="b">
        <v>1</v>
      </c>
      <c r="F509" s="12">
        <v>45673</v>
      </c>
      <c r="G509" s="12">
        <v>45673.999999988424</v>
      </c>
      <c r="H509" s="13">
        <f>IF(F509="","",(Summary!$B$5-F509)/365.25)</f>
        <v>1.5441820433112798</v>
      </c>
      <c r="I509" s="14">
        <v>2.181E-2</v>
      </c>
      <c r="J509" s="15">
        <v>1.3950000000000001E-2</v>
      </c>
      <c r="K509" s="16">
        <v>15424656.300000001</v>
      </c>
      <c r="L509" s="16">
        <v>335723.940053</v>
      </c>
      <c r="M509" s="17">
        <v>5741</v>
      </c>
      <c r="N509" s="14">
        <v>2.179E-2</v>
      </c>
      <c r="O509" s="14">
        <v>2.181E-2</v>
      </c>
      <c r="P509" s="18">
        <f>IF(OR(N509="",O509="",N509=0,O509=0),"",(O509-N509)/((O509+N509)/2))</f>
        <v>9.174311926605131E-4</v>
      </c>
      <c r="Q509" s="14">
        <v>2.1765409999999999E-2</v>
      </c>
      <c r="R509" s="14">
        <v>2.2069999999999999E-2</v>
      </c>
      <c r="S509" s="14">
        <v>2.1430000000000001E-2</v>
      </c>
      <c r="T509" s="12">
        <v>46236.01247642361</v>
      </c>
      <c r="U509" s="12">
        <v>46237.01247642361</v>
      </c>
      <c r="V509" s="14">
        <v>5</v>
      </c>
      <c r="W509" s="14">
        <v>0.1</v>
      </c>
      <c r="X509" s="14">
        <v>0.1</v>
      </c>
      <c r="Y509" s="14">
        <v>1.0000000000000001E-5</v>
      </c>
      <c r="Z509" s="10" t="str">
        <f>IF(AND(D509="TRADING",I509&lt;&gt;"",L509&lt;&gt;"",M509&lt;&gt;"",N509&lt;&gt;"",O509&lt;&gt;""),"Yes","No")</f>
        <v>Yes</v>
      </c>
      <c r="AA509" s="10" t="s">
        <v>56</v>
      </c>
    </row>
    <row r="510" spans="1:27">
      <c r="A510" s="10" t="s">
        <v>1145</v>
      </c>
      <c r="B510" s="10" t="s">
        <v>1146</v>
      </c>
      <c r="C510" s="10" t="s">
        <v>12</v>
      </c>
      <c r="D510" s="10" t="s">
        <v>55</v>
      </c>
      <c r="E510" s="11" t="b">
        <v>1</v>
      </c>
      <c r="F510" s="12">
        <v>45674</v>
      </c>
      <c r="G510" s="12">
        <v>45674.999999988424</v>
      </c>
      <c r="H510" s="13">
        <f>IF(F510="","",(Summary!$B$5-F510)/365.25)</f>
        <v>1.5414441925241478</v>
      </c>
      <c r="I510" s="14">
        <v>2.3500000000000001E-3</v>
      </c>
      <c r="J510" s="15">
        <v>0</v>
      </c>
      <c r="K510" s="16">
        <v>42976528</v>
      </c>
      <c r="L510" s="16">
        <v>101709.42512</v>
      </c>
      <c r="M510" s="17">
        <v>2357</v>
      </c>
      <c r="N510" s="14">
        <v>2.3500000000000001E-3</v>
      </c>
      <c r="O510" s="14">
        <v>2.3600000000000001E-3</v>
      </c>
      <c r="P510" s="18">
        <f>IF(OR(N510="",O510="",N510=0,O510=0),"",(O510-N510)/((O510+N510)/2))</f>
        <v>4.2462845010615815E-3</v>
      </c>
      <c r="Q510" s="14">
        <v>2.3666300000000002E-3</v>
      </c>
      <c r="R510" s="14">
        <v>2.3999999999999998E-3</v>
      </c>
      <c r="S510" s="14">
        <v>2.33E-3</v>
      </c>
      <c r="T510" s="12">
        <v>46236.01234872685</v>
      </c>
      <c r="U510" s="12">
        <v>46237.01234872685</v>
      </c>
      <c r="V510" s="14">
        <v>5</v>
      </c>
      <c r="W510" s="14">
        <v>1</v>
      </c>
      <c r="X510" s="14">
        <v>1</v>
      </c>
      <c r="Y510" s="14">
        <v>1.0000000000000001E-5</v>
      </c>
      <c r="Z510" s="10" t="str">
        <f>IF(AND(D510="TRADING",I510&lt;&gt;"",L510&lt;&gt;"",M510&lt;&gt;"",N510&lt;&gt;"",O510&lt;&gt;""),"Yes","No")</f>
        <v>Yes</v>
      </c>
      <c r="AA510" s="10" t="s">
        <v>56</v>
      </c>
    </row>
    <row r="511" spans="1:27">
      <c r="A511" s="10" t="s">
        <v>1247</v>
      </c>
      <c r="B511" s="10" t="s">
        <v>1248</v>
      </c>
      <c r="C511" s="10" t="s">
        <v>12</v>
      </c>
      <c r="D511" s="10" t="s">
        <v>55</v>
      </c>
      <c r="E511" s="11" t="b">
        <v>1</v>
      </c>
      <c r="F511" s="12">
        <v>45676</v>
      </c>
      <c r="G511" s="12">
        <v>45676.999999988424</v>
      </c>
      <c r="H511" s="13">
        <f>IF(F511="","",(Summary!$B$5-F511)/365.25)</f>
        <v>1.5359684909498836</v>
      </c>
      <c r="I511" s="14">
        <v>1.4379999999999999</v>
      </c>
      <c r="J511" s="15">
        <v>-2.7700000000000003E-3</v>
      </c>
      <c r="K511" s="16">
        <v>1745529.318</v>
      </c>
      <c r="L511" s="16">
        <v>2528892.175332</v>
      </c>
      <c r="M511" s="17">
        <v>21135</v>
      </c>
      <c r="N511" s="14">
        <v>1.4379999999999999</v>
      </c>
      <c r="O511" s="14">
        <v>1.4390000000000001</v>
      </c>
      <c r="P511" s="18">
        <f>IF(OR(N511="",O511="",N511=0,O511=0),"",(O511-N511)/((O511+N511)/2))</f>
        <v>6.9516857838033508E-4</v>
      </c>
      <c r="Q511" s="14">
        <v>1.44878241</v>
      </c>
      <c r="R511" s="14">
        <v>1.466</v>
      </c>
      <c r="S511" s="14">
        <v>1.4350000000000001</v>
      </c>
      <c r="T511" s="12">
        <v>46236.012486342595</v>
      </c>
      <c r="U511" s="12">
        <v>46237.012486342595</v>
      </c>
      <c r="V511" s="14">
        <v>1</v>
      </c>
      <c r="W511" s="14">
        <v>1E-3</v>
      </c>
      <c r="X511" s="14">
        <v>1E-3</v>
      </c>
      <c r="Y511" s="14">
        <v>1E-3</v>
      </c>
      <c r="Z511" s="10" t="str">
        <f>IF(AND(D511="TRADING",I511&lt;&gt;"",L511&lt;&gt;"",M511&lt;&gt;"",N511&lt;&gt;"",O511&lt;&gt;""),"Yes","No")</f>
        <v>Yes</v>
      </c>
      <c r="AA511" s="10" t="s">
        <v>56</v>
      </c>
    </row>
    <row r="512" spans="1:27">
      <c r="A512" s="10" t="s">
        <v>157</v>
      </c>
      <c r="B512" s="10" t="s">
        <v>158</v>
      </c>
      <c r="C512" s="10" t="s">
        <v>12</v>
      </c>
      <c r="D512" s="10" t="s">
        <v>55</v>
      </c>
      <c r="E512" s="11" t="b">
        <v>1</v>
      </c>
      <c r="F512" s="12">
        <v>45680</v>
      </c>
      <c r="G512" s="12">
        <v>45680.999999988424</v>
      </c>
      <c r="H512" s="13">
        <f>IF(F512="","",(Summary!$B$5-F512)/365.25)</f>
        <v>1.5250170878013551</v>
      </c>
      <c r="I512" s="14">
        <v>2.4299999999999999E-3</v>
      </c>
      <c r="J512" s="15">
        <v>0</v>
      </c>
      <c r="K512" s="16">
        <v>19188603.100000001</v>
      </c>
      <c r="L512" s="16">
        <v>46711.572758000002</v>
      </c>
      <c r="M512" s="17">
        <v>1147</v>
      </c>
      <c r="N512" s="14">
        <v>2.4199999999999998E-3</v>
      </c>
      <c r="O512" s="14">
        <v>2.4299999999999999E-3</v>
      </c>
      <c r="P512" s="18">
        <f>IF(OR(N512="",O512="",N512=0,O512=0),"",(O512-N512)/((O512+N512)/2))</f>
        <v>4.1237113402061961E-3</v>
      </c>
      <c r="Q512" s="14">
        <v>2.4343400000000001E-3</v>
      </c>
      <c r="R512" s="14">
        <v>2.4599999999999999E-3</v>
      </c>
      <c r="S512" s="14">
        <v>2.4099999999999998E-3</v>
      </c>
      <c r="T512" s="12">
        <v>46236.012237743053</v>
      </c>
      <c r="U512" s="12">
        <v>46237.012237743053</v>
      </c>
      <c r="V512" s="14">
        <v>5</v>
      </c>
      <c r="W512" s="14">
        <v>0.1</v>
      </c>
      <c r="X512" s="14">
        <v>0.1</v>
      </c>
      <c r="Y512" s="14">
        <v>1.0000000000000001E-5</v>
      </c>
      <c r="Z512" s="10" t="str">
        <f>IF(AND(D512="TRADING",I512&lt;&gt;"",L512&lt;&gt;"",M512&lt;&gt;"",N512&lt;&gt;"",O512&lt;&gt;""),"Yes","No")</f>
        <v>Yes</v>
      </c>
      <c r="AA512" s="10" t="s">
        <v>56</v>
      </c>
    </row>
    <row r="513" spans="1:27">
      <c r="A513" s="10" t="s">
        <v>271</v>
      </c>
      <c r="B513" s="10" t="s">
        <v>272</v>
      </c>
      <c r="C513" s="10" t="s">
        <v>12</v>
      </c>
      <c r="D513" s="10" t="s">
        <v>55</v>
      </c>
      <c r="E513" s="11" t="b">
        <v>1</v>
      </c>
      <c r="F513" s="12">
        <v>45694</v>
      </c>
      <c r="G513" s="12">
        <v>45694.999999988424</v>
      </c>
      <c r="H513" s="13">
        <f>IF(F513="","",(Summary!$B$5-F513)/365.25)</f>
        <v>1.4866871767815057</v>
      </c>
      <c r="I513" s="14">
        <v>0.155</v>
      </c>
      <c r="J513" s="15">
        <v>1.043E-2</v>
      </c>
      <c r="K513" s="16">
        <v>1502106.564</v>
      </c>
      <c r="L513" s="16">
        <v>232058.69367099999</v>
      </c>
      <c r="M513" s="17">
        <v>2168</v>
      </c>
      <c r="N513" s="14">
        <v>0.155</v>
      </c>
      <c r="O513" s="14">
        <v>0.15509999999999999</v>
      </c>
      <c r="P513" s="18">
        <f>IF(OR(N513="",O513="",N513=0,O513=0),"",(O513-N513)/((O513+N513)/2))</f>
        <v>6.4495324088996442E-4</v>
      </c>
      <c r="Q513" s="14">
        <v>0.15448883999999999</v>
      </c>
      <c r="R513" s="14">
        <v>0.15609999999999999</v>
      </c>
      <c r="S513" s="14">
        <v>0.15260000000000001</v>
      </c>
      <c r="T513" s="12">
        <v>46236.012273692133</v>
      </c>
      <c r="U513" s="12">
        <v>46237.012273692133</v>
      </c>
      <c r="V513" s="14">
        <v>5</v>
      </c>
      <c r="W513" s="14">
        <v>1E-3</v>
      </c>
      <c r="X513" s="14">
        <v>1E-3</v>
      </c>
      <c r="Y513" s="14">
        <v>1E-4</v>
      </c>
      <c r="Z513" s="10" t="str">
        <f>IF(AND(D513="TRADING",I513&lt;&gt;"",L513&lt;&gt;"",M513&lt;&gt;"",N513&lt;&gt;"",O513&lt;&gt;""),"Yes","No")</f>
        <v>Yes</v>
      </c>
      <c r="AA513" s="10" t="s">
        <v>56</v>
      </c>
    </row>
    <row r="514" spans="1:27">
      <c r="A514" s="10" t="s">
        <v>72</v>
      </c>
      <c r="B514" s="10" t="s">
        <v>73</v>
      </c>
      <c r="C514" s="10" t="s">
        <v>12</v>
      </c>
      <c r="D514" s="10" t="s">
        <v>55</v>
      </c>
      <c r="E514" s="11" t="b">
        <v>1</v>
      </c>
      <c r="F514" s="12">
        <v>45697</v>
      </c>
      <c r="G514" s="12">
        <v>45697.999999988424</v>
      </c>
      <c r="H514" s="13">
        <f>IF(F514="","",(Summary!$B$5-F514)/365.25)</f>
        <v>1.4784736244201093</v>
      </c>
      <c r="I514" s="14">
        <v>4.9100000000000001E-4</v>
      </c>
      <c r="J514" s="15">
        <v>2.7200000000000002E-2</v>
      </c>
      <c r="K514" s="16">
        <v>514693686</v>
      </c>
      <c r="L514" s="16">
        <v>251725.060256</v>
      </c>
      <c r="M514" s="17">
        <v>21867</v>
      </c>
      <c r="N514" s="14">
        <v>4.8999999999999998E-4</v>
      </c>
      <c r="O514" s="14">
        <v>4.9100000000000001E-4</v>
      </c>
      <c r="P514" s="18">
        <f>IF(OR(N514="",O514="",N514=0,O514=0),"",(O514-N514)/((O514+N514)/2))</f>
        <v>2.0387359836901613E-3</v>
      </c>
      <c r="Q514" s="14">
        <v>4.8908000000000003E-4</v>
      </c>
      <c r="R514" s="14">
        <v>5.0199999999999995E-4</v>
      </c>
      <c r="S514" s="14">
        <v>4.7600000000000002E-4</v>
      </c>
      <c r="T514" s="12">
        <v>46236.012472060182</v>
      </c>
      <c r="U514" s="12">
        <v>46237.012472060182</v>
      </c>
      <c r="V514" s="14">
        <v>1</v>
      </c>
      <c r="W514" s="14">
        <v>1</v>
      </c>
      <c r="X514" s="14">
        <v>1</v>
      </c>
      <c r="Y514" s="14">
        <v>9.9999999999999995E-7</v>
      </c>
      <c r="Z514" s="10" t="str">
        <f>IF(AND(D514="TRADING",I514&lt;&gt;"",L514&lt;&gt;"",M514&lt;&gt;"",N514&lt;&gt;"",O514&lt;&gt;""),"Yes","No")</f>
        <v>Yes</v>
      </c>
      <c r="AA514" s="10" t="s">
        <v>56</v>
      </c>
    </row>
    <row r="515" spans="1:27">
      <c r="A515" s="10" t="s">
        <v>1257</v>
      </c>
      <c r="B515" s="10" t="s">
        <v>1258</v>
      </c>
      <c r="C515" s="10" t="s">
        <v>12</v>
      </c>
      <c r="D515" s="10" t="s">
        <v>55</v>
      </c>
      <c r="E515" s="11" t="b">
        <v>1</v>
      </c>
      <c r="F515" s="12">
        <v>45697</v>
      </c>
      <c r="G515" s="12">
        <v>45697.999999988424</v>
      </c>
      <c r="H515" s="13">
        <f>IF(F515="","",(Summary!$B$5-F515)/365.25)</f>
        <v>1.4784736244201093</v>
      </c>
      <c r="I515" s="14">
        <v>1.119E-2</v>
      </c>
      <c r="J515" s="15">
        <v>-1.583E-2</v>
      </c>
      <c r="K515" s="16">
        <v>35144890.5</v>
      </c>
      <c r="L515" s="16">
        <v>393201.23408000002</v>
      </c>
      <c r="M515" s="17">
        <v>7596</v>
      </c>
      <c r="N515" s="14">
        <v>1.119E-2</v>
      </c>
      <c r="O515" s="14">
        <v>1.1220000000000001E-2</v>
      </c>
      <c r="P515" s="18">
        <f>IF(OR(N515="",O515="",N515=0,O515=0),"",(O515-N515)/((O515+N515)/2))</f>
        <v>2.6773761713521208E-3</v>
      </c>
      <c r="Q515" s="14">
        <v>1.118801E-2</v>
      </c>
      <c r="R515" s="14">
        <v>1.159E-2</v>
      </c>
      <c r="S515" s="14">
        <v>1.091E-2</v>
      </c>
      <c r="T515" s="12">
        <v>46236.012386550923</v>
      </c>
      <c r="U515" s="12">
        <v>46237.012386550923</v>
      </c>
      <c r="V515" s="14">
        <v>1</v>
      </c>
      <c r="W515" s="14">
        <v>0.1</v>
      </c>
      <c r="X515" s="14">
        <v>0.1</v>
      </c>
      <c r="Y515" s="14">
        <v>1.0000000000000001E-5</v>
      </c>
      <c r="Z515" s="10" t="str">
        <f>IF(AND(D515="TRADING",I515&lt;&gt;"",L515&lt;&gt;"",M515&lt;&gt;"",N515&lt;&gt;"",O515&lt;&gt;""),"Yes","No")</f>
        <v>Yes</v>
      </c>
      <c r="AA515" s="10" t="s">
        <v>56</v>
      </c>
    </row>
    <row r="516" spans="1:27">
      <c r="A516" s="10" t="s">
        <v>736</v>
      </c>
      <c r="B516" s="10" t="s">
        <v>737</v>
      </c>
      <c r="C516" s="10" t="s">
        <v>12</v>
      </c>
      <c r="D516" s="10" t="s">
        <v>55</v>
      </c>
      <c r="E516" s="11" t="b">
        <v>1</v>
      </c>
      <c r="F516" s="12">
        <v>45699</v>
      </c>
      <c r="G516" s="12">
        <v>45699.999999988424</v>
      </c>
      <c r="H516" s="13">
        <f>IF(F516="","",(Summary!$B$5-F516)/365.25)</f>
        <v>1.4729979228458452</v>
      </c>
      <c r="I516" s="14">
        <v>6.08E-2</v>
      </c>
      <c r="J516" s="15">
        <v>-1.4590000000000001E-2</v>
      </c>
      <c r="K516" s="16">
        <v>1349049.42</v>
      </c>
      <c r="L516" s="16">
        <v>82690.799039000005</v>
      </c>
      <c r="M516" s="17">
        <v>1706</v>
      </c>
      <c r="N516" s="14">
        <v>6.0699999999999997E-2</v>
      </c>
      <c r="O516" s="14">
        <v>6.08E-2</v>
      </c>
      <c r="P516" s="18">
        <f>IF(OR(N516="",O516="",N516=0,O516=0),"",(O516-N516)/((O516+N516)/2))</f>
        <v>1.6460905349794711E-3</v>
      </c>
      <c r="Q516" s="14">
        <v>6.1295599999999999E-2</v>
      </c>
      <c r="R516" s="14">
        <v>6.2199999999999998E-2</v>
      </c>
      <c r="S516" s="14">
        <v>6.0699999999999997E-2</v>
      </c>
      <c r="T516" s="12">
        <v>46236.012468935187</v>
      </c>
      <c r="U516" s="12">
        <v>46237.012468935187</v>
      </c>
      <c r="V516" s="14">
        <v>5</v>
      </c>
      <c r="W516" s="14">
        <v>0.01</v>
      </c>
      <c r="X516" s="14">
        <v>0.01</v>
      </c>
      <c r="Y516" s="14">
        <v>1E-4</v>
      </c>
      <c r="Z516" s="10" t="str">
        <f>IF(AND(D516="TRADING",I516&lt;&gt;"",L516&lt;&gt;"",M516&lt;&gt;"",N516&lt;&gt;"",O516&lt;&gt;""),"Yes","No")</f>
        <v>Yes</v>
      </c>
      <c r="AA516" s="10" t="s">
        <v>56</v>
      </c>
    </row>
    <row r="517" spans="1:27">
      <c r="A517" s="10" t="s">
        <v>624</v>
      </c>
      <c r="B517" s="10" t="s">
        <v>625</v>
      </c>
      <c r="C517" s="10" t="s">
        <v>12</v>
      </c>
      <c r="D517" s="10" t="s">
        <v>55</v>
      </c>
      <c r="E517" s="11" t="b">
        <v>1</v>
      </c>
      <c r="F517" s="12">
        <v>45701</v>
      </c>
      <c r="G517" s="12">
        <v>45701.999999988424</v>
      </c>
      <c r="H517" s="13">
        <f>IF(F517="","",(Summary!$B$5-F517)/365.25)</f>
        <v>1.4675222212715811</v>
      </c>
      <c r="I517" s="14">
        <v>8.09E-2</v>
      </c>
      <c r="J517" s="15">
        <v>-6.2570000000000001E-2</v>
      </c>
      <c r="K517" s="16">
        <v>13644617.6</v>
      </c>
      <c r="L517" s="16">
        <v>1141005.7284599999</v>
      </c>
      <c r="M517" s="17">
        <v>34463</v>
      </c>
      <c r="N517" s="14">
        <v>8.09E-2</v>
      </c>
      <c r="O517" s="14">
        <v>8.1000000000000003E-2</v>
      </c>
      <c r="P517" s="18">
        <f>IF(OR(N517="",O517="",N517=0,O517=0),"",(O517-N517)/((O517+N517)/2))</f>
        <v>1.23533045089565E-3</v>
      </c>
      <c r="Q517" s="14">
        <v>8.3623139999999999E-2</v>
      </c>
      <c r="R517" s="14">
        <v>8.72E-2</v>
      </c>
      <c r="S517" s="14">
        <v>8.0799999999999997E-2</v>
      </c>
      <c r="T517" s="12">
        <v>46236.012411643518</v>
      </c>
      <c r="U517" s="12">
        <v>46237.012411643518</v>
      </c>
      <c r="V517" s="14">
        <v>5</v>
      </c>
      <c r="W517" s="14">
        <v>0.1</v>
      </c>
      <c r="X517" s="14">
        <v>0.1</v>
      </c>
      <c r="Y517" s="14">
        <v>1E-4</v>
      </c>
      <c r="Z517" s="10" t="str">
        <f>IF(AND(D517="TRADING",I517&lt;&gt;"",L517&lt;&gt;"",M517&lt;&gt;"",N517&lt;&gt;"",O517&lt;&gt;""),"Yes","No")</f>
        <v>Yes</v>
      </c>
      <c r="AA517" s="10" t="s">
        <v>56</v>
      </c>
    </row>
    <row r="518" spans="1:27">
      <c r="A518" s="10" t="s">
        <v>702</v>
      </c>
      <c r="B518" s="10" t="s">
        <v>703</v>
      </c>
      <c r="C518" s="10" t="s">
        <v>12</v>
      </c>
      <c r="D518" s="10" t="s">
        <v>55</v>
      </c>
      <c r="E518" s="11" t="b">
        <v>1</v>
      </c>
      <c r="F518" s="12">
        <v>45708</v>
      </c>
      <c r="G518" s="12">
        <v>45708.999999988424</v>
      </c>
      <c r="H518" s="13">
        <f>IF(F518="","",(Summary!$B$5-F518)/365.25)</f>
        <v>1.4483572657616564</v>
      </c>
      <c r="I518" s="14">
        <v>0.98019999999999996</v>
      </c>
      <c r="J518" s="15">
        <v>-0.19111999999999998</v>
      </c>
      <c r="K518" s="16">
        <v>10300512.6</v>
      </c>
      <c r="L518" s="16">
        <v>11293605.5759</v>
      </c>
      <c r="M518" s="17">
        <v>393674</v>
      </c>
      <c r="N518" s="14">
        <v>0.98009999999999997</v>
      </c>
      <c r="O518" s="14">
        <v>0.98019999999999996</v>
      </c>
      <c r="P518" s="18">
        <f>IF(OR(N518="",O518="",N518=0,O518=0),"",(O518-N518)/((O518+N518)/2))</f>
        <v>1.020252002244442E-4</v>
      </c>
      <c r="Q518" s="14">
        <v>1.0964119999999999</v>
      </c>
      <c r="R518" s="14">
        <v>1.2234</v>
      </c>
      <c r="S518" s="14">
        <v>0.97940000000000005</v>
      </c>
      <c r="T518" s="12">
        <v>46236.012476041666</v>
      </c>
      <c r="U518" s="12">
        <v>46237.012476041666</v>
      </c>
      <c r="V518" s="14">
        <v>5</v>
      </c>
      <c r="W518" s="14">
        <v>0.1</v>
      </c>
      <c r="X518" s="14">
        <v>0.1</v>
      </c>
      <c r="Y518" s="14">
        <v>1E-4</v>
      </c>
      <c r="Z518" s="10" t="str">
        <f>IF(AND(D518="TRADING",I518&lt;&gt;"",L518&lt;&gt;"",M518&lt;&gt;"",N518&lt;&gt;"",O518&lt;&gt;""),"Yes","No")</f>
        <v>Yes</v>
      </c>
      <c r="AA518" s="10" t="s">
        <v>56</v>
      </c>
    </row>
    <row r="519" spans="1:27">
      <c r="A519" s="10" t="s">
        <v>1118</v>
      </c>
      <c r="B519" s="10" t="s">
        <v>1119</v>
      </c>
      <c r="C519" s="10" t="s">
        <v>12</v>
      </c>
      <c r="D519" s="10" t="s">
        <v>55</v>
      </c>
      <c r="E519" s="11" t="b">
        <v>1</v>
      </c>
      <c r="F519" s="12">
        <v>45715</v>
      </c>
      <c r="G519" s="12">
        <v>45715.999999988424</v>
      </c>
      <c r="H519" s="13">
        <f>IF(F519="","",(Summary!$B$5-F519)/365.25)</f>
        <v>1.4291923102517317</v>
      </c>
      <c r="I519" s="14">
        <v>1.8100000000000002E-2</v>
      </c>
      <c r="J519" s="15">
        <v>-1.093E-2</v>
      </c>
      <c r="K519" s="16">
        <v>3094089.1</v>
      </c>
      <c r="L519" s="16">
        <v>56382.981140000004</v>
      </c>
      <c r="M519" s="17">
        <v>863</v>
      </c>
      <c r="N519" s="14">
        <v>1.8100000000000002E-2</v>
      </c>
      <c r="O519" s="14">
        <v>1.8200000000000001E-2</v>
      </c>
      <c r="P519" s="18">
        <f>IF(OR(N519="",O519="",N519=0,O519=0),"",(O519-N519)/((O519+N519)/2))</f>
        <v>5.5096418732782041E-3</v>
      </c>
      <c r="Q519" s="14">
        <v>1.8222800000000001E-2</v>
      </c>
      <c r="R519" s="14">
        <v>1.8499999999999999E-2</v>
      </c>
      <c r="S519" s="14">
        <v>1.7999999999999999E-2</v>
      </c>
      <c r="T519" s="12">
        <v>46236.01247627315</v>
      </c>
      <c r="U519" s="12">
        <v>46237.01247627315</v>
      </c>
      <c r="V519" s="14">
        <v>5</v>
      </c>
      <c r="W519" s="14">
        <v>0.1</v>
      </c>
      <c r="X519" s="14">
        <v>0.1</v>
      </c>
      <c r="Y519" s="14">
        <v>1E-4</v>
      </c>
      <c r="Z519" s="10" t="str">
        <f>IF(AND(D519="TRADING",I519&lt;&gt;"",L519&lt;&gt;"",M519&lt;&gt;"",N519&lt;&gt;"",O519&lt;&gt;""),"Yes","No")</f>
        <v>Yes</v>
      </c>
      <c r="AA519" s="10" t="s">
        <v>56</v>
      </c>
    </row>
    <row r="520" spans="1:27">
      <c r="A520" s="10" t="s">
        <v>1050</v>
      </c>
      <c r="B520" s="10" t="s">
        <v>1051</v>
      </c>
      <c r="C520" s="10" t="s">
        <v>12</v>
      </c>
      <c r="D520" s="10" t="s">
        <v>55</v>
      </c>
      <c r="E520" s="11" t="b">
        <v>1</v>
      </c>
      <c r="F520" s="12">
        <v>45716</v>
      </c>
      <c r="G520" s="12">
        <v>45716.999999988424</v>
      </c>
      <c r="H520" s="13">
        <f>IF(F520="","",(Summary!$B$5-F520)/365.25)</f>
        <v>1.4264544594645996</v>
      </c>
      <c r="I520" s="14">
        <v>8.8099999999999998E-2</v>
      </c>
      <c r="J520" s="15">
        <v>1.14E-3</v>
      </c>
      <c r="K520" s="16">
        <v>2091450.5</v>
      </c>
      <c r="L520" s="16">
        <v>185400.79988000001</v>
      </c>
      <c r="M520" s="17">
        <v>2848</v>
      </c>
      <c r="N520" s="14">
        <v>8.7999999999999995E-2</v>
      </c>
      <c r="O520" s="14">
        <v>8.8099999999999998E-2</v>
      </c>
      <c r="P520" s="18">
        <f>IF(OR(N520="",O520="",N520=0,O520=0),"",(O520-N520)/((O520+N520)/2))</f>
        <v>1.1357183418512537E-3</v>
      </c>
      <c r="Q520" s="14">
        <v>8.8646989999999995E-2</v>
      </c>
      <c r="R520" s="14">
        <v>9.01E-2</v>
      </c>
      <c r="S520" s="14">
        <v>8.7599999999999997E-2</v>
      </c>
      <c r="T520" s="12">
        <v>46236.012437037039</v>
      </c>
      <c r="U520" s="12">
        <v>46237.012437037039</v>
      </c>
      <c r="V520" s="14">
        <v>5</v>
      </c>
      <c r="W520" s="14">
        <v>0.1</v>
      </c>
      <c r="X520" s="14">
        <v>0.1</v>
      </c>
      <c r="Y520" s="14">
        <v>1E-4</v>
      </c>
      <c r="Z520" s="10" t="str">
        <f>IF(AND(D520="TRADING",I520&lt;&gt;"",L520&lt;&gt;"",M520&lt;&gt;"",N520&lt;&gt;"",O520&lt;&gt;""),"Yes","No")</f>
        <v>Yes</v>
      </c>
      <c r="AA520" s="10" t="s">
        <v>56</v>
      </c>
    </row>
    <row r="521" spans="1:27">
      <c r="A521" s="10" t="s">
        <v>598</v>
      </c>
      <c r="B521" s="10" t="s">
        <v>599</v>
      </c>
      <c r="C521" s="10" t="s">
        <v>12</v>
      </c>
      <c r="D521" s="10" t="s">
        <v>55</v>
      </c>
      <c r="E521" s="11" t="b">
        <v>1</v>
      </c>
      <c r="F521" s="12">
        <v>45720</v>
      </c>
      <c r="G521" s="12">
        <v>45720.999999988424</v>
      </c>
      <c r="H521" s="13">
        <f>IF(F521="","",(Summary!$B$5-F521)/365.25)</f>
        <v>1.4155030563160711</v>
      </c>
      <c r="I521" s="14">
        <v>9.4699999999999993E-3</v>
      </c>
      <c r="J521" s="15">
        <v>-1.0499999999999999E-3</v>
      </c>
      <c r="K521" s="16">
        <v>16697116.699999999</v>
      </c>
      <c r="L521" s="16">
        <v>156184.87222700001</v>
      </c>
      <c r="M521" s="17">
        <v>3299</v>
      </c>
      <c r="N521" s="14">
        <v>9.4699999999999993E-3</v>
      </c>
      <c r="O521" s="14">
        <v>9.4900000000000002E-3</v>
      </c>
      <c r="P521" s="18">
        <f>IF(OR(N521="",O521="",N521=0,O521=0),"",(O521-N521)/((O521+N521)/2))</f>
        <v>2.1097046413503084E-3</v>
      </c>
      <c r="Q521" s="14">
        <v>9.3539999999999995E-3</v>
      </c>
      <c r="R521" s="14">
        <v>9.4800000000000006E-3</v>
      </c>
      <c r="S521" s="14">
        <v>9.2200000000000008E-3</v>
      </c>
      <c r="T521" s="12">
        <v>46236.012472789349</v>
      </c>
      <c r="U521" s="12">
        <v>46237.012472789349</v>
      </c>
      <c r="V521" s="14">
        <v>5</v>
      </c>
      <c r="W521" s="14">
        <v>0.1</v>
      </c>
      <c r="X521" s="14">
        <v>0.1</v>
      </c>
      <c r="Y521" s="14">
        <v>1.0000000000000001E-5</v>
      </c>
      <c r="Z521" s="10" t="str">
        <f>IF(AND(D521="TRADING",I521&lt;&gt;"",L521&lt;&gt;"",M521&lt;&gt;"",N521&lt;&gt;"",O521&lt;&gt;""),"Yes","No")</f>
        <v>Yes</v>
      </c>
      <c r="AA521" s="10" t="s">
        <v>56</v>
      </c>
    </row>
    <row r="522" spans="1:27">
      <c r="A522" s="10" t="s">
        <v>485</v>
      </c>
      <c r="B522" s="10" t="s">
        <v>486</v>
      </c>
      <c r="C522" s="10" t="s">
        <v>12</v>
      </c>
      <c r="D522" s="10" t="s">
        <v>55</v>
      </c>
      <c r="E522" s="11" t="b">
        <v>1</v>
      </c>
      <c r="F522" s="12">
        <v>45729</v>
      </c>
      <c r="G522" s="12">
        <v>45729.999999988424</v>
      </c>
      <c r="H522" s="13">
        <f>IF(F522="","",(Summary!$B$5-F522)/365.25)</f>
        <v>1.3908623992318823</v>
      </c>
      <c r="I522" s="14">
        <v>0.91959999999999997</v>
      </c>
      <c r="J522" s="15">
        <v>1.044E-2</v>
      </c>
      <c r="K522" s="16">
        <v>4607825.5999999996</v>
      </c>
      <c r="L522" s="16">
        <v>4189575.64279</v>
      </c>
      <c r="M522" s="17">
        <v>240797</v>
      </c>
      <c r="N522" s="14">
        <v>0.91900000000000004</v>
      </c>
      <c r="O522" s="14">
        <v>0.91959999999999997</v>
      </c>
      <c r="P522" s="18">
        <f>IF(OR(N522="",O522="",N522=0,O522=0),"",(O522-N522)/((O522+N522)/2))</f>
        <v>6.526705101707102E-4</v>
      </c>
      <c r="Q522" s="14">
        <v>0.90923050999999999</v>
      </c>
      <c r="R522" s="14">
        <v>0.96499999999999997</v>
      </c>
      <c r="S522" s="14">
        <v>0.85140000000000005</v>
      </c>
      <c r="T522" s="12">
        <v>46236.012486689811</v>
      </c>
      <c r="U522" s="12">
        <v>46237.012486689811</v>
      </c>
      <c r="V522" s="14">
        <v>5</v>
      </c>
      <c r="W522" s="14">
        <v>0.1</v>
      </c>
      <c r="X522" s="14">
        <v>0.1</v>
      </c>
      <c r="Y522" s="14">
        <v>1E-4</v>
      </c>
      <c r="Z522" s="10" t="str">
        <f>IF(AND(D522="TRADING",I522&lt;&gt;"",L522&lt;&gt;"",M522&lt;&gt;"",N522&lt;&gt;"",O522&lt;&gt;""),"Yes","No")</f>
        <v>Yes</v>
      </c>
      <c r="AA522" s="10" t="s">
        <v>56</v>
      </c>
    </row>
    <row r="523" spans="1:27">
      <c r="A523" s="10" t="s">
        <v>293</v>
      </c>
      <c r="B523" s="10" t="s">
        <v>294</v>
      </c>
      <c r="C523" s="10" t="s">
        <v>12</v>
      </c>
      <c r="D523" s="10" t="s">
        <v>55</v>
      </c>
      <c r="E523" s="11" t="b">
        <v>1</v>
      </c>
      <c r="F523" s="12">
        <v>45734</v>
      </c>
      <c r="G523" s="12">
        <v>45734.999999988424</v>
      </c>
      <c r="H523" s="13">
        <f>IF(F523="","",(Summary!$B$5-F523)/365.25)</f>
        <v>1.3771731452962217</v>
      </c>
      <c r="I523" s="14">
        <v>1.1650000000000001E-2</v>
      </c>
      <c r="J523" s="15">
        <v>-1.2709999999999999E-2</v>
      </c>
      <c r="K523" s="16">
        <v>6274236.2999999998</v>
      </c>
      <c r="L523" s="16">
        <v>73636.481344</v>
      </c>
      <c r="M523" s="17">
        <v>2276</v>
      </c>
      <c r="N523" s="14">
        <v>1.166E-2</v>
      </c>
      <c r="O523" s="14">
        <v>1.167E-2</v>
      </c>
      <c r="P523" s="18">
        <f>IF(OR(N523="",O523="",N523=0,O523=0),"",(O523-N523)/((O523+N523)/2))</f>
        <v>8.5726532361762474E-4</v>
      </c>
      <c r="Q523" s="14">
        <v>1.173633E-2</v>
      </c>
      <c r="R523" s="14">
        <v>1.188E-2</v>
      </c>
      <c r="S523" s="14">
        <v>1.1639999999999999E-2</v>
      </c>
      <c r="T523" s="12">
        <v>46236.011718958332</v>
      </c>
      <c r="U523" s="12">
        <v>46237.011718958332</v>
      </c>
      <c r="V523" s="14">
        <v>5</v>
      </c>
      <c r="W523" s="14">
        <v>0.1</v>
      </c>
      <c r="X523" s="14">
        <v>0.1</v>
      </c>
      <c r="Y523" s="14">
        <v>1.0000000000000001E-5</v>
      </c>
      <c r="Z523" s="10" t="str">
        <f>IF(AND(D523="TRADING",I523&lt;&gt;"",L523&lt;&gt;"",M523&lt;&gt;"",N523&lt;&gt;"",O523&lt;&gt;""),"Yes","No")</f>
        <v>Yes</v>
      </c>
      <c r="AA523" s="10" t="s">
        <v>56</v>
      </c>
    </row>
    <row r="524" spans="1:27">
      <c r="A524" s="10" t="s">
        <v>546</v>
      </c>
      <c r="B524" s="10" t="s">
        <v>547</v>
      </c>
      <c r="C524" s="10" t="s">
        <v>12</v>
      </c>
      <c r="D524" s="10" t="s">
        <v>55</v>
      </c>
      <c r="E524" s="11" t="b">
        <v>1</v>
      </c>
      <c r="F524" s="12">
        <v>45735</v>
      </c>
      <c r="G524" s="12">
        <v>45735.999999988424</v>
      </c>
      <c r="H524" s="13">
        <f>IF(F524="","",(Summary!$B$5-F524)/365.25)</f>
        <v>1.3744352945090896</v>
      </c>
      <c r="I524" s="14">
        <v>0.20330000000000001</v>
      </c>
      <c r="J524" s="15">
        <v>1.295E-2</v>
      </c>
      <c r="K524" s="16">
        <v>1956326.5</v>
      </c>
      <c r="L524" s="16">
        <v>393911.22453000001</v>
      </c>
      <c r="M524" s="17">
        <v>5716</v>
      </c>
      <c r="N524" s="14">
        <v>0.2029</v>
      </c>
      <c r="O524" s="14">
        <v>0.20319999999999999</v>
      </c>
      <c r="P524" s="18">
        <f>IF(OR(N524="",O524="",N524=0,O524=0),"",(O524-N524)/((O524+N524)/2))</f>
        <v>1.4774686037921432E-3</v>
      </c>
      <c r="Q524" s="14">
        <v>0.20135249999999999</v>
      </c>
      <c r="R524" s="14">
        <v>0.20480000000000001</v>
      </c>
      <c r="S524" s="14">
        <v>0.19750000000000001</v>
      </c>
      <c r="T524" s="12">
        <v>46236.011431157407</v>
      </c>
      <c r="U524" s="12">
        <v>46237.011431157407</v>
      </c>
      <c r="V524" s="14">
        <v>5</v>
      </c>
      <c r="W524" s="14">
        <v>0.1</v>
      </c>
      <c r="X524" s="14">
        <v>0.1</v>
      </c>
      <c r="Y524" s="14">
        <v>1E-4</v>
      </c>
      <c r="Z524" s="10" t="str">
        <f>IF(AND(D524="TRADING",I524&lt;&gt;"",L524&lt;&gt;"",M524&lt;&gt;"",N524&lt;&gt;"",O524&lt;&gt;""),"Yes","No")</f>
        <v>Yes</v>
      </c>
      <c r="AA524" s="10" t="s">
        <v>56</v>
      </c>
    </row>
    <row r="525" spans="1:27">
      <c r="A525" s="10" t="s">
        <v>1389</v>
      </c>
      <c r="B525" s="10" t="s">
        <v>1390</v>
      </c>
      <c r="C525" s="10" t="s">
        <v>12</v>
      </c>
      <c r="D525" s="10" t="s">
        <v>55</v>
      </c>
      <c r="E525" s="11" t="b">
        <v>1</v>
      </c>
      <c r="F525" s="12">
        <v>45735</v>
      </c>
      <c r="G525" s="12">
        <v>45735.999999988424</v>
      </c>
      <c r="H525" s="13">
        <f>IF(F525="","",(Summary!$B$5-F525)/365.25)</f>
        <v>1.3744352945090896</v>
      </c>
      <c r="I525" s="14">
        <v>1.0009999999999999</v>
      </c>
      <c r="J525" s="15">
        <v>1E-4</v>
      </c>
      <c r="K525" s="16">
        <v>878431</v>
      </c>
      <c r="L525" s="16">
        <v>879369.58770000003</v>
      </c>
      <c r="M525" s="17">
        <v>244</v>
      </c>
      <c r="N525" s="14">
        <v>1.0009999999999999</v>
      </c>
      <c r="O525" s="14">
        <v>1.0011000000000001</v>
      </c>
      <c r="P525" s="18">
        <f>IF(OR(N525="",O525="",N525=0,O525=0),"",(O525-N525)/((O525+N525)/2))</f>
        <v>9.9895110134569736E-5</v>
      </c>
      <c r="Q525" s="14">
        <v>1.00106848</v>
      </c>
      <c r="R525" s="14">
        <v>1.0012000000000001</v>
      </c>
      <c r="S525" s="14">
        <v>1.0007999999999999</v>
      </c>
      <c r="T525" s="12">
        <v>46236.011826678237</v>
      </c>
      <c r="U525" s="12">
        <v>46237.011826678237</v>
      </c>
      <c r="V525" s="14">
        <v>5</v>
      </c>
      <c r="W525" s="14">
        <v>1</v>
      </c>
      <c r="X525" s="14">
        <v>1</v>
      </c>
      <c r="Y525" s="14">
        <v>1E-4</v>
      </c>
      <c r="Z525" s="10" t="str">
        <f>IF(AND(D525="TRADING",I525&lt;&gt;"",L525&lt;&gt;"",M525&lt;&gt;"",N525&lt;&gt;"",O525&lt;&gt;""),"Yes","No")</f>
        <v>Yes</v>
      </c>
      <c r="AA525" s="10" t="s">
        <v>56</v>
      </c>
    </row>
    <row r="526" spans="1:27">
      <c r="A526" s="10" t="s">
        <v>884</v>
      </c>
      <c r="B526" s="10" t="s">
        <v>885</v>
      </c>
      <c r="C526" s="10" t="s">
        <v>12</v>
      </c>
      <c r="D526" s="10" t="s">
        <v>55</v>
      </c>
      <c r="E526" s="11" t="b">
        <v>1</v>
      </c>
      <c r="F526" s="12">
        <v>45740</v>
      </c>
      <c r="G526" s="12">
        <v>45740.999999988424</v>
      </c>
      <c r="H526" s="13">
        <f>IF(F526="","",(Summary!$B$5-F526)/365.25)</f>
        <v>1.3607460405734291</v>
      </c>
      <c r="I526" s="14">
        <v>3.0470000000000001E-2</v>
      </c>
      <c r="J526" s="15">
        <v>7.4779999999999999E-2</v>
      </c>
      <c r="K526" s="16">
        <v>100821450.09999999</v>
      </c>
      <c r="L526" s="16">
        <v>3079585.3551460002</v>
      </c>
      <c r="M526" s="17">
        <v>93890</v>
      </c>
      <c r="N526" s="14">
        <v>3.0450000000000001E-2</v>
      </c>
      <c r="O526" s="14">
        <v>3.0460000000000001E-2</v>
      </c>
      <c r="P526" s="18">
        <f>IF(OR(N526="",O526="",N526=0,O526=0),"",(O526-N526)/((O526+N526)/2))</f>
        <v>3.2835330815956631E-4</v>
      </c>
      <c r="Q526" s="14">
        <v>3.054494E-2</v>
      </c>
      <c r="R526" s="14">
        <v>3.4200000000000001E-2</v>
      </c>
      <c r="S526" s="14">
        <v>2.777E-2</v>
      </c>
      <c r="T526" s="12">
        <v>46236.012476493059</v>
      </c>
      <c r="U526" s="12">
        <v>46237.012476493059</v>
      </c>
      <c r="V526" s="14">
        <v>5</v>
      </c>
      <c r="W526" s="14">
        <v>0.1</v>
      </c>
      <c r="X526" s="14">
        <v>0.1</v>
      </c>
      <c r="Y526" s="14">
        <v>1.0000000000000001E-5</v>
      </c>
      <c r="Z526" s="10" t="str">
        <f>IF(AND(D526="TRADING",I526&lt;&gt;"",L526&lt;&gt;"",M526&lt;&gt;"",N526&lt;&gt;"",O526&lt;&gt;""),"Yes","No")</f>
        <v>Yes</v>
      </c>
      <c r="AA526" s="10" t="s">
        <v>56</v>
      </c>
    </row>
    <row r="527" spans="1:27">
      <c r="A527" s="10" t="s">
        <v>952</v>
      </c>
      <c r="B527" s="10" t="s">
        <v>953</v>
      </c>
      <c r="C527" s="10" t="s">
        <v>12</v>
      </c>
      <c r="D527" s="10" t="s">
        <v>55</v>
      </c>
      <c r="E527" s="11" t="b">
        <v>1</v>
      </c>
      <c r="F527" s="12">
        <v>45741</v>
      </c>
      <c r="G527" s="12">
        <v>45741.999999988424</v>
      </c>
      <c r="H527" s="13">
        <f>IF(F527="","",(Summary!$B$5-F527)/365.25)</f>
        <v>1.358008189786297</v>
      </c>
      <c r="I527" s="14">
        <v>2.4400000000000002E-2</v>
      </c>
      <c r="J527" s="15">
        <v>4.1199999999999995E-3</v>
      </c>
      <c r="K527" s="16">
        <v>33355988.300000001</v>
      </c>
      <c r="L527" s="16">
        <v>802520.48956999998</v>
      </c>
      <c r="M527" s="17">
        <v>10391</v>
      </c>
      <c r="N527" s="14">
        <v>2.4299999999999999E-2</v>
      </c>
      <c r="O527" s="14">
        <v>2.4400000000000002E-2</v>
      </c>
      <c r="P527" s="18">
        <f>IF(OR(N527="",O527="",N527=0,O527=0),"",(O527-N527)/((O527+N527)/2))</f>
        <v>4.1067761806982692E-3</v>
      </c>
      <c r="Q527" s="14">
        <v>2.4059259999999999E-2</v>
      </c>
      <c r="R527" s="14">
        <v>2.47E-2</v>
      </c>
      <c r="S527" s="14">
        <v>2.3400000000000001E-2</v>
      </c>
      <c r="T527" s="12">
        <v>46236.012453391202</v>
      </c>
      <c r="U527" s="12">
        <v>46237.012453391202</v>
      </c>
      <c r="V527" s="14">
        <v>5</v>
      </c>
      <c r="W527" s="14">
        <v>0.1</v>
      </c>
      <c r="X527" s="14">
        <v>0.1</v>
      </c>
      <c r="Y527" s="14">
        <v>1E-4</v>
      </c>
      <c r="Z527" s="10" t="str">
        <f>IF(AND(D527="TRADING",I527&lt;&gt;"",L527&lt;&gt;"",M527&lt;&gt;"",N527&lt;&gt;"",O527&lt;&gt;""),"Yes","No")</f>
        <v>Yes</v>
      </c>
      <c r="AA527" s="10" t="s">
        <v>56</v>
      </c>
    </row>
    <row r="528" spans="1:27">
      <c r="A528" s="10" t="s">
        <v>237</v>
      </c>
      <c r="B528" s="10" t="s">
        <v>238</v>
      </c>
      <c r="C528" s="10" t="s">
        <v>12</v>
      </c>
      <c r="D528" s="10" t="s">
        <v>55</v>
      </c>
      <c r="E528" s="11" t="b">
        <v>1</v>
      </c>
      <c r="F528" s="12">
        <v>45743</v>
      </c>
      <c r="G528" s="12">
        <v>45743.999999988424</v>
      </c>
      <c r="H528" s="13">
        <f>IF(F528="","",(Summary!$B$5-F528)/365.25)</f>
        <v>1.3525324882120326</v>
      </c>
      <c r="I528" s="14">
        <v>7.1279999999999998E-3</v>
      </c>
      <c r="J528" s="15">
        <v>2.0619999999999999E-2</v>
      </c>
      <c r="K528" s="16">
        <v>25909403</v>
      </c>
      <c r="L528" s="16">
        <v>185400.47634200001</v>
      </c>
      <c r="M528" s="17">
        <v>4563</v>
      </c>
      <c r="N528" s="14">
        <v>7.1320000000000003E-3</v>
      </c>
      <c r="O528" s="14">
        <v>7.1370000000000001E-3</v>
      </c>
      <c r="P528" s="18">
        <f>IF(OR(N528="",O528="",N528=0,O528=0),"",(O528-N528)/((O528+N528)/2))</f>
        <v>7.0081995935241379E-4</v>
      </c>
      <c r="Q528" s="14">
        <v>7.15572E-3</v>
      </c>
      <c r="R528" s="14">
        <v>7.3150000000000003E-3</v>
      </c>
      <c r="S528" s="14">
        <v>6.9779999999999998E-3</v>
      </c>
      <c r="T528" s="12">
        <v>46236.01232047454</v>
      </c>
      <c r="U528" s="12">
        <v>46237.01232047454</v>
      </c>
      <c r="V528" s="14">
        <v>1</v>
      </c>
      <c r="W528" s="14">
        <v>1</v>
      </c>
      <c r="X528" s="14">
        <v>1</v>
      </c>
      <c r="Y528" s="14">
        <v>9.9999999999999995E-7</v>
      </c>
      <c r="Z528" s="10" t="str">
        <f>IF(AND(D528="TRADING",I528&lt;&gt;"",L528&lt;&gt;"",M528&lt;&gt;"",N528&lt;&gt;"",O528&lt;&gt;""),"Yes","No")</f>
        <v>Yes</v>
      </c>
      <c r="AA528" s="10" t="s">
        <v>56</v>
      </c>
    </row>
    <row r="529" spans="1:27">
      <c r="A529" s="10" t="s">
        <v>314</v>
      </c>
      <c r="B529" s="10" t="s">
        <v>315</v>
      </c>
      <c r="C529" s="10" t="s">
        <v>12</v>
      </c>
      <c r="D529" s="10" t="s">
        <v>55</v>
      </c>
      <c r="E529" s="11" t="b">
        <v>1</v>
      </c>
      <c r="F529" s="12">
        <v>45743</v>
      </c>
      <c r="G529" s="12">
        <v>45743.999999988424</v>
      </c>
      <c r="H529" s="13">
        <f>IF(F529="","",(Summary!$B$5-F529)/365.25)</f>
        <v>1.3525324882120326</v>
      </c>
      <c r="I529" s="14">
        <v>1.3299999999999999E-2</v>
      </c>
      <c r="J529" s="15">
        <v>-6.2719999999999998E-2</v>
      </c>
      <c r="K529" s="16">
        <v>65163173</v>
      </c>
      <c r="L529" s="16">
        <v>875320.08398</v>
      </c>
      <c r="M529" s="17">
        <v>12053</v>
      </c>
      <c r="N529" s="14">
        <v>1.329E-2</v>
      </c>
      <c r="O529" s="14">
        <v>1.3299999999999999E-2</v>
      </c>
      <c r="P529" s="18">
        <f>IF(OR(N529="",O529="",N529=0,O529=0),"",(O529-N529)/((O529+N529)/2))</f>
        <v>7.5216246709286147E-4</v>
      </c>
      <c r="Q529" s="14">
        <v>1.343274E-2</v>
      </c>
      <c r="R529" s="14">
        <v>1.4279999999999999E-2</v>
      </c>
      <c r="S529" s="14">
        <v>1.2930000000000001E-2</v>
      </c>
      <c r="T529" s="12">
        <v>46236.012343310183</v>
      </c>
      <c r="U529" s="12">
        <v>46237.012343310183</v>
      </c>
      <c r="V529" s="14">
        <v>1</v>
      </c>
      <c r="W529" s="14">
        <v>1</v>
      </c>
      <c r="X529" s="14">
        <v>1</v>
      </c>
      <c r="Y529" s="14">
        <v>1.0000000000000001E-5</v>
      </c>
      <c r="Z529" s="10" t="str">
        <f>IF(AND(D529="TRADING",I529&lt;&gt;"",L529&lt;&gt;"",M529&lt;&gt;"",N529&lt;&gt;"",O529&lt;&gt;""),"Yes","No")</f>
        <v>Yes</v>
      </c>
      <c r="AA529" s="10" t="s">
        <v>56</v>
      </c>
    </row>
    <row r="530" spans="1:27">
      <c r="A530" s="10" t="s">
        <v>852</v>
      </c>
      <c r="B530" s="10" t="s">
        <v>853</v>
      </c>
      <c r="C530" s="10" t="s">
        <v>12</v>
      </c>
      <c r="D530" s="10" t="s">
        <v>55</v>
      </c>
      <c r="E530" s="11" t="b">
        <v>1</v>
      </c>
      <c r="F530" s="12">
        <v>45743</v>
      </c>
      <c r="G530" s="12">
        <v>45743.999999988424</v>
      </c>
      <c r="H530" s="13">
        <f>IF(F530="","",(Summary!$B$5-F530)/365.25)</f>
        <v>1.3525324882120326</v>
      </c>
      <c r="I530" s="14">
        <v>1.282E-2</v>
      </c>
      <c r="J530" s="15">
        <v>5.5140000000000002E-2</v>
      </c>
      <c r="K530" s="16">
        <v>70339431.5</v>
      </c>
      <c r="L530" s="16">
        <v>877757.60519699997</v>
      </c>
      <c r="M530" s="17">
        <v>15624</v>
      </c>
      <c r="N530" s="14">
        <v>1.282E-2</v>
      </c>
      <c r="O530" s="14">
        <v>1.2829999999999999E-2</v>
      </c>
      <c r="P530" s="18">
        <f>IF(OR(N530="",O530="",N530=0,O530=0),"",(O530-N530)/((O530+N530)/2))</f>
        <v>7.7972709551653741E-4</v>
      </c>
      <c r="Q530" s="14">
        <v>1.2478879999999999E-2</v>
      </c>
      <c r="R530" s="14">
        <v>1.298E-2</v>
      </c>
      <c r="S530" s="14">
        <v>1.1950000000000001E-2</v>
      </c>
      <c r="T530" s="12">
        <v>46236.012244826386</v>
      </c>
      <c r="U530" s="12">
        <v>46237.012244826386</v>
      </c>
      <c r="V530" s="14">
        <v>1</v>
      </c>
      <c r="W530" s="14">
        <v>0.1</v>
      </c>
      <c r="X530" s="14">
        <v>0.1</v>
      </c>
      <c r="Y530" s="14">
        <v>1.0000000000000001E-5</v>
      </c>
      <c r="Z530" s="10" t="str">
        <f>IF(AND(D530="TRADING",I530&lt;&gt;"",L530&lt;&gt;"",M530&lt;&gt;"",N530&lt;&gt;"",O530&lt;&gt;""),"Yes","No")</f>
        <v>Yes</v>
      </c>
      <c r="AA530" s="10" t="s">
        <v>56</v>
      </c>
    </row>
    <row r="531" spans="1:27">
      <c r="A531" s="10" t="s">
        <v>1267</v>
      </c>
      <c r="B531" s="10" t="s">
        <v>1268</v>
      </c>
      <c r="C531" s="10" t="s">
        <v>12</v>
      </c>
      <c r="D531" s="10" t="s">
        <v>55</v>
      </c>
      <c r="E531" s="11" t="b">
        <v>1</v>
      </c>
      <c r="F531" s="12">
        <v>45743</v>
      </c>
      <c r="G531" s="12">
        <v>45743.999999988424</v>
      </c>
      <c r="H531" s="13">
        <f>IF(F531="","",(Summary!$B$5-F531)/365.25)</f>
        <v>1.3525324882120326</v>
      </c>
      <c r="I531" s="14">
        <v>1.7579999999999998E-2</v>
      </c>
      <c r="J531" s="15">
        <v>-4.5300000000000002E-3</v>
      </c>
      <c r="K531" s="16">
        <v>57958435</v>
      </c>
      <c r="L531" s="16">
        <v>1007804.72574</v>
      </c>
      <c r="M531" s="17">
        <v>28424</v>
      </c>
      <c r="N531" s="14">
        <v>1.7569999999999999E-2</v>
      </c>
      <c r="O531" s="14">
        <v>1.7579999999999998E-2</v>
      </c>
      <c r="P531" s="18">
        <f>IF(OR(N531="",O531="",N531=0,O531=0),"",(O531-N531)/((O531+N531)/2))</f>
        <v>5.6899004267423005E-4</v>
      </c>
      <c r="Q531" s="14">
        <v>1.7388399999999998E-2</v>
      </c>
      <c r="R531" s="14">
        <v>1.7979999999999999E-2</v>
      </c>
      <c r="S531" s="14">
        <v>1.6920000000000001E-2</v>
      </c>
      <c r="T531" s="12">
        <v>46236.012194131945</v>
      </c>
      <c r="U531" s="12">
        <v>46237.012194131945</v>
      </c>
      <c r="V531" s="14">
        <v>1</v>
      </c>
      <c r="W531" s="14">
        <v>1</v>
      </c>
      <c r="X531" s="14">
        <v>1</v>
      </c>
      <c r="Y531" s="14">
        <v>1.0000000000000001E-5</v>
      </c>
      <c r="Z531" s="10" t="str">
        <f>IF(AND(D531="TRADING",I531&lt;&gt;"",L531&lt;&gt;"",M531&lt;&gt;"",N531&lt;&gt;"",O531&lt;&gt;""),"Yes","No")</f>
        <v>Yes</v>
      </c>
      <c r="AA531" s="10" t="s">
        <v>56</v>
      </c>
    </row>
    <row r="532" spans="1:27">
      <c r="A532" s="10" t="s">
        <v>610</v>
      </c>
      <c r="B532" s="10" t="s">
        <v>611</v>
      </c>
      <c r="C532" s="10" t="s">
        <v>12</v>
      </c>
      <c r="D532" s="10" t="s">
        <v>55</v>
      </c>
      <c r="E532" s="11" t="b">
        <v>1</v>
      </c>
      <c r="F532" s="12">
        <v>45747</v>
      </c>
      <c r="G532" s="12">
        <v>45747.999999988424</v>
      </c>
      <c r="H532" s="13">
        <f>IF(F532="","",(Summary!$B$5-F532)/365.25)</f>
        <v>1.3415810850635044</v>
      </c>
      <c r="I532" s="14">
        <v>2.82E-3</v>
      </c>
      <c r="J532" s="15">
        <v>-1.7420000000000001E-2</v>
      </c>
      <c r="K532" s="16">
        <v>89176234</v>
      </c>
      <c r="L532" s="16">
        <v>257900.30966999999</v>
      </c>
      <c r="M532" s="17">
        <v>5507</v>
      </c>
      <c r="N532" s="14">
        <v>2.82E-3</v>
      </c>
      <c r="O532" s="14">
        <v>2.8300000000000001E-3</v>
      </c>
      <c r="P532" s="18">
        <f>IF(OR(N532="",O532="",N532=0,O532=0),"",(O532-N532)/((O532+N532)/2))</f>
        <v>3.5398230088495666E-3</v>
      </c>
      <c r="Q532" s="14">
        <v>2.8920299999999999E-3</v>
      </c>
      <c r="R532" s="14">
        <v>2.9399999999999999E-3</v>
      </c>
      <c r="S532" s="14">
        <v>2.82E-3</v>
      </c>
      <c r="T532" s="12">
        <v>46236.012477708333</v>
      </c>
      <c r="U532" s="12">
        <v>46237.012477708333</v>
      </c>
      <c r="V532" s="14">
        <v>5</v>
      </c>
      <c r="W532" s="14">
        <v>1</v>
      </c>
      <c r="X532" s="14">
        <v>1</v>
      </c>
      <c r="Y532" s="14">
        <v>1.0000000000000001E-5</v>
      </c>
      <c r="Z532" s="10" t="str">
        <f>IF(AND(D532="TRADING",I532&lt;&gt;"",L532&lt;&gt;"",M532&lt;&gt;"",N532&lt;&gt;"",O532&lt;&gt;""),"Yes","No")</f>
        <v>Yes</v>
      </c>
      <c r="AA532" s="10" t="s">
        <v>56</v>
      </c>
    </row>
    <row r="533" spans="1:27">
      <c r="A533" s="10" t="s">
        <v>229</v>
      </c>
      <c r="B533" s="10" t="s">
        <v>230</v>
      </c>
      <c r="C533" s="10" t="s">
        <v>12</v>
      </c>
      <c r="D533" s="10" t="s">
        <v>55</v>
      </c>
      <c r="E533" s="11" t="b">
        <v>1</v>
      </c>
      <c r="F533" s="12">
        <v>45757</v>
      </c>
      <c r="G533" s="12">
        <v>45757.999999988424</v>
      </c>
      <c r="H533" s="13">
        <f>IF(F533="","",(Summary!$B$5-F533)/365.25)</f>
        <v>1.3142025771921833</v>
      </c>
      <c r="I533" s="14">
        <v>1.125E-2</v>
      </c>
      <c r="J533" s="15">
        <v>-5.3030000000000001E-2</v>
      </c>
      <c r="K533" s="16">
        <v>71082252</v>
      </c>
      <c r="L533" s="16">
        <v>817364.93414999999</v>
      </c>
      <c r="M533" s="17">
        <v>20560</v>
      </c>
      <c r="N533" s="14">
        <v>1.125E-2</v>
      </c>
      <c r="O533" s="14">
        <v>1.1259999999999999E-2</v>
      </c>
      <c r="P533" s="18">
        <f>IF(OR(N533="",O533="",N533=0,O533=0),"",(O533-N533)/((O533+N533)/2))</f>
        <v>8.8849400266544586E-4</v>
      </c>
      <c r="Q533" s="14">
        <v>1.149886E-2</v>
      </c>
      <c r="R533" s="14">
        <v>1.2030000000000001E-2</v>
      </c>
      <c r="S533" s="14">
        <v>1.116E-2</v>
      </c>
      <c r="T533" s="12">
        <v>46236.012413715274</v>
      </c>
      <c r="U533" s="12">
        <v>46237.012413715274</v>
      </c>
      <c r="V533" s="14">
        <v>5</v>
      </c>
      <c r="W533" s="14">
        <v>1</v>
      </c>
      <c r="X533" s="14">
        <v>1</v>
      </c>
      <c r="Y533" s="14">
        <v>1.0000000000000001E-5</v>
      </c>
      <c r="Z533" s="10" t="str">
        <f>IF(AND(D533="TRADING",I533&lt;&gt;"",L533&lt;&gt;"",M533&lt;&gt;"",N533&lt;&gt;"",O533&lt;&gt;""),"Yes","No")</f>
        <v>Yes</v>
      </c>
      <c r="AA533" s="10" t="s">
        <v>56</v>
      </c>
    </row>
    <row r="534" spans="1:27">
      <c r="A534" s="10" t="s">
        <v>283</v>
      </c>
      <c r="B534" s="10" t="s">
        <v>284</v>
      </c>
      <c r="C534" s="10" t="s">
        <v>12</v>
      </c>
      <c r="D534" s="10" t="s">
        <v>55</v>
      </c>
      <c r="E534" s="11" t="b">
        <v>1</v>
      </c>
      <c r="F534" s="12">
        <v>45758</v>
      </c>
      <c r="G534" s="12">
        <v>45758.999999988424</v>
      </c>
      <c r="H534" s="13">
        <f>IF(F534="","",(Summary!$B$5-F534)/365.25)</f>
        <v>1.3114647264050512</v>
      </c>
      <c r="I534" s="14">
        <v>5.6100000000000004E-3</v>
      </c>
      <c r="J534" s="15">
        <v>7.1799999999999998E-3</v>
      </c>
      <c r="K534" s="16">
        <v>13021759</v>
      </c>
      <c r="L534" s="16">
        <v>72749.982189999995</v>
      </c>
      <c r="M534" s="17">
        <v>2867</v>
      </c>
      <c r="N534" s="14">
        <v>5.5999999999999999E-3</v>
      </c>
      <c r="O534" s="14">
        <v>5.6100000000000004E-3</v>
      </c>
      <c r="P534" s="18">
        <f>IF(OR(N534="",O534="",N534=0,O534=0),"",(O534-N534)/((O534+N534)/2))</f>
        <v>1.7841213202498588E-3</v>
      </c>
      <c r="Q534" s="14">
        <v>5.5868000000000003E-3</v>
      </c>
      <c r="R534" s="14">
        <v>5.6699999999999997E-3</v>
      </c>
      <c r="S534" s="14">
        <v>5.4999999999999997E-3</v>
      </c>
      <c r="T534" s="12">
        <v>46236.01202923611</v>
      </c>
      <c r="U534" s="12">
        <v>46237.01202923611</v>
      </c>
      <c r="V534" s="14">
        <v>5</v>
      </c>
      <c r="W534" s="14">
        <v>1</v>
      </c>
      <c r="X534" s="14">
        <v>1</v>
      </c>
      <c r="Y534" s="14">
        <v>1.0000000000000001E-5</v>
      </c>
      <c r="Z534" s="10" t="str">
        <f>IF(AND(D534="TRADING",I534&lt;&gt;"",L534&lt;&gt;"",M534&lt;&gt;"",N534&lt;&gt;"",O534&lt;&gt;""),"Yes","No")</f>
        <v>Yes</v>
      </c>
      <c r="AA534" s="10" t="s">
        <v>56</v>
      </c>
    </row>
    <row r="535" spans="1:27">
      <c r="A535" s="10" t="s">
        <v>922</v>
      </c>
      <c r="B535" s="10" t="s">
        <v>923</v>
      </c>
      <c r="C535" s="10" t="s">
        <v>12</v>
      </c>
      <c r="D535" s="10" t="s">
        <v>55</v>
      </c>
      <c r="E535" s="11" t="b">
        <v>1</v>
      </c>
      <c r="F535" s="12">
        <v>45758</v>
      </c>
      <c r="G535" s="12">
        <v>45758.999999988424</v>
      </c>
      <c r="H535" s="13">
        <f>IF(F535="","",(Summary!$B$5-F535)/365.25)</f>
        <v>1.3114647264050512</v>
      </c>
      <c r="I535" s="14">
        <v>0.37340000000000001</v>
      </c>
      <c r="J535" s="15">
        <v>-2.0199999999999999E-2</v>
      </c>
      <c r="K535" s="16">
        <v>23601113.399999999</v>
      </c>
      <c r="L535" s="16">
        <v>9125255.5134399999</v>
      </c>
      <c r="M535" s="17">
        <v>61848</v>
      </c>
      <c r="N535" s="14">
        <v>0.3735</v>
      </c>
      <c r="O535" s="14">
        <v>0.37359999999999999</v>
      </c>
      <c r="P535" s="18">
        <f>IF(OR(N535="",O535="",N535=0,O535=0),"",(O535-N535)/((O535+N535)/2))</f>
        <v>2.6770178021680898E-4</v>
      </c>
      <c r="Q535" s="14">
        <v>0.38664513</v>
      </c>
      <c r="R535" s="14">
        <v>0.39660000000000001</v>
      </c>
      <c r="S535" s="14">
        <v>0.37219999999999998</v>
      </c>
      <c r="T535" s="12">
        <v>46236.012489236113</v>
      </c>
      <c r="U535" s="12">
        <v>46237.012489236113</v>
      </c>
      <c r="V535" s="14">
        <v>5</v>
      </c>
      <c r="W535" s="14">
        <v>0.1</v>
      </c>
      <c r="X535" s="14">
        <v>0.1</v>
      </c>
      <c r="Y535" s="14">
        <v>1E-4</v>
      </c>
      <c r="Z535" s="10" t="str">
        <f>IF(AND(D535="TRADING",I535&lt;&gt;"",L535&lt;&gt;"",M535&lt;&gt;"",N535&lt;&gt;"",O535&lt;&gt;""),"Yes","No")</f>
        <v>Yes</v>
      </c>
      <c r="AA535" s="10" t="s">
        <v>56</v>
      </c>
    </row>
    <row r="536" spans="1:27">
      <c r="A536" s="10" t="s">
        <v>1321</v>
      </c>
      <c r="B536" s="10" t="s">
        <v>1322</v>
      </c>
      <c r="C536" s="10" t="s">
        <v>12</v>
      </c>
      <c r="D536" s="10" t="s">
        <v>55</v>
      </c>
      <c r="E536" s="11" t="b">
        <v>1</v>
      </c>
      <c r="F536" s="12">
        <v>45758</v>
      </c>
      <c r="G536" s="12">
        <v>45758.999999988424</v>
      </c>
      <c r="H536" s="13">
        <f>IF(F536="","",(Summary!$B$5-F536)/365.25)</f>
        <v>1.3114647264050512</v>
      </c>
      <c r="I536" s="14">
        <v>0.56279999999999997</v>
      </c>
      <c r="J536" s="15">
        <v>2.383E-2</v>
      </c>
      <c r="K536" s="16">
        <v>2843160</v>
      </c>
      <c r="L536" s="16">
        <v>1599992.57972</v>
      </c>
      <c r="M536" s="17">
        <v>20456</v>
      </c>
      <c r="N536" s="14">
        <v>0.56289999999999996</v>
      </c>
      <c r="O536" s="14">
        <v>0.56299999999999994</v>
      </c>
      <c r="P536" s="18">
        <f>IF(OR(N536="",O536="",N536=0,O536=0),"",(O536-N536)/((O536+N536)/2))</f>
        <v>1.7763566924236431E-4</v>
      </c>
      <c r="Q536" s="14">
        <v>0.56275151000000001</v>
      </c>
      <c r="R536" s="14">
        <v>0.57110000000000005</v>
      </c>
      <c r="S536" s="14">
        <v>0.54879999999999995</v>
      </c>
      <c r="T536" s="12">
        <v>46236.012489097222</v>
      </c>
      <c r="U536" s="12">
        <v>46237.012489097222</v>
      </c>
      <c r="V536" s="14">
        <v>5</v>
      </c>
      <c r="W536" s="14">
        <v>0.1</v>
      </c>
      <c r="X536" s="14">
        <v>0.1</v>
      </c>
      <c r="Y536" s="14">
        <v>1E-4</v>
      </c>
      <c r="Z536" s="10" t="str">
        <f>IF(AND(D536="TRADING",I536&lt;&gt;"",L536&lt;&gt;"",M536&lt;&gt;"",N536&lt;&gt;"",O536&lt;&gt;""),"Yes","No")</f>
        <v>Yes</v>
      </c>
      <c r="AA536" s="10" t="s">
        <v>56</v>
      </c>
    </row>
    <row r="537" spans="1:27">
      <c r="A537" s="10" t="s">
        <v>712</v>
      </c>
      <c r="B537" s="10" t="s">
        <v>713</v>
      </c>
      <c r="C537" s="10" t="s">
        <v>12</v>
      </c>
      <c r="D537" s="10" t="s">
        <v>55</v>
      </c>
      <c r="E537" s="11" t="b">
        <v>1</v>
      </c>
      <c r="F537" s="12">
        <v>45761</v>
      </c>
      <c r="G537" s="12">
        <v>45761.999999988424</v>
      </c>
      <c r="H537" s="13">
        <f>IF(F537="","",(Summary!$B$5-F537)/365.25)</f>
        <v>1.303251174043655</v>
      </c>
      <c r="I537" s="14">
        <v>3.1600000000000003E-2</v>
      </c>
      <c r="J537" s="15">
        <v>-5.1050000000000005E-2</v>
      </c>
      <c r="K537" s="16">
        <v>11728871.5</v>
      </c>
      <c r="L537" s="16">
        <v>383500.93807999999</v>
      </c>
      <c r="M537" s="17">
        <v>5398</v>
      </c>
      <c r="N537" s="14">
        <v>3.1600000000000003E-2</v>
      </c>
      <c r="O537" s="14">
        <v>3.1699999999999999E-2</v>
      </c>
      <c r="P537" s="18">
        <f>IF(OR(N537="",O537="",N537=0,O537=0),"",(O537-N537)/((O537+N537)/2))</f>
        <v>3.1595576619272018E-3</v>
      </c>
      <c r="Q537" s="14">
        <v>3.2697169999999998E-2</v>
      </c>
      <c r="R537" s="14">
        <v>3.3799999999999997E-2</v>
      </c>
      <c r="S537" s="14">
        <v>3.15E-2</v>
      </c>
      <c r="T537" s="12">
        <v>46236.012460509257</v>
      </c>
      <c r="U537" s="12">
        <v>46237.012460509257</v>
      </c>
      <c r="V537" s="14">
        <v>5</v>
      </c>
      <c r="W537" s="14">
        <v>0.1</v>
      </c>
      <c r="X537" s="14">
        <v>0.1</v>
      </c>
      <c r="Y537" s="14">
        <v>1E-4</v>
      </c>
      <c r="Z537" s="10" t="str">
        <f>IF(AND(D537="TRADING",I537&lt;&gt;"",L537&lt;&gt;"",M537&lt;&gt;"",N537&lt;&gt;"",O537&lt;&gt;""),"Yes","No")</f>
        <v>Yes</v>
      </c>
      <c r="AA537" s="10" t="s">
        <v>56</v>
      </c>
    </row>
    <row r="538" spans="1:27">
      <c r="A538" s="10" t="s">
        <v>1341</v>
      </c>
      <c r="B538" s="10" t="s">
        <v>1342</v>
      </c>
      <c r="C538" s="10" t="s">
        <v>12</v>
      </c>
      <c r="D538" s="10" t="s">
        <v>55</v>
      </c>
      <c r="E538" s="11" t="b">
        <v>1</v>
      </c>
      <c r="F538" s="12">
        <v>45762</v>
      </c>
      <c r="G538" s="12">
        <v>45762.999999988424</v>
      </c>
      <c r="H538" s="13">
        <f>IF(F538="","",(Summary!$B$5-F538)/365.25)</f>
        <v>1.3005133232565229</v>
      </c>
      <c r="I538" s="14">
        <v>3.5659999999999997E-2</v>
      </c>
      <c r="J538" s="15">
        <v>-1.2190000000000001E-2</v>
      </c>
      <c r="K538" s="16">
        <v>4795584.7</v>
      </c>
      <c r="L538" s="16">
        <v>171527.83521700001</v>
      </c>
      <c r="M538" s="17">
        <v>4195</v>
      </c>
      <c r="N538" s="14">
        <v>3.5659999999999997E-2</v>
      </c>
      <c r="O538" s="14">
        <v>3.567E-2</v>
      </c>
      <c r="P538" s="18">
        <f>IF(OR(N538="",O538="",N538=0,O538=0),"",(O538-N538)/((O538+N538)/2))</f>
        <v>2.8038693396896291E-4</v>
      </c>
      <c r="Q538" s="14">
        <v>3.576787E-2</v>
      </c>
      <c r="R538" s="14">
        <v>3.6319999999999998E-2</v>
      </c>
      <c r="S538" s="14">
        <v>3.5459999999999998E-2</v>
      </c>
      <c r="T538" s="12">
        <v>46236.012326678239</v>
      </c>
      <c r="U538" s="12">
        <v>46237.012326678239</v>
      </c>
      <c r="V538" s="14">
        <v>5</v>
      </c>
      <c r="W538" s="14">
        <v>0.1</v>
      </c>
      <c r="X538" s="14">
        <v>0.1</v>
      </c>
      <c r="Y538" s="14">
        <v>1.0000000000000001E-5</v>
      </c>
      <c r="Z538" s="10" t="str">
        <f>IF(AND(D538="TRADING",I538&lt;&gt;"",L538&lt;&gt;"",M538&lt;&gt;"",N538&lt;&gt;"",O538&lt;&gt;""),"Yes","No")</f>
        <v>Yes</v>
      </c>
      <c r="AA538" s="10" t="s">
        <v>56</v>
      </c>
    </row>
    <row r="539" spans="1:27">
      <c r="A539" s="10" t="s">
        <v>652</v>
      </c>
      <c r="B539" s="10" t="s">
        <v>653</v>
      </c>
      <c r="C539" s="10" t="s">
        <v>12</v>
      </c>
      <c r="D539" s="10" t="s">
        <v>55</v>
      </c>
      <c r="E539" s="11" t="b">
        <v>1</v>
      </c>
      <c r="F539" s="12">
        <v>45769</v>
      </c>
      <c r="G539" s="12">
        <v>45769.999999988424</v>
      </c>
      <c r="H539" s="13">
        <f>IF(F539="","",(Summary!$B$5-F539)/365.25)</f>
        <v>1.2813483677465982</v>
      </c>
      <c r="I539" s="14">
        <v>6.54E-2</v>
      </c>
      <c r="J539" s="15">
        <v>1.711E-2</v>
      </c>
      <c r="K539" s="16">
        <v>145414336.5</v>
      </c>
      <c r="L539" s="16">
        <v>9969045.2171800006</v>
      </c>
      <c r="M539" s="17">
        <v>104243</v>
      </c>
      <c r="N539" s="14">
        <v>6.54E-2</v>
      </c>
      <c r="O539" s="14">
        <v>6.5500000000000003E-2</v>
      </c>
      <c r="P539" s="18">
        <f>IF(OR(N539="",O539="",N539=0,O539=0),"",(O539-N539)/((O539+N539)/2))</f>
        <v>1.5278838808251009E-3</v>
      </c>
      <c r="Q539" s="14">
        <v>6.8556140000000002E-2</v>
      </c>
      <c r="R539" s="14">
        <v>8.3299999999999999E-2</v>
      </c>
      <c r="S539" s="14">
        <v>6.0999999999999999E-2</v>
      </c>
      <c r="T539" s="12">
        <v>46236.012466423614</v>
      </c>
      <c r="U539" s="12">
        <v>46237.012466423614</v>
      </c>
      <c r="V539" s="14">
        <v>5</v>
      </c>
      <c r="W539" s="14">
        <v>0.1</v>
      </c>
      <c r="X539" s="14">
        <v>0.1</v>
      </c>
      <c r="Y539" s="14">
        <v>1E-4</v>
      </c>
      <c r="Z539" s="10" t="str">
        <f>IF(AND(D539="TRADING",I539&lt;&gt;"",L539&lt;&gt;"",M539&lt;&gt;"",N539&lt;&gt;"",O539&lt;&gt;""),"Yes","No")</f>
        <v>Yes</v>
      </c>
      <c r="AA539" s="10" t="s">
        <v>56</v>
      </c>
    </row>
    <row r="540" spans="1:27">
      <c r="A540" s="10" t="s">
        <v>668</v>
      </c>
      <c r="B540" s="10" t="s">
        <v>669</v>
      </c>
      <c r="C540" s="10" t="s">
        <v>12</v>
      </c>
      <c r="D540" s="10" t="s">
        <v>55</v>
      </c>
      <c r="E540" s="11" t="b">
        <v>1</v>
      </c>
      <c r="F540" s="12">
        <v>45771</v>
      </c>
      <c r="G540" s="12">
        <v>45771.999999988424</v>
      </c>
      <c r="H540" s="13">
        <f>IF(F540="","",(Summary!$B$5-F540)/365.25)</f>
        <v>1.2758726661723339</v>
      </c>
      <c r="I540" s="14">
        <v>5.0500000000000003E-2</v>
      </c>
      <c r="J540" s="15">
        <v>-2.6970000000000001E-2</v>
      </c>
      <c r="K540" s="16">
        <v>2135399.2000000002</v>
      </c>
      <c r="L540" s="16">
        <v>107540.09716999999</v>
      </c>
      <c r="M540" s="17">
        <v>1753</v>
      </c>
      <c r="N540" s="14">
        <v>5.0500000000000003E-2</v>
      </c>
      <c r="O540" s="14">
        <v>5.0599999999999999E-2</v>
      </c>
      <c r="P540" s="18">
        <f>IF(OR(N540="",O540="",N540=0,O540=0),"",(O540-N540)/((O540+N540)/2))</f>
        <v>1.9782393669633223E-3</v>
      </c>
      <c r="Q540" s="14">
        <v>5.036065E-2</v>
      </c>
      <c r="R540" s="14">
        <v>5.21E-2</v>
      </c>
      <c r="S540" s="14">
        <v>4.9500000000000002E-2</v>
      </c>
      <c r="T540" s="12">
        <v>46236.012236481482</v>
      </c>
      <c r="U540" s="12">
        <v>46237.012236481482</v>
      </c>
      <c r="V540" s="14">
        <v>5</v>
      </c>
      <c r="W540" s="14">
        <v>0.1</v>
      </c>
      <c r="X540" s="14">
        <v>0.1</v>
      </c>
      <c r="Y540" s="14">
        <v>1E-4</v>
      </c>
      <c r="Z540" s="10" t="str">
        <f>IF(AND(D540="TRADING",I540&lt;&gt;"",L540&lt;&gt;"",M540&lt;&gt;"",N540&lt;&gt;"",O540&lt;&gt;""),"Yes","No")</f>
        <v>Yes</v>
      </c>
      <c r="AA540" s="10" t="s">
        <v>56</v>
      </c>
    </row>
    <row r="541" spans="1:27">
      <c r="A541" s="10" t="s">
        <v>1122</v>
      </c>
      <c r="B541" s="10" t="s">
        <v>1123</v>
      </c>
      <c r="C541" s="10" t="s">
        <v>12</v>
      </c>
      <c r="D541" s="10" t="s">
        <v>55</v>
      </c>
      <c r="E541" s="11" t="b">
        <v>1</v>
      </c>
      <c r="F541" s="12">
        <v>45775</v>
      </c>
      <c r="G541" s="12">
        <v>45775.999999988424</v>
      </c>
      <c r="H541" s="13">
        <f>IF(F541="","",(Summary!$B$5-F541)/365.25)</f>
        <v>1.2649212630238056</v>
      </c>
      <c r="I541" s="14">
        <v>6.7799999999999996E-3</v>
      </c>
      <c r="J541" s="15">
        <v>0</v>
      </c>
      <c r="K541" s="16">
        <v>36369902</v>
      </c>
      <c r="L541" s="16">
        <v>251839.29597000001</v>
      </c>
      <c r="M541" s="17">
        <v>4860</v>
      </c>
      <c r="N541" s="14">
        <v>6.7799999999999996E-3</v>
      </c>
      <c r="O541" s="14">
        <v>6.79E-3</v>
      </c>
      <c r="P541" s="18">
        <f>IF(OR(N541="",O541="",N541=0,O541=0),"",(O541-N541)/((O541+N541)/2))</f>
        <v>1.4738393515107532E-3</v>
      </c>
      <c r="Q541" s="14">
        <v>6.9243899999999999E-3</v>
      </c>
      <c r="R541" s="14">
        <v>7.0299999999999998E-3</v>
      </c>
      <c r="S541" s="14">
        <v>6.7499999999999999E-3</v>
      </c>
      <c r="T541" s="12">
        <v>46236.01247209491</v>
      </c>
      <c r="U541" s="12">
        <v>46237.01247209491</v>
      </c>
      <c r="V541" s="14">
        <v>5</v>
      </c>
      <c r="W541" s="14">
        <v>1</v>
      </c>
      <c r="X541" s="14">
        <v>1</v>
      </c>
      <c r="Y541" s="14">
        <v>1.0000000000000001E-5</v>
      </c>
      <c r="Z541" s="10" t="str">
        <f>IF(AND(D541="TRADING",I541&lt;&gt;"",L541&lt;&gt;"",M541&lt;&gt;"",N541&lt;&gt;"",O541&lt;&gt;""),"Yes","No")</f>
        <v>Yes</v>
      </c>
      <c r="AA541" s="10" t="s">
        <v>56</v>
      </c>
    </row>
    <row r="542" spans="1:27">
      <c r="A542" s="10" t="s">
        <v>1177</v>
      </c>
      <c r="B542" s="10" t="s">
        <v>1178</v>
      </c>
      <c r="C542" s="10" t="s">
        <v>12</v>
      </c>
      <c r="D542" s="10" t="s">
        <v>55</v>
      </c>
      <c r="E542" s="11" t="b">
        <v>1</v>
      </c>
      <c r="F542" s="12">
        <v>45779</v>
      </c>
      <c r="G542" s="12">
        <v>45779.999999988424</v>
      </c>
      <c r="H542" s="13">
        <f>IF(F542="","",(Summary!$B$5-F542)/365.25)</f>
        <v>1.2539698598752771</v>
      </c>
      <c r="I542" s="14">
        <v>3.6999999999999998E-2</v>
      </c>
      <c r="J542" s="15">
        <v>2.7100000000000002E-3</v>
      </c>
      <c r="K542" s="16">
        <v>4741737.3</v>
      </c>
      <c r="L542" s="16">
        <v>175847.67361999999</v>
      </c>
      <c r="M542" s="17">
        <v>1613</v>
      </c>
      <c r="N542" s="14">
        <v>3.6900000000000002E-2</v>
      </c>
      <c r="O542" s="14">
        <v>3.6999999999999998E-2</v>
      </c>
      <c r="P542" s="18">
        <f>IF(OR(N542="",O542="",N542=0,O542=0),"",(O542-N542)/((O542+N542)/2))</f>
        <v>2.7063599458726911E-3</v>
      </c>
      <c r="Q542" s="14">
        <v>3.7085069999999998E-2</v>
      </c>
      <c r="R542" s="14">
        <v>3.7499999999999999E-2</v>
      </c>
      <c r="S542" s="14">
        <v>3.6700000000000003E-2</v>
      </c>
      <c r="T542" s="12">
        <v>46236.012478495373</v>
      </c>
      <c r="U542" s="12">
        <v>46237.012478495373</v>
      </c>
      <c r="V542" s="14">
        <v>5</v>
      </c>
      <c r="W542" s="14">
        <v>0.1</v>
      </c>
      <c r="X542" s="14">
        <v>0.1</v>
      </c>
      <c r="Y542" s="14">
        <v>1E-4</v>
      </c>
      <c r="Z542" s="10" t="str">
        <f>IF(AND(D542="TRADING",I542&lt;&gt;"",L542&lt;&gt;"",M542&lt;&gt;"",N542&lt;&gt;"",O542&lt;&gt;""),"Yes","No")</f>
        <v>Yes</v>
      </c>
      <c r="AA542" s="10" t="s">
        <v>56</v>
      </c>
    </row>
    <row r="543" spans="1:27">
      <c r="A543" s="10" t="s">
        <v>724</v>
      </c>
      <c r="B543" s="10" t="s">
        <v>725</v>
      </c>
      <c r="C543" s="10" t="s">
        <v>12</v>
      </c>
      <c r="D543" s="10" t="s">
        <v>55</v>
      </c>
      <c r="E543" s="11" t="b">
        <v>1</v>
      </c>
      <c r="F543" s="12">
        <v>45783</v>
      </c>
      <c r="G543" s="12">
        <v>45783.999999988424</v>
      </c>
      <c r="H543" s="13">
        <f>IF(F543="","",(Summary!$B$5-F543)/365.25)</f>
        <v>1.2430184567267486</v>
      </c>
      <c r="I543" s="14">
        <v>1.805E-2</v>
      </c>
      <c r="J543" s="15">
        <v>-1.312E-2</v>
      </c>
      <c r="K543" s="16">
        <v>6925565</v>
      </c>
      <c r="L543" s="16">
        <v>125403.2411</v>
      </c>
      <c r="M543" s="17">
        <v>2712</v>
      </c>
      <c r="N543" s="14">
        <v>1.804E-2</v>
      </c>
      <c r="O543" s="14">
        <v>1.805E-2</v>
      </c>
      <c r="P543" s="18">
        <f>IF(OR(N543="",O543="",N543=0,O543=0),"",(O543-N543)/((O543+N543)/2))</f>
        <v>5.541701302299581E-4</v>
      </c>
      <c r="Q543" s="14">
        <v>1.8107290000000002E-2</v>
      </c>
      <c r="R543" s="14">
        <v>1.84E-2</v>
      </c>
      <c r="S543" s="14">
        <v>1.7899999999999999E-2</v>
      </c>
      <c r="T543" s="12">
        <v>46236.012482060185</v>
      </c>
      <c r="U543" s="12">
        <v>46237.012482060185</v>
      </c>
      <c r="V543" s="14">
        <v>5</v>
      </c>
      <c r="W543" s="14">
        <v>1</v>
      </c>
      <c r="X543" s="14">
        <v>1</v>
      </c>
      <c r="Y543" s="14">
        <v>1.0000000000000001E-5</v>
      </c>
      <c r="Z543" s="10" t="str">
        <f>IF(AND(D543="TRADING",I543&lt;&gt;"",L543&lt;&gt;"",M543&lt;&gt;"",N543&lt;&gt;"",O543&lt;&gt;""),"Yes","No")</f>
        <v>Yes</v>
      </c>
      <c r="AA543" s="10" t="s">
        <v>56</v>
      </c>
    </row>
    <row r="544" spans="1:27">
      <c r="A544" s="10" t="s">
        <v>1207</v>
      </c>
      <c r="B544" s="10" t="s">
        <v>1208</v>
      </c>
      <c r="C544" s="10" t="s">
        <v>12</v>
      </c>
      <c r="D544" s="10" t="s">
        <v>55</v>
      </c>
      <c r="E544" s="11" t="b">
        <v>1</v>
      </c>
      <c r="F544" s="12">
        <v>45783</v>
      </c>
      <c r="G544" s="12">
        <v>45783.999999988424</v>
      </c>
      <c r="H544" s="13">
        <f>IF(F544="","",(Summary!$B$5-F544)/365.25)</f>
        <v>1.2430184567267486</v>
      </c>
      <c r="I544" s="14">
        <v>0.15429999999999999</v>
      </c>
      <c r="J544" s="15">
        <v>-1.8450000000000001E-2</v>
      </c>
      <c r="K544" s="16">
        <v>2305392.5</v>
      </c>
      <c r="L544" s="16">
        <v>357711.92875999998</v>
      </c>
      <c r="M544" s="17">
        <v>8708</v>
      </c>
      <c r="N544" s="14">
        <v>0.15429999999999999</v>
      </c>
      <c r="O544" s="14">
        <v>0.15440000000000001</v>
      </c>
      <c r="P544" s="18">
        <f>IF(OR(N544="",O544="",N544=0,O544=0),"",(O544-N544)/((O544+N544)/2))</f>
        <v>6.4787819889871559E-4</v>
      </c>
      <c r="Q544" s="14">
        <v>0.15516314</v>
      </c>
      <c r="R544" s="14">
        <v>0.15740000000000001</v>
      </c>
      <c r="S544" s="14">
        <v>0.15290000000000001</v>
      </c>
      <c r="T544" s="12">
        <v>46236.01247952546</v>
      </c>
      <c r="U544" s="12">
        <v>46237.01247952546</v>
      </c>
      <c r="V544" s="14">
        <v>5</v>
      </c>
      <c r="W544" s="14">
        <v>0.1</v>
      </c>
      <c r="X544" s="14">
        <v>0.1</v>
      </c>
      <c r="Y544" s="14">
        <v>1E-4</v>
      </c>
      <c r="Z544" s="10" t="str">
        <f>IF(AND(D544="TRADING",I544&lt;&gt;"",L544&lt;&gt;"",M544&lt;&gt;"",N544&lt;&gt;"",O544&lt;&gt;""),"Yes","No")</f>
        <v>Yes</v>
      </c>
      <c r="AA544" s="10" t="s">
        <v>56</v>
      </c>
    </row>
    <row r="545" spans="1:27">
      <c r="A545" s="10" t="s">
        <v>1203</v>
      </c>
      <c r="B545" s="10" t="s">
        <v>1204</v>
      </c>
      <c r="C545" s="10" t="s">
        <v>12</v>
      </c>
      <c r="D545" s="10" t="s">
        <v>55</v>
      </c>
      <c r="E545" s="11" t="b">
        <v>1</v>
      </c>
      <c r="F545" s="12">
        <v>45785</v>
      </c>
      <c r="G545" s="12">
        <v>45785.999999988424</v>
      </c>
      <c r="H545" s="13">
        <f>IF(F545="","",(Summary!$B$5-F545)/365.25)</f>
        <v>1.2375427551524845</v>
      </c>
      <c r="I545" s="14">
        <v>6.8900000000000003E-3</v>
      </c>
      <c r="J545" s="15">
        <v>1.7729999999999999E-2</v>
      </c>
      <c r="K545" s="16">
        <v>28082054.199999999</v>
      </c>
      <c r="L545" s="16">
        <v>193536.839263</v>
      </c>
      <c r="M545" s="17">
        <v>2441</v>
      </c>
      <c r="N545" s="14">
        <v>6.8799999999999998E-3</v>
      </c>
      <c r="O545" s="14">
        <v>6.8900000000000003E-3</v>
      </c>
      <c r="P545" s="18">
        <f>IF(OR(N545="",O545="",N545=0,O545=0),"",(O545-N545)/((O545+N545)/2))</f>
        <v>1.4524328249819114E-3</v>
      </c>
      <c r="Q545" s="14">
        <v>6.8918299999999998E-3</v>
      </c>
      <c r="R545" s="14">
        <v>6.9899999999999997E-3</v>
      </c>
      <c r="S545" s="14">
        <v>6.7499999999999999E-3</v>
      </c>
      <c r="T545" s="12">
        <v>46236.012280844909</v>
      </c>
      <c r="U545" s="12">
        <v>46237.012280844909</v>
      </c>
      <c r="V545" s="14">
        <v>5</v>
      </c>
      <c r="W545" s="14">
        <v>0.1</v>
      </c>
      <c r="X545" s="14">
        <v>0.1</v>
      </c>
      <c r="Y545" s="14">
        <v>1.0000000000000001E-5</v>
      </c>
      <c r="Z545" s="10" t="str">
        <f>IF(AND(D545="TRADING",I545&lt;&gt;"",L545&lt;&gt;"",M545&lt;&gt;"",N545&lt;&gt;"",O545&lt;&gt;""),"Yes","No")</f>
        <v>Yes</v>
      </c>
      <c r="AA545" s="10" t="s">
        <v>56</v>
      </c>
    </row>
    <row r="546" spans="1:27">
      <c r="A546" s="10" t="s">
        <v>906</v>
      </c>
      <c r="B546" s="10" t="s">
        <v>907</v>
      </c>
      <c r="C546" s="10" t="s">
        <v>12</v>
      </c>
      <c r="D546" s="10" t="s">
        <v>55</v>
      </c>
      <c r="E546" s="11" t="b">
        <v>1</v>
      </c>
      <c r="F546" s="12">
        <v>45792</v>
      </c>
      <c r="G546" s="12">
        <v>45792.999999988424</v>
      </c>
      <c r="H546" s="13">
        <f>IF(F546="","",(Summary!$B$5-F546)/365.25)</f>
        <v>1.2183777996425598</v>
      </c>
      <c r="I546" s="14">
        <v>0.24129999999999999</v>
      </c>
      <c r="J546" s="15">
        <v>-2.426E-2</v>
      </c>
      <c r="K546" s="16">
        <v>680737.9</v>
      </c>
      <c r="L546" s="16">
        <v>167150.65474999999</v>
      </c>
      <c r="M546" s="17">
        <v>4330</v>
      </c>
      <c r="N546" s="14">
        <v>0.2412</v>
      </c>
      <c r="O546" s="14">
        <v>0.2414</v>
      </c>
      <c r="P546" s="18">
        <f>IF(OR(N546="",O546="",N546=0,O546=0),"",(O546-N546)/((O546+N546)/2))</f>
        <v>8.288437629507075E-4</v>
      </c>
      <c r="Q546" s="14">
        <v>0.24554334</v>
      </c>
      <c r="R546" s="14">
        <v>0.25090000000000001</v>
      </c>
      <c r="S546" s="14">
        <v>0.2402</v>
      </c>
      <c r="T546" s="12">
        <v>46236.012228425927</v>
      </c>
      <c r="U546" s="12">
        <v>46237.012228425927</v>
      </c>
      <c r="V546" s="14">
        <v>5</v>
      </c>
      <c r="W546" s="14">
        <v>0.1</v>
      </c>
      <c r="X546" s="14">
        <v>0.1</v>
      </c>
      <c r="Y546" s="14">
        <v>1E-4</v>
      </c>
      <c r="Z546" s="10" t="str">
        <f>IF(AND(D546="TRADING",I546&lt;&gt;"",L546&lt;&gt;"",M546&lt;&gt;"",N546&lt;&gt;"",O546&lt;&gt;""),"Yes","No")</f>
        <v>Yes</v>
      </c>
      <c r="AA546" s="10" t="s">
        <v>56</v>
      </c>
    </row>
    <row r="547" spans="1:27">
      <c r="A547" s="10" t="s">
        <v>219</v>
      </c>
      <c r="B547" s="10" t="s">
        <v>220</v>
      </c>
      <c r="C547" s="10" t="s">
        <v>12</v>
      </c>
      <c r="D547" s="10" t="s">
        <v>55</v>
      </c>
      <c r="E547" s="11" t="b">
        <v>1</v>
      </c>
      <c r="F547" s="12">
        <v>45798</v>
      </c>
      <c r="G547" s="12">
        <v>45798.999999988424</v>
      </c>
      <c r="H547" s="13">
        <f>IF(F547="","",(Summary!$B$5-F547)/365.25)</f>
        <v>1.2019506949197671</v>
      </c>
      <c r="I547" s="14">
        <v>5.8529999999999999E-2</v>
      </c>
      <c r="J547" s="15">
        <v>7.5700000000000003E-3</v>
      </c>
      <c r="K547" s="16">
        <v>2672712</v>
      </c>
      <c r="L547" s="16">
        <v>156144.35798</v>
      </c>
      <c r="M547" s="17">
        <v>2498</v>
      </c>
      <c r="N547" s="14">
        <v>5.8529999999999999E-2</v>
      </c>
      <c r="O547" s="14">
        <v>5.8619999999999998E-2</v>
      </c>
      <c r="P547" s="18">
        <f>IF(OR(N547="",O547="",N547=0,O547=0),"",(O547-N547)/((O547+N547)/2))</f>
        <v>1.5364916773367443E-3</v>
      </c>
      <c r="Q547" s="14">
        <v>5.8421689999999998E-2</v>
      </c>
      <c r="R547" s="14">
        <v>5.9299999999999999E-2</v>
      </c>
      <c r="S547" s="14">
        <v>5.756E-2</v>
      </c>
      <c r="T547" s="12">
        <v>46236.012482905091</v>
      </c>
      <c r="U547" s="12">
        <v>46237.012482905091</v>
      </c>
      <c r="V547" s="14">
        <v>5</v>
      </c>
      <c r="W547" s="14">
        <v>1</v>
      </c>
      <c r="X547" s="14">
        <v>1</v>
      </c>
      <c r="Y547" s="14">
        <v>1.0000000000000001E-5</v>
      </c>
      <c r="Z547" s="10" t="str">
        <f>IF(AND(D547="TRADING",I547&lt;&gt;"",L547&lt;&gt;"",M547&lt;&gt;"",N547&lt;&gt;"",O547&lt;&gt;""),"Yes","No")</f>
        <v>Yes</v>
      </c>
      <c r="AA547" s="10" t="s">
        <v>56</v>
      </c>
    </row>
    <row r="548" spans="1:27">
      <c r="A548" s="10" t="s">
        <v>616</v>
      </c>
      <c r="B548" s="10" t="s">
        <v>617</v>
      </c>
      <c r="C548" s="10" t="s">
        <v>12</v>
      </c>
      <c r="D548" s="10" t="s">
        <v>55</v>
      </c>
      <c r="E548" s="11" t="b">
        <v>1</v>
      </c>
      <c r="F548" s="12">
        <v>45798</v>
      </c>
      <c r="G548" s="12">
        <v>45798.999999988424</v>
      </c>
      <c r="H548" s="13">
        <f>IF(F548="","",(Summary!$B$5-F548)/365.25)</f>
        <v>1.2019506949197671</v>
      </c>
      <c r="I548" s="14">
        <v>1.5129999999999999E-2</v>
      </c>
      <c r="J548" s="15">
        <v>-4.6100000000000004E-3</v>
      </c>
      <c r="K548" s="16">
        <v>2970619.7</v>
      </c>
      <c r="L548" s="16">
        <v>45215.216452000001</v>
      </c>
      <c r="M548" s="17">
        <v>911</v>
      </c>
      <c r="N548" s="14">
        <v>1.5129999999999999E-2</v>
      </c>
      <c r="O548" s="14">
        <v>1.5140000000000001E-2</v>
      </c>
      <c r="P548" s="18">
        <f>IF(OR(N548="",O548="",N548=0,O548=0),"",(O548-N548)/((O548+N548)/2))</f>
        <v>6.6072018500173957E-4</v>
      </c>
      <c r="Q548" s="14">
        <v>1.52208E-2</v>
      </c>
      <c r="R548" s="14">
        <v>1.537E-2</v>
      </c>
      <c r="S548" s="14">
        <v>1.5089999999999999E-2</v>
      </c>
      <c r="T548" s="12">
        <v>46236.012178993056</v>
      </c>
      <c r="U548" s="12">
        <v>46237.012178993056</v>
      </c>
      <c r="V548" s="14">
        <v>5</v>
      </c>
      <c r="W548" s="14">
        <v>0.1</v>
      </c>
      <c r="X548" s="14">
        <v>0.1</v>
      </c>
      <c r="Y548" s="14">
        <v>1.0000000000000001E-5</v>
      </c>
      <c r="Z548" s="10" t="str">
        <f>IF(AND(D548="TRADING",I548&lt;&gt;"",L548&lt;&gt;"",M548&lt;&gt;"",N548&lt;&gt;"",O548&lt;&gt;""),"Yes","No")</f>
        <v>Yes</v>
      </c>
      <c r="AA548" s="10" t="s">
        <v>56</v>
      </c>
    </row>
    <row r="549" spans="1:27">
      <c r="A549" s="10" t="s">
        <v>1281</v>
      </c>
      <c r="B549" s="10" t="s">
        <v>1282</v>
      </c>
      <c r="C549" s="10" t="s">
        <v>12</v>
      </c>
      <c r="D549" s="10" t="s">
        <v>55</v>
      </c>
      <c r="E549" s="11" t="b">
        <v>1</v>
      </c>
      <c r="F549" s="12">
        <v>45799</v>
      </c>
      <c r="G549" s="12">
        <v>45799.999999988424</v>
      </c>
      <c r="H549" s="13">
        <f>IF(F549="","",(Summary!$B$5-F549)/365.25)</f>
        <v>1.1992128441326351</v>
      </c>
      <c r="I549" s="14">
        <v>0.99999000000000005</v>
      </c>
      <c r="J549" s="15">
        <v>8.0000000000000007E-5</v>
      </c>
      <c r="K549" s="16">
        <v>60467140</v>
      </c>
      <c r="L549" s="16">
        <v>60466998.098520003</v>
      </c>
      <c r="M549" s="17">
        <v>102510</v>
      </c>
      <c r="N549" s="14">
        <v>0.99999000000000005</v>
      </c>
      <c r="O549" s="14">
        <v>1</v>
      </c>
      <c r="P549" s="18">
        <f>IF(OR(N549="",O549="",N549=0,O549=0),"",(O549-N549)/((O549+N549)/2))</f>
        <v>1.0000050000204492E-5</v>
      </c>
      <c r="Q549" s="14">
        <v>0.99999764999999996</v>
      </c>
      <c r="R549" s="14">
        <v>1.0002</v>
      </c>
      <c r="S549" s="14">
        <v>0.99980999999999998</v>
      </c>
      <c r="T549" s="12">
        <v>46236.012480833335</v>
      </c>
      <c r="U549" s="12">
        <v>46237.012480833335</v>
      </c>
      <c r="V549" s="14">
        <v>5</v>
      </c>
      <c r="W549" s="14">
        <v>1</v>
      </c>
      <c r="X549" s="14">
        <v>1</v>
      </c>
      <c r="Y549" s="14">
        <v>1.0000000000000001E-5</v>
      </c>
      <c r="Z549" s="10" t="str">
        <f>IF(AND(D549="TRADING",I549&lt;&gt;"",L549&lt;&gt;"",M549&lt;&gt;"",N549&lt;&gt;"",O549&lt;&gt;""),"Yes","No")</f>
        <v>Yes</v>
      </c>
      <c r="AA549" s="10" t="s">
        <v>56</v>
      </c>
    </row>
    <row r="550" spans="1:27">
      <c r="A550" s="10" t="s">
        <v>650</v>
      </c>
      <c r="B550" s="10" t="s">
        <v>651</v>
      </c>
      <c r="C550" s="10" t="s">
        <v>12</v>
      </c>
      <c r="D550" s="10" t="s">
        <v>55</v>
      </c>
      <c r="E550" s="11" t="b">
        <v>1</v>
      </c>
      <c r="F550" s="12">
        <v>45803</v>
      </c>
      <c r="G550" s="12">
        <v>45803.999999988424</v>
      </c>
      <c r="H550" s="13">
        <f>IF(F550="","",(Summary!$B$5-F550)/365.25)</f>
        <v>1.1882614409841066</v>
      </c>
      <c r="I550" s="14">
        <v>1.8579999999999999E-2</v>
      </c>
      <c r="J550" s="15">
        <v>-4.6689999999999995E-2</v>
      </c>
      <c r="K550" s="16">
        <v>14281425</v>
      </c>
      <c r="L550" s="16">
        <v>267887.33760000003</v>
      </c>
      <c r="M550" s="17">
        <v>5445</v>
      </c>
      <c r="N550" s="14">
        <v>1.857E-2</v>
      </c>
      <c r="O550" s="14">
        <v>1.8589999999999999E-2</v>
      </c>
      <c r="P550" s="18">
        <f>IF(OR(N550="",O550="",N550=0,O550=0),"",(O550-N550)/((O550+N550)/2))</f>
        <v>1.0764262648008172E-3</v>
      </c>
      <c r="Q550" s="14">
        <v>1.875775E-2</v>
      </c>
      <c r="R550" s="14">
        <v>1.9550000000000001E-2</v>
      </c>
      <c r="S550" s="14">
        <v>1.821E-2</v>
      </c>
      <c r="T550" s="12">
        <v>46236.012362743058</v>
      </c>
      <c r="U550" s="12">
        <v>46237.012362743058</v>
      </c>
      <c r="V550" s="14">
        <v>5</v>
      </c>
      <c r="W550" s="14">
        <v>1</v>
      </c>
      <c r="X550" s="14">
        <v>1</v>
      </c>
      <c r="Y550" s="14">
        <v>1.0000000000000001E-5</v>
      </c>
      <c r="Z550" s="10" t="str">
        <f>IF(AND(D550="TRADING",I550&lt;&gt;"",L550&lt;&gt;"",M550&lt;&gt;"",N550&lt;&gt;"",O550&lt;&gt;""),"Yes","No")</f>
        <v>Yes</v>
      </c>
      <c r="AA550" s="10" t="s">
        <v>56</v>
      </c>
    </row>
    <row r="551" spans="1:27">
      <c r="A551" s="10" t="s">
        <v>207</v>
      </c>
      <c r="B551" s="10" t="s">
        <v>208</v>
      </c>
      <c r="C551" s="10" t="s">
        <v>12</v>
      </c>
      <c r="D551" s="10" t="s">
        <v>55</v>
      </c>
      <c r="E551" s="11" t="b">
        <v>1</v>
      </c>
      <c r="F551" s="12">
        <v>45805</v>
      </c>
      <c r="G551" s="12">
        <v>45805.999999988424</v>
      </c>
      <c r="H551" s="13">
        <f>IF(F551="","",(Summary!$B$5-F551)/365.25)</f>
        <v>1.1827857394098424</v>
      </c>
      <c r="I551" s="14">
        <v>6.3399999999999998E-2</v>
      </c>
      <c r="J551" s="15">
        <v>-1.7049999999999999E-2</v>
      </c>
      <c r="K551" s="16">
        <v>2871056.1</v>
      </c>
      <c r="L551" s="16">
        <v>183501.13725999999</v>
      </c>
      <c r="M551" s="17">
        <v>4115</v>
      </c>
      <c r="N551" s="14">
        <v>6.3299999999999995E-2</v>
      </c>
      <c r="O551" s="14">
        <v>6.3399999999999998E-2</v>
      </c>
      <c r="P551" s="18">
        <f>IF(OR(N551="",O551="",N551=0,O551=0),"",(O551-N551)/((O551+N551)/2))</f>
        <v>1.5785319652723423E-3</v>
      </c>
      <c r="Q551" s="14">
        <v>6.3914159999999998E-2</v>
      </c>
      <c r="R551" s="14">
        <v>6.5299999999999997E-2</v>
      </c>
      <c r="S551" s="14">
        <v>6.3100000000000003E-2</v>
      </c>
      <c r="T551" s="12">
        <v>46236.012386377311</v>
      </c>
      <c r="U551" s="12">
        <v>46237.012386377311</v>
      </c>
      <c r="V551" s="14">
        <v>5</v>
      </c>
      <c r="W551" s="14">
        <v>0.1</v>
      </c>
      <c r="X551" s="14">
        <v>0.1</v>
      </c>
      <c r="Y551" s="14">
        <v>1E-4</v>
      </c>
      <c r="Z551" s="10" t="str">
        <f>IF(AND(D551="TRADING",I551&lt;&gt;"",L551&lt;&gt;"",M551&lt;&gt;"",N551&lt;&gt;"",O551&lt;&gt;""),"Yes","No")</f>
        <v>Yes</v>
      </c>
      <c r="AA551" s="10" t="s">
        <v>56</v>
      </c>
    </row>
    <row r="552" spans="1:27">
      <c r="A552" s="10" t="s">
        <v>1149</v>
      </c>
      <c r="B552" s="10" t="s">
        <v>1150</v>
      </c>
      <c r="C552" s="10" t="s">
        <v>12</v>
      </c>
      <c r="D552" s="10" t="s">
        <v>55</v>
      </c>
      <c r="E552" s="11" t="b">
        <v>1</v>
      </c>
      <c r="F552" s="12">
        <v>45805</v>
      </c>
      <c r="G552" s="12">
        <v>45805.999999988424</v>
      </c>
      <c r="H552" s="13">
        <f>IF(F552="","",(Summary!$B$5-F552)/365.25)</f>
        <v>1.1827857394098424</v>
      </c>
      <c r="I552" s="14">
        <v>3.9300000000000003E-3</v>
      </c>
      <c r="J552" s="15">
        <v>-2.5400000000000002E-3</v>
      </c>
      <c r="K552" s="16">
        <v>11776084</v>
      </c>
      <c r="L552" s="16">
        <v>46374.597040000001</v>
      </c>
      <c r="M552" s="17">
        <v>1325</v>
      </c>
      <c r="N552" s="14">
        <v>3.9199999999999999E-3</v>
      </c>
      <c r="O552" s="14">
        <v>3.9300000000000003E-3</v>
      </c>
      <c r="P552" s="18">
        <f>IF(OR(N552="",O552="",N552=0,O552=0),"",(O552-N552)/((O552+N552)/2))</f>
        <v>2.5477707006370601E-3</v>
      </c>
      <c r="Q552" s="14">
        <v>3.9380300000000003E-3</v>
      </c>
      <c r="R552" s="14">
        <v>3.98E-3</v>
      </c>
      <c r="S552" s="14">
        <v>3.9100000000000003E-3</v>
      </c>
      <c r="T552" s="12">
        <v>46236.012476458331</v>
      </c>
      <c r="U552" s="12">
        <v>46237.012476458331</v>
      </c>
      <c r="V552" s="14">
        <v>5</v>
      </c>
      <c r="W552" s="14">
        <v>1</v>
      </c>
      <c r="X552" s="14">
        <v>1</v>
      </c>
      <c r="Y552" s="14">
        <v>1.0000000000000001E-5</v>
      </c>
      <c r="Z552" s="10" t="str">
        <f>IF(AND(D552="TRADING",I552&lt;&gt;"",L552&lt;&gt;"",M552&lt;&gt;"",N552&lt;&gt;"",O552&lt;&gt;""),"Yes","No")</f>
        <v>Yes</v>
      </c>
      <c r="AA552" s="10" t="s">
        <v>56</v>
      </c>
    </row>
    <row r="553" spans="1:27">
      <c r="A553" s="10" t="s">
        <v>1064</v>
      </c>
      <c r="B553" s="10" t="s">
        <v>1065</v>
      </c>
      <c r="C553" s="10" t="s">
        <v>12</v>
      </c>
      <c r="D553" s="10" t="s">
        <v>55</v>
      </c>
      <c r="E553" s="11" t="b">
        <v>1</v>
      </c>
      <c r="F553" s="12">
        <v>45819</v>
      </c>
      <c r="G553" s="12">
        <v>45819.999999988424</v>
      </c>
      <c r="H553" s="13">
        <f>IF(F553="","",(Summary!$B$5-F553)/365.25)</f>
        <v>1.144455828389993</v>
      </c>
      <c r="I553" s="14">
        <v>1.5520000000000001E-2</v>
      </c>
      <c r="J553" s="15">
        <v>-8.3099999999999997E-3</v>
      </c>
      <c r="K553" s="16">
        <v>10159726.300000001</v>
      </c>
      <c r="L553" s="16">
        <v>158033.01940799999</v>
      </c>
      <c r="M553" s="17">
        <v>2801</v>
      </c>
      <c r="N553" s="14">
        <v>1.5520000000000001E-2</v>
      </c>
      <c r="O553" s="14">
        <v>1.553E-2</v>
      </c>
      <c r="P553" s="18">
        <f>IF(OR(N553="",O553="",N553=0,O553=0),"",(O553-N553)/((O553+N553)/2))</f>
        <v>6.4412238325279182E-4</v>
      </c>
      <c r="Q553" s="14">
        <v>1.555485E-2</v>
      </c>
      <c r="R553" s="14">
        <v>1.601E-2</v>
      </c>
      <c r="S553" s="14">
        <v>1.523E-2</v>
      </c>
      <c r="T553" s="12">
        <v>46236.012142719905</v>
      </c>
      <c r="U553" s="12">
        <v>46237.012142719905</v>
      </c>
      <c r="V553" s="14">
        <v>5</v>
      </c>
      <c r="W553" s="14">
        <v>0.1</v>
      </c>
      <c r="X553" s="14">
        <v>0.1</v>
      </c>
      <c r="Y553" s="14">
        <v>1.0000000000000001E-5</v>
      </c>
      <c r="Z553" s="10" t="str">
        <f>IF(AND(D553="TRADING",I553&lt;&gt;"",L553&lt;&gt;"",M553&lt;&gt;"",N553&lt;&gt;"",O553&lt;&gt;""),"Yes","No")</f>
        <v>Yes</v>
      </c>
      <c r="AA553" s="10" t="s">
        <v>56</v>
      </c>
    </row>
    <row r="554" spans="1:27">
      <c r="A554" s="10" t="s">
        <v>642</v>
      </c>
      <c r="B554" s="10" t="s">
        <v>643</v>
      </c>
      <c r="C554" s="10" t="s">
        <v>12</v>
      </c>
      <c r="D554" s="10" t="s">
        <v>55</v>
      </c>
      <c r="E554" s="11" t="b">
        <v>1</v>
      </c>
      <c r="F554" s="12">
        <v>45820</v>
      </c>
      <c r="G554" s="12">
        <v>45820.999999988424</v>
      </c>
      <c r="H554" s="13">
        <f>IF(F554="","",(Summary!$B$5-F554)/365.25)</f>
        <v>1.141717977602861</v>
      </c>
      <c r="I554" s="14">
        <v>7.28E-3</v>
      </c>
      <c r="J554" s="15">
        <v>0.12519</v>
      </c>
      <c r="K554" s="16">
        <v>3491655535</v>
      </c>
      <c r="L554" s="16">
        <v>27591959.08839</v>
      </c>
      <c r="M554" s="17">
        <v>308594</v>
      </c>
      <c r="N554" s="14">
        <v>7.26E-3</v>
      </c>
      <c r="O554" s="14">
        <v>7.28E-3</v>
      </c>
      <c r="P554" s="18">
        <f>IF(OR(N554="",O554="",N554=0,O554=0),"",(O554-N554)/((O554+N554)/2))</f>
        <v>2.7510316368638309E-3</v>
      </c>
      <c r="Q554" s="14">
        <v>7.9022599999999995E-3</v>
      </c>
      <c r="R554" s="14">
        <v>9.0299999999999998E-3</v>
      </c>
      <c r="S554" s="14">
        <v>6.3699999999999998E-3</v>
      </c>
      <c r="T554" s="12">
        <v>46236.012489768516</v>
      </c>
      <c r="U554" s="12">
        <v>46237.012489768516</v>
      </c>
      <c r="V554" s="14">
        <v>5</v>
      </c>
      <c r="W554" s="14">
        <v>1</v>
      </c>
      <c r="X554" s="14">
        <v>1</v>
      </c>
      <c r="Y554" s="14">
        <v>1.0000000000000001E-5</v>
      </c>
      <c r="Z554" s="10" t="str">
        <f>IF(AND(D554="TRADING",I554&lt;&gt;"",L554&lt;&gt;"",M554&lt;&gt;"",N554&lt;&gt;"",O554&lt;&gt;""),"Yes","No")</f>
        <v>Yes</v>
      </c>
      <c r="AA554" s="10" t="s">
        <v>56</v>
      </c>
    </row>
    <row r="555" spans="1:27">
      <c r="A555" s="10" t="s">
        <v>1159</v>
      </c>
      <c r="B555" s="10" t="s">
        <v>1160</v>
      </c>
      <c r="C555" s="10" t="s">
        <v>12</v>
      </c>
      <c r="D555" s="10" t="s">
        <v>55</v>
      </c>
      <c r="E555" s="11" t="b">
        <v>1</v>
      </c>
      <c r="F555" s="12">
        <v>45825</v>
      </c>
      <c r="G555" s="12">
        <v>45825.999999988424</v>
      </c>
      <c r="H555" s="13">
        <f>IF(F555="","",(Summary!$B$5-F555)/365.25)</f>
        <v>1.1280287236672004</v>
      </c>
      <c r="I555" s="14">
        <v>1.5824999999999999E-2</v>
      </c>
      <c r="J555" s="15">
        <v>-4.7199999999999994E-3</v>
      </c>
      <c r="K555" s="16">
        <v>24510735</v>
      </c>
      <c r="L555" s="16">
        <v>390541.86608100001</v>
      </c>
      <c r="M555" s="17">
        <v>9763</v>
      </c>
      <c r="N555" s="14">
        <v>1.5831000000000001E-2</v>
      </c>
      <c r="O555" s="14">
        <v>1.5831999999999999E-2</v>
      </c>
      <c r="P555" s="18">
        <f>IF(OR(N555="",O555="",N555=0,O555=0),"",(O555-N555)/((O555+N555)/2))</f>
        <v>6.3165208602945446E-5</v>
      </c>
      <c r="Q555" s="14">
        <v>1.59335E-2</v>
      </c>
      <c r="R555" s="14">
        <v>1.6102000000000002E-2</v>
      </c>
      <c r="S555" s="14">
        <v>1.5779000000000001E-2</v>
      </c>
      <c r="T555" s="12">
        <v>46236.012006157405</v>
      </c>
      <c r="U555" s="12">
        <v>46237.012006157405</v>
      </c>
      <c r="V555" s="14">
        <v>5</v>
      </c>
      <c r="W555" s="14">
        <v>1</v>
      </c>
      <c r="X555" s="14">
        <v>1</v>
      </c>
      <c r="Y555" s="14">
        <v>9.9999999999999995E-7</v>
      </c>
      <c r="Z555" s="10" t="str">
        <f>IF(AND(D555="TRADING",I555&lt;&gt;"",L555&lt;&gt;"",M555&lt;&gt;"",N555&lt;&gt;"",O555&lt;&gt;""),"Yes","No")</f>
        <v>Yes</v>
      </c>
      <c r="AA555" s="10" t="s">
        <v>56</v>
      </c>
    </row>
    <row r="556" spans="1:27">
      <c r="A556" s="10" t="s">
        <v>876</v>
      </c>
      <c r="B556" s="10" t="s">
        <v>877</v>
      </c>
      <c r="C556" s="10" t="s">
        <v>12</v>
      </c>
      <c r="D556" s="10" t="s">
        <v>55</v>
      </c>
      <c r="E556" s="11" t="b">
        <v>1</v>
      </c>
      <c r="F556" s="12">
        <v>45832</v>
      </c>
      <c r="G556" s="12">
        <v>45832.999999988424</v>
      </c>
      <c r="H556" s="13">
        <f>IF(F556="","",(Summary!$B$5-F556)/365.25)</f>
        <v>1.1088637681572757</v>
      </c>
      <c r="I556" s="14">
        <v>3.9899999999999998E-2</v>
      </c>
      <c r="J556" s="15">
        <v>-1.238E-2</v>
      </c>
      <c r="K556" s="16">
        <v>2110907.2999999998</v>
      </c>
      <c r="L556" s="16">
        <v>84600.314169999998</v>
      </c>
      <c r="M556" s="17">
        <v>774</v>
      </c>
      <c r="N556" s="14">
        <v>3.9899999999999998E-2</v>
      </c>
      <c r="O556" s="14">
        <v>0.04</v>
      </c>
      <c r="P556" s="18">
        <f>IF(OR(N556="",O556="",N556=0,O556=0),"",(O556-N556)/((O556+N556)/2))</f>
        <v>2.5031289111389953E-3</v>
      </c>
      <c r="Q556" s="14">
        <v>4.0077700000000001E-2</v>
      </c>
      <c r="R556" s="14">
        <v>4.0399999999999998E-2</v>
      </c>
      <c r="S556" s="14">
        <v>3.9800000000000002E-2</v>
      </c>
      <c r="T556" s="12">
        <v>46236.012444131942</v>
      </c>
      <c r="U556" s="12">
        <v>46237.012444131942</v>
      </c>
      <c r="V556" s="14">
        <v>5</v>
      </c>
      <c r="W556" s="14">
        <v>0.1</v>
      </c>
      <c r="X556" s="14">
        <v>0.1</v>
      </c>
      <c r="Y556" s="14">
        <v>1E-4</v>
      </c>
      <c r="Z556" s="10" t="str">
        <f>IF(AND(D556="TRADING",I556&lt;&gt;"",L556&lt;&gt;"",M556&lt;&gt;"",N556&lt;&gt;"",O556&lt;&gt;""),"Yes","No")</f>
        <v>Yes</v>
      </c>
      <c r="AA556" s="10" t="s">
        <v>56</v>
      </c>
    </row>
    <row r="557" spans="1:27">
      <c r="A557" s="10" t="s">
        <v>1098</v>
      </c>
      <c r="B557" s="10" t="s">
        <v>1099</v>
      </c>
      <c r="C557" s="10" t="s">
        <v>12</v>
      </c>
      <c r="D557" s="10" t="s">
        <v>55</v>
      </c>
      <c r="E557" s="11" t="b">
        <v>1</v>
      </c>
      <c r="F557" s="12">
        <v>45834</v>
      </c>
      <c r="G557" s="12">
        <v>45834.999999988424</v>
      </c>
      <c r="H557" s="13">
        <f>IF(F557="","",(Summary!$B$5-F557)/365.25)</f>
        <v>1.1033880665830116</v>
      </c>
      <c r="I557" s="14">
        <v>7.7600000000000004E-3</v>
      </c>
      <c r="J557" s="15">
        <v>-1.6479999999999998E-2</v>
      </c>
      <c r="K557" s="16">
        <v>107193997</v>
      </c>
      <c r="L557" s="16">
        <v>853971.98127999995</v>
      </c>
      <c r="M557" s="17">
        <v>13177</v>
      </c>
      <c r="N557" s="14">
        <v>7.7600000000000004E-3</v>
      </c>
      <c r="O557" s="14">
        <v>7.77E-3</v>
      </c>
      <c r="P557" s="18">
        <f>IF(OR(N557="",O557="",N557=0,O557=0),"",(O557-N557)/((O557+N557)/2))</f>
        <v>1.2878300064390975E-3</v>
      </c>
      <c r="Q557" s="14">
        <v>7.9666000000000008E-3</v>
      </c>
      <c r="R557" s="14">
        <v>8.3099999999999997E-3</v>
      </c>
      <c r="S557" s="14">
        <v>7.7299999999999999E-3</v>
      </c>
      <c r="T557" s="12">
        <v>46236.012466875</v>
      </c>
      <c r="U557" s="12">
        <v>46237.012466875</v>
      </c>
      <c r="V557" s="14">
        <v>5</v>
      </c>
      <c r="W557" s="14">
        <v>1</v>
      </c>
      <c r="X557" s="14">
        <v>1</v>
      </c>
      <c r="Y557" s="14">
        <v>1.0000000000000001E-5</v>
      </c>
      <c r="Z557" s="10" t="str">
        <f>IF(AND(D557="TRADING",I557&lt;&gt;"",L557&lt;&gt;"",M557&lt;&gt;"",N557&lt;&gt;"",O557&lt;&gt;""),"Yes","No")</f>
        <v>Yes</v>
      </c>
      <c r="AA557" s="10" t="s">
        <v>56</v>
      </c>
    </row>
    <row r="558" spans="1:27">
      <c r="A558" s="10" t="s">
        <v>734</v>
      </c>
      <c r="B558" s="10" t="s">
        <v>735</v>
      </c>
      <c r="C558" s="10" t="s">
        <v>12</v>
      </c>
      <c r="D558" s="10" t="s">
        <v>55</v>
      </c>
      <c r="E558" s="11" t="b">
        <v>1</v>
      </c>
      <c r="F558" s="12">
        <v>45847</v>
      </c>
      <c r="G558" s="12">
        <v>45847.999999988424</v>
      </c>
      <c r="H558" s="13">
        <f>IF(F558="","",(Summary!$B$5-F558)/365.25)</f>
        <v>1.0677960063502943</v>
      </c>
      <c r="I558" s="14">
        <v>4.7100000000000003E-2</v>
      </c>
      <c r="J558" s="15">
        <v>-6.7330000000000001E-2</v>
      </c>
      <c r="K558" s="16">
        <v>23576123.800000001</v>
      </c>
      <c r="L558" s="16">
        <v>1163588.62267</v>
      </c>
      <c r="M558" s="17">
        <v>9669</v>
      </c>
      <c r="N558" s="14">
        <v>4.7100000000000003E-2</v>
      </c>
      <c r="O558" s="14">
        <v>4.7199999999999999E-2</v>
      </c>
      <c r="P558" s="18">
        <f>IF(OR(N558="",O558="",N558=0,O558=0),"",(O558-N558)/((O558+N558)/2))</f>
        <v>2.1208907741250465E-3</v>
      </c>
      <c r="Q558" s="14">
        <v>4.9354530000000001E-2</v>
      </c>
      <c r="R558" s="14">
        <v>5.2600000000000001E-2</v>
      </c>
      <c r="S558" s="14">
        <v>4.7100000000000003E-2</v>
      </c>
      <c r="T558" s="12">
        <v>46236.012356307867</v>
      </c>
      <c r="U558" s="12">
        <v>46237.012356307867</v>
      </c>
      <c r="V558" s="14">
        <v>5</v>
      </c>
      <c r="W558" s="14">
        <v>0.1</v>
      </c>
      <c r="X558" s="14">
        <v>0.1</v>
      </c>
      <c r="Y558" s="14">
        <v>1E-4</v>
      </c>
      <c r="Z558" s="10" t="str">
        <f>IF(AND(D558="TRADING",I558&lt;&gt;"",L558&lt;&gt;"",M558&lt;&gt;"",N558&lt;&gt;"",O558&lt;&gt;""),"Yes","No")</f>
        <v>Yes</v>
      </c>
      <c r="AA558" s="10" t="s">
        <v>56</v>
      </c>
    </row>
    <row r="559" spans="1:27">
      <c r="A559" s="10" t="s">
        <v>491</v>
      </c>
      <c r="B559" s="10" t="s">
        <v>492</v>
      </c>
      <c r="C559" s="10" t="s">
        <v>12</v>
      </c>
      <c r="D559" s="10" t="s">
        <v>55</v>
      </c>
      <c r="E559" s="11" t="b">
        <v>1</v>
      </c>
      <c r="F559" s="12">
        <v>45855</v>
      </c>
      <c r="G559" s="12">
        <v>45855.999999988424</v>
      </c>
      <c r="H559" s="13">
        <f>IF(F559="","",(Summary!$B$5-F559)/365.25)</f>
        <v>1.0458932000532375</v>
      </c>
      <c r="I559" s="14">
        <v>6.4500000000000002E-2</v>
      </c>
      <c r="J559" s="15">
        <v>-4.3029999999999999E-2</v>
      </c>
      <c r="K559" s="16">
        <v>1591806344.3</v>
      </c>
      <c r="L559" s="16">
        <v>107041361.42866001</v>
      </c>
      <c r="M559" s="17">
        <v>162407</v>
      </c>
      <c r="N559" s="14">
        <v>6.4500000000000002E-2</v>
      </c>
      <c r="O559" s="14">
        <v>6.4600000000000005E-2</v>
      </c>
      <c r="P559" s="18">
        <f>IF(OR(N559="",O559="",N559=0,O559=0),"",(O559-N559)/((O559+N559)/2))</f>
        <v>1.5491866769946224E-3</v>
      </c>
      <c r="Q559" s="14">
        <v>6.7245219999999994E-2</v>
      </c>
      <c r="R559" s="14">
        <v>6.8699999999999997E-2</v>
      </c>
      <c r="S559" s="14">
        <v>6.4100000000000004E-2</v>
      </c>
      <c r="T559" s="12">
        <v>46236.01248834491</v>
      </c>
      <c r="U559" s="12">
        <v>46237.01248834491</v>
      </c>
      <c r="V559" s="14">
        <v>5</v>
      </c>
      <c r="W559" s="14">
        <v>0.1</v>
      </c>
      <c r="X559" s="14">
        <v>0.1</v>
      </c>
      <c r="Y559" s="14">
        <v>1E-4</v>
      </c>
      <c r="Z559" s="10" t="str">
        <f>IF(AND(D559="TRADING",I559&lt;&gt;"",L559&lt;&gt;"",M559&lt;&gt;"",N559&lt;&gt;"",O559&lt;&gt;""),"Yes","No")</f>
        <v>Yes</v>
      </c>
      <c r="AA559" s="10" t="s">
        <v>56</v>
      </c>
    </row>
    <row r="560" spans="1:27">
      <c r="A560" s="10" t="s">
        <v>401</v>
      </c>
      <c r="B560" s="10" t="s">
        <v>402</v>
      </c>
      <c r="C560" s="10" t="s">
        <v>12</v>
      </c>
      <c r="D560" s="10" t="s">
        <v>55</v>
      </c>
      <c r="E560" s="11" t="b">
        <v>1</v>
      </c>
      <c r="F560" s="12">
        <v>45856</v>
      </c>
      <c r="G560" s="12">
        <v>45856.999999988424</v>
      </c>
      <c r="H560" s="13">
        <f>IF(F560="","",(Summary!$B$5-F560)/365.25)</f>
        <v>1.0431553492661052</v>
      </c>
      <c r="I560" s="14">
        <v>5.1999999999999998E-2</v>
      </c>
      <c r="J560" s="15">
        <v>-3.1660000000000001E-2</v>
      </c>
      <c r="K560" s="16">
        <v>1875378.2</v>
      </c>
      <c r="L560" s="16">
        <v>99389.533679999993</v>
      </c>
      <c r="M560" s="17">
        <v>1627</v>
      </c>
      <c r="N560" s="14">
        <v>5.21E-2</v>
      </c>
      <c r="O560" s="14">
        <v>5.2200000000000003E-2</v>
      </c>
      <c r="P560" s="18">
        <f>IF(OR(N560="",O560="",N560=0,O560=0),"",(O560-N560)/((O560+N560)/2))</f>
        <v>1.9175455417066703E-3</v>
      </c>
      <c r="Q560" s="14">
        <v>5.2997059999999999E-2</v>
      </c>
      <c r="R560" s="14">
        <v>5.3999999999999999E-2</v>
      </c>
      <c r="S560" s="14">
        <v>5.1799999999999999E-2</v>
      </c>
      <c r="T560" s="12">
        <v>46236.012469675923</v>
      </c>
      <c r="U560" s="12">
        <v>46237.012469675923</v>
      </c>
      <c r="V560" s="14">
        <v>5</v>
      </c>
      <c r="W560" s="14">
        <v>0.1</v>
      </c>
      <c r="X560" s="14">
        <v>0.1</v>
      </c>
      <c r="Y560" s="14">
        <v>1E-4</v>
      </c>
      <c r="Z560" s="10" t="str">
        <f>IF(AND(D560="TRADING",I560&lt;&gt;"",L560&lt;&gt;"",M560&lt;&gt;"",N560&lt;&gt;"",O560&lt;&gt;""),"Yes","No")</f>
        <v>Yes</v>
      </c>
      <c r="AA560" s="10" t="s">
        <v>56</v>
      </c>
    </row>
    <row r="561" spans="1:27">
      <c r="A561" s="10" t="s">
        <v>1241</v>
      </c>
      <c r="B561" s="10" t="s">
        <v>1242</v>
      </c>
      <c r="C561" s="10" t="s">
        <v>12</v>
      </c>
      <c r="D561" s="10" t="s">
        <v>55</v>
      </c>
      <c r="E561" s="11" t="b">
        <v>1</v>
      </c>
      <c r="F561" s="12">
        <v>45867</v>
      </c>
      <c r="G561" s="12">
        <v>45867.999999988424</v>
      </c>
      <c r="H561" s="13">
        <f>IF(F561="","",(Summary!$B$5-F561)/365.25)</f>
        <v>1.0130389906076522</v>
      </c>
      <c r="I561" s="14">
        <v>3.39E-2</v>
      </c>
      <c r="J561" s="15">
        <v>-3.9660000000000001E-2</v>
      </c>
      <c r="K561" s="16">
        <v>5885229.5999999996</v>
      </c>
      <c r="L561" s="16">
        <v>203474.81586999999</v>
      </c>
      <c r="M561" s="17">
        <v>4309</v>
      </c>
      <c r="N561" s="14">
        <v>3.3799999999999997E-2</v>
      </c>
      <c r="O561" s="14">
        <v>3.39E-2</v>
      </c>
      <c r="P561" s="18">
        <f>IF(OR(N561="",O561="",N561=0,O561=0),"",(O561-N561)/((O561+N561)/2))</f>
        <v>2.9542097488922561E-3</v>
      </c>
      <c r="Q561" s="14">
        <v>3.4573810000000003E-2</v>
      </c>
      <c r="R561" s="14">
        <v>3.5900000000000001E-2</v>
      </c>
      <c r="S561" s="14">
        <v>3.3599999999999998E-2</v>
      </c>
      <c r="T561" s="12">
        <v>46236.012466712964</v>
      </c>
      <c r="U561" s="12">
        <v>46237.012466712964</v>
      </c>
      <c r="V561" s="14">
        <v>5</v>
      </c>
      <c r="W561" s="14">
        <v>0.1</v>
      </c>
      <c r="X561" s="14">
        <v>0.1</v>
      </c>
      <c r="Y561" s="14">
        <v>1E-4</v>
      </c>
      <c r="Z561" s="10" t="str">
        <f>IF(AND(D561="TRADING",I561&lt;&gt;"",L561&lt;&gt;"",M561&lt;&gt;"",N561&lt;&gt;"",O561&lt;&gt;""),"Yes","No")</f>
        <v>Yes</v>
      </c>
      <c r="AA561" s="10" t="s">
        <v>56</v>
      </c>
    </row>
    <row r="562" spans="1:27">
      <c r="A562" s="10" t="s">
        <v>82</v>
      </c>
      <c r="B562" s="10" t="s">
        <v>83</v>
      </c>
      <c r="C562" s="10" t="s">
        <v>12</v>
      </c>
      <c r="D562" s="10" t="s">
        <v>84</v>
      </c>
      <c r="E562" s="11" t="b">
        <v>1</v>
      </c>
      <c r="F562" s="12">
        <v>45868</v>
      </c>
      <c r="G562" s="12">
        <v>45868.999999988424</v>
      </c>
      <c r="H562" s="13">
        <f>IF(F562="","",(Summary!$B$5-F562)/365.25)</f>
        <v>1.0103011398205202</v>
      </c>
      <c r="I562" s="14">
        <v>8.3999999999999995E-5</v>
      </c>
      <c r="J562" s="15">
        <v>-0.53845999999999994</v>
      </c>
      <c r="K562" s="16">
        <v>9525167865</v>
      </c>
      <c r="L562" s="16">
        <v>1142385.5988030001</v>
      </c>
      <c r="M562" s="17">
        <v>18137</v>
      </c>
      <c r="N562" s="14">
        <v>0</v>
      </c>
      <c r="O562" s="14">
        <v>0</v>
      </c>
      <c r="P562" s="18" t="str">
        <f>IF(OR(N562="",O562="",N562=0,O562=0),"",(O562-N562)/((O562+N562)/2))</f>
        <v/>
      </c>
      <c r="Q562" s="14">
        <v>1.1993E-4</v>
      </c>
      <c r="R562" s="14">
        <v>2.0900000000000001E-4</v>
      </c>
      <c r="S562" s="14">
        <v>7.2000000000000002E-5</v>
      </c>
      <c r="T562" s="12">
        <v>46209.261123090277</v>
      </c>
      <c r="U562" s="12">
        <v>46210.261123090277</v>
      </c>
      <c r="V562" s="14">
        <v>5</v>
      </c>
      <c r="W562" s="14">
        <v>1</v>
      </c>
      <c r="X562" s="14">
        <v>1</v>
      </c>
      <c r="Y562" s="14">
        <v>9.9999999999999995E-7</v>
      </c>
      <c r="Z562" s="10" t="str">
        <f>IF(AND(D562="TRADING",I562&lt;&gt;"",L562&lt;&gt;"",M562&lt;&gt;"",N562&lt;&gt;"",O562&lt;&gt;""),"Yes","No")</f>
        <v>No</v>
      </c>
      <c r="AA562" s="10" t="s">
        <v>56</v>
      </c>
    </row>
    <row r="563" spans="1:27">
      <c r="A563" s="10" t="s">
        <v>1010</v>
      </c>
      <c r="B563" s="10" t="s">
        <v>1011</v>
      </c>
      <c r="C563" s="10" t="s">
        <v>12</v>
      </c>
      <c r="D563" s="10" t="s">
        <v>55</v>
      </c>
      <c r="E563" s="11" t="b">
        <v>1</v>
      </c>
      <c r="F563" s="12">
        <v>45874</v>
      </c>
      <c r="G563" s="12">
        <v>45874.999999988424</v>
      </c>
      <c r="H563" s="13">
        <f>IF(F563="","",(Summary!$B$5-F563)/365.25)</f>
        <v>0.99387403509772743</v>
      </c>
      <c r="I563" s="14">
        <v>0.1668</v>
      </c>
      <c r="J563" s="15">
        <v>-1.418E-2</v>
      </c>
      <c r="K563" s="16">
        <v>836568.3</v>
      </c>
      <c r="L563" s="16">
        <v>141107.51194999999</v>
      </c>
      <c r="M563" s="17">
        <v>3369</v>
      </c>
      <c r="N563" s="14">
        <v>0.1668</v>
      </c>
      <c r="O563" s="14">
        <v>0.16689999999999999</v>
      </c>
      <c r="P563" s="18">
        <f>IF(OR(N563="",O563="",N563=0,O563=0),"",(O563-N563)/((O563+N563)/2))</f>
        <v>5.9934072520221151E-4</v>
      </c>
      <c r="Q563" s="14">
        <v>0.16867423000000001</v>
      </c>
      <c r="R563" s="14">
        <v>0.1714</v>
      </c>
      <c r="S563" s="14">
        <v>0.16619999999999999</v>
      </c>
      <c r="T563" s="12">
        <v>46236.012487106484</v>
      </c>
      <c r="U563" s="12">
        <v>46237.012487106484</v>
      </c>
      <c r="V563" s="14">
        <v>5</v>
      </c>
      <c r="W563" s="14">
        <v>0.1</v>
      </c>
      <c r="X563" s="14">
        <v>0.1</v>
      </c>
      <c r="Y563" s="14">
        <v>1E-4</v>
      </c>
      <c r="Z563" s="10" t="str">
        <f>IF(AND(D563="TRADING",I563&lt;&gt;"",L563&lt;&gt;"",M563&lt;&gt;"",N563&lt;&gt;"",O563&lt;&gt;""),"Yes","No")</f>
        <v>Yes</v>
      </c>
      <c r="AA563" s="10" t="s">
        <v>56</v>
      </c>
    </row>
    <row r="564" spans="1:27">
      <c r="A564" s="10" t="s">
        <v>1235</v>
      </c>
      <c r="B564" s="10" t="s">
        <v>1236</v>
      </c>
      <c r="C564" s="10" t="s">
        <v>12</v>
      </c>
      <c r="D564" s="10" t="s">
        <v>55</v>
      </c>
      <c r="E564" s="11" t="b">
        <v>1</v>
      </c>
      <c r="F564" s="12">
        <v>45874</v>
      </c>
      <c r="G564" s="12">
        <v>45874.999999988424</v>
      </c>
      <c r="H564" s="13">
        <f>IF(F564="","",(Summary!$B$5-F564)/365.25)</f>
        <v>0.99387403509772743</v>
      </c>
      <c r="I564" s="14">
        <v>1.98E-3</v>
      </c>
      <c r="J564" s="15">
        <v>5.0800000000000003E-3</v>
      </c>
      <c r="K564" s="16">
        <v>268347946</v>
      </c>
      <c r="L564" s="16">
        <v>544402.30211000005</v>
      </c>
      <c r="M564" s="17">
        <v>4717</v>
      </c>
      <c r="N564" s="14">
        <v>1.97E-3</v>
      </c>
      <c r="O564" s="14">
        <v>1.98E-3</v>
      </c>
      <c r="P564" s="18">
        <f>IF(OR(N564="",O564="",N564=0,O564=0),"",(O564-N564)/((O564+N564)/2))</f>
        <v>5.0632911392405194E-3</v>
      </c>
      <c r="Q564" s="14">
        <v>2.0287199999999999E-3</v>
      </c>
      <c r="R564" s="14">
        <v>2.0699999999999998E-3</v>
      </c>
      <c r="S564" s="14">
        <v>1.9599999999999999E-3</v>
      </c>
      <c r="T564" s="12">
        <v>46236.012199884259</v>
      </c>
      <c r="U564" s="12">
        <v>46237.012199884259</v>
      </c>
      <c r="V564" s="14">
        <v>5</v>
      </c>
      <c r="W564" s="14">
        <v>1</v>
      </c>
      <c r="X564" s="14">
        <v>1</v>
      </c>
      <c r="Y564" s="14">
        <v>1.0000000000000001E-5</v>
      </c>
      <c r="Z564" s="10" t="str">
        <f>IF(AND(D564="TRADING",I564&lt;&gt;"",L564&lt;&gt;"",M564&lt;&gt;"",N564&lt;&gt;"",O564&lt;&gt;""),"Yes","No")</f>
        <v>Yes</v>
      </c>
      <c r="AA564" s="10" t="s">
        <v>56</v>
      </c>
    </row>
    <row r="565" spans="1:27">
      <c r="A565" s="10" t="s">
        <v>277</v>
      </c>
      <c r="B565" s="10" t="s">
        <v>278</v>
      </c>
      <c r="C565" s="10" t="s">
        <v>12</v>
      </c>
      <c r="D565" s="10" t="s">
        <v>55</v>
      </c>
      <c r="E565" s="11" t="b">
        <v>1</v>
      </c>
      <c r="F565" s="12">
        <v>45882</v>
      </c>
      <c r="G565" s="12">
        <v>45882.999999988424</v>
      </c>
      <c r="H565" s="13">
        <f>IF(F565="","",(Summary!$B$5-F565)/365.25)</f>
        <v>0.97197122880067066</v>
      </c>
      <c r="I565" s="14">
        <v>0.99909999999999999</v>
      </c>
      <c r="J565" s="15">
        <v>1E-4</v>
      </c>
      <c r="K565" s="16">
        <v>576245</v>
      </c>
      <c r="L565" s="16">
        <v>575408.63139999995</v>
      </c>
      <c r="M565" s="17">
        <v>729</v>
      </c>
      <c r="N565" s="14">
        <v>0.999</v>
      </c>
      <c r="O565" s="14">
        <v>0.99909999999999999</v>
      </c>
      <c r="P565" s="18">
        <f>IF(OR(N565="",O565="",N565=0,O565=0),"",(O565-N565)/((O565+N565)/2))</f>
        <v>1.00095090335808E-4</v>
      </c>
      <c r="Q565" s="14">
        <v>0.99854858999999996</v>
      </c>
      <c r="R565" s="14">
        <v>0.99909999999999999</v>
      </c>
      <c r="S565" s="14">
        <v>0.99750000000000005</v>
      </c>
      <c r="T565" s="12">
        <v>46236.012045972224</v>
      </c>
      <c r="U565" s="12">
        <v>46237.012045972224</v>
      </c>
      <c r="V565" s="14">
        <v>5</v>
      </c>
      <c r="W565" s="14">
        <v>1</v>
      </c>
      <c r="X565" s="14">
        <v>1</v>
      </c>
      <c r="Y565" s="14">
        <v>1E-4</v>
      </c>
      <c r="Z565" s="10" t="str">
        <f>IF(AND(D565="TRADING",I565&lt;&gt;"",L565&lt;&gt;"",M565&lt;&gt;"",N565&lt;&gt;"",O565&lt;&gt;""),"Yes","No")</f>
        <v>Yes</v>
      </c>
      <c r="AA565" s="10" t="s">
        <v>56</v>
      </c>
    </row>
    <row r="566" spans="1:27">
      <c r="A566" s="10" t="s">
        <v>984</v>
      </c>
      <c r="B566" s="10" t="s">
        <v>985</v>
      </c>
      <c r="C566" s="10" t="s">
        <v>12</v>
      </c>
      <c r="D566" s="10" t="s">
        <v>55</v>
      </c>
      <c r="E566" s="11" t="b">
        <v>1</v>
      </c>
      <c r="F566" s="12">
        <v>45887</v>
      </c>
      <c r="G566" s="12">
        <v>45887.999999988424</v>
      </c>
      <c r="H566" s="13">
        <f>IF(F566="","",(Summary!$B$5-F566)/365.25)</f>
        <v>0.95828197486501021</v>
      </c>
      <c r="I566" s="14">
        <v>1.078E-2</v>
      </c>
      <c r="J566" s="15">
        <v>-1.1009999999999999E-2</v>
      </c>
      <c r="K566" s="16">
        <v>58624963</v>
      </c>
      <c r="L566" s="16">
        <v>647385.37352000002</v>
      </c>
      <c r="M566" s="17">
        <v>6369</v>
      </c>
      <c r="N566" s="14">
        <v>1.077E-2</v>
      </c>
      <c r="O566" s="14">
        <v>1.078E-2</v>
      </c>
      <c r="P566" s="18">
        <f>IF(OR(N566="",O566="",N566=0,O566=0),"",(O566-N566)/((O566+N566)/2))</f>
        <v>9.2807424593963734E-4</v>
      </c>
      <c r="Q566" s="14">
        <v>1.104283E-2</v>
      </c>
      <c r="R566" s="14">
        <v>1.136E-2</v>
      </c>
      <c r="S566" s="14">
        <v>1.0749999999999999E-2</v>
      </c>
      <c r="T566" s="12">
        <v>46236.012477719909</v>
      </c>
      <c r="U566" s="12">
        <v>46237.012477719909</v>
      </c>
      <c r="V566" s="14">
        <v>5</v>
      </c>
      <c r="W566" s="14">
        <v>1</v>
      </c>
      <c r="X566" s="14">
        <v>1</v>
      </c>
      <c r="Y566" s="14">
        <v>1.0000000000000001E-5</v>
      </c>
      <c r="Z566" s="10" t="str">
        <f>IF(AND(D566="TRADING",I566&lt;&gt;"",L566&lt;&gt;"",M566&lt;&gt;"",N566&lt;&gt;"",O566&lt;&gt;""),"Yes","No")</f>
        <v>Yes</v>
      </c>
      <c r="AA566" s="10" t="s">
        <v>56</v>
      </c>
    </row>
    <row r="567" spans="1:27">
      <c r="A567" s="10" t="s">
        <v>445</v>
      </c>
      <c r="B567" s="10" t="s">
        <v>446</v>
      </c>
      <c r="C567" s="10" t="s">
        <v>12</v>
      </c>
      <c r="D567" s="10" t="s">
        <v>55</v>
      </c>
      <c r="E567" s="11" t="b">
        <v>1</v>
      </c>
      <c r="F567" s="12">
        <v>45896</v>
      </c>
      <c r="G567" s="12">
        <v>45896.999999988424</v>
      </c>
      <c r="H567" s="13">
        <f>IF(F567="","",(Summary!$B$5-F567)/365.25)</f>
        <v>0.93364131778082127</v>
      </c>
      <c r="I567" s="14">
        <v>2.163E-2</v>
      </c>
      <c r="J567" s="15">
        <v>1.217E-2</v>
      </c>
      <c r="K567" s="16">
        <v>3078604.2</v>
      </c>
      <c r="L567" s="16">
        <v>66832.390195999993</v>
      </c>
      <c r="M567" s="17">
        <v>1713</v>
      </c>
      <c r="N567" s="14">
        <v>2.155E-2</v>
      </c>
      <c r="O567" s="14">
        <v>2.1569999999999999E-2</v>
      </c>
      <c r="P567" s="18">
        <f>IF(OR(N567="",O567="",N567=0,O567=0),"",(O567-N567)/((O567+N567)/2))</f>
        <v>9.2764378478660421E-4</v>
      </c>
      <c r="Q567" s="14">
        <v>2.1708669999999999E-2</v>
      </c>
      <c r="R567" s="14">
        <v>2.2210000000000001E-2</v>
      </c>
      <c r="S567" s="14">
        <v>2.1129999999999999E-2</v>
      </c>
      <c r="T567" s="12">
        <v>46236.012386226852</v>
      </c>
      <c r="U567" s="12">
        <v>46237.012386226852</v>
      </c>
      <c r="V567" s="14">
        <v>5</v>
      </c>
      <c r="W567" s="14">
        <v>0.1</v>
      </c>
      <c r="X567" s="14">
        <v>0.1</v>
      </c>
      <c r="Y567" s="14">
        <v>1.0000000000000001E-5</v>
      </c>
      <c r="Z567" s="10" t="str">
        <f>IF(AND(D567="TRADING",I567&lt;&gt;"",L567&lt;&gt;"",M567&lt;&gt;"",N567&lt;&gt;"",O567&lt;&gt;""),"Yes","No")</f>
        <v>Yes</v>
      </c>
      <c r="AA567" s="10" t="s">
        <v>56</v>
      </c>
    </row>
    <row r="568" spans="1:27">
      <c r="A568" s="10" t="s">
        <v>828</v>
      </c>
      <c r="B568" s="10" t="s">
        <v>829</v>
      </c>
      <c r="C568" s="10" t="s">
        <v>12</v>
      </c>
      <c r="D568" s="10" t="s">
        <v>55</v>
      </c>
      <c r="E568" s="11" t="b">
        <v>1</v>
      </c>
      <c r="F568" s="12">
        <v>45898</v>
      </c>
      <c r="G568" s="12">
        <v>45898.999999988424</v>
      </c>
      <c r="H568" s="13">
        <f>IF(F568="","",(Summary!$B$5-F568)/365.25)</f>
        <v>0.92816561620655702</v>
      </c>
      <c r="I568" s="14">
        <v>2.181E-2</v>
      </c>
      <c r="J568" s="15">
        <v>2.2019999999999998E-2</v>
      </c>
      <c r="K568" s="16">
        <v>17454781.100000001</v>
      </c>
      <c r="L568" s="16">
        <v>379551.78751400003</v>
      </c>
      <c r="M568" s="17">
        <v>8898</v>
      </c>
      <c r="N568" s="14">
        <v>2.18E-2</v>
      </c>
      <c r="O568" s="14">
        <v>2.181E-2</v>
      </c>
      <c r="P568" s="18">
        <f>IF(OR(N568="",O568="",N568=0,O568=0),"",(O568-N568)/((O568+N568)/2))</f>
        <v>4.586104104562987E-4</v>
      </c>
      <c r="Q568" s="14">
        <v>2.1744860000000001E-2</v>
      </c>
      <c r="R568" s="14">
        <v>2.2159999999999999E-2</v>
      </c>
      <c r="S568" s="14">
        <v>2.1260000000000001E-2</v>
      </c>
      <c r="T568" s="12">
        <v>46236.012478518518</v>
      </c>
      <c r="U568" s="12">
        <v>46237.012478518518</v>
      </c>
      <c r="V568" s="14">
        <v>5</v>
      </c>
      <c r="W568" s="14">
        <v>0.1</v>
      </c>
      <c r="X568" s="14">
        <v>0.1</v>
      </c>
      <c r="Y568" s="14">
        <v>1.0000000000000001E-5</v>
      </c>
      <c r="Z568" s="10" t="str">
        <f>IF(AND(D568="TRADING",I568&lt;&gt;"",L568&lt;&gt;"",M568&lt;&gt;"",N568&lt;&gt;"",O568&lt;&gt;""),"Yes","No")</f>
        <v>Yes</v>
      </c>
      <c r="AA568" s="10" t="s">
        <v>56</v>
      </c>
    </row>
    <row r="569" spans="1:27">
      <c r="A569" s="10" t="s">
        <v>1353</v>
      </c>
      <c r="B569" s="10" t="s">
        <v>1354</v>
      </c>
      <c r="C569" s="10" t="s">
        <v>12</v>
      </c>
      <c r="D569" s="10" t="s">
        <v>55</v>
      </c>
      <c r="E569" s="11" t="b">
        <v>1</v>
      </c>
      <c r="F569" s="12">
        <v>45901</v>
      </c>
      <c r="G569" s="12">
        <v>45901.999999988424</v>
      </c>
      <c r="H569" s="13">
        <f>IF(F569="","",(Summary!$B$5-F569)/365.25)</f>
        <v>0.91995206384516071</v>
      </c>
      <c r="I569" s="14">
        <v>5.5199999999999999E-2</v>
      </c>
      <c r="J569" s="15">
        <v>-1.0749999999999999E-2</v>
      </c>
      <c r="K569" s="16">
        <v>39758288.899999999</v>
      </c>
      <c r="L569" s="16">
        <v>2216080.7372599998</v>
      </c>
      <c r="M569" s="17">
        <v>11768</v>
      </c>
      <c r="N569" s="14">
        <v>5.5199999999999999E-2</v>
      </c>
      <c r="O569" s="14">
        <v>5.5300000000000002E-2</v>
      </c>
      <c r="P569" s="18">
        <f>IF(OR(N569="",O569="",N569=0,O569=0),"",(O569-N569)/((O569+N569)/2))</f>
        <v>1.8099547511312736E-3</v>
      </c>
      <c r="Q569" s="14">
        <v>5.5738839999999998E-2</v>
      </c>
      <c r="R569" s="14">
        <v>5.6300000000000003E-2</v>
      </c>
      <c r="S569" s="14">
        <v>5.5100000000000003E-2</v>
      </c>
      <c r="T569" s="12">
        <v>46236.012483680555</v>
      </c>
      <c r="U569" s="12">
        <v>46237.012483680555</v>
      </c>
      <c r="V569" s="14">
        <v>5</v>
      </c>
      <c r="W569" s="14">
        <v>0.1</v>
      </c>
      <c r="X569" s="14">
        <v>0.1</v>
      </c>
      <c r="Y569" s="14">
        <v>1E-4</v>
      </c>
      <c r="Z569" s="10" t="str">
        <f>IF(AND(D569="TRADING",I569&lt;&gt;"",L569&lt;&gt;"",M569&lt;&gt;"",N569&lt;&gt;"",O569&lt;&gt;""),"Yes","No")</f>
        <v>Yes</v>
      </c>
      <c r="AA569" s="10" t="s">
        <v>56</v>
      </c>
    </row>
    <row r="570" spans="1:27">
      <c r="A570" s="10" t="s">
        <v>1147</v>
      </c>
      <c r="B570" s="10" t="s">
        <v>1148</v>
      </c>
      <c r="C570" s="10" t="s">
        <v>12</v>
      </c>
      <c r="D570" s="10" t="s">
        <v>55</v>
      </c>
      <c r="E570" s="11" t="b">
        <v>1</v>
      </c>
      <c r="F570" s="12">
        <v>45902</v>
      </c>
      <c r="G570" s="12">
        <v>45902.999999988424</v>
      </c>
      <c r="H570" s="13">
        <f>IF(F570="","",(Summary!$B$5-F570)/365.25)</f>
        <v>0.91721421305802864</v>
      </c>
      <c r="I570" s="14">
        <v>8.3699999999999997E-2</v>
      </c>
      <c r="J570" s="15">
        <v>-7.1199999999999996E-3</v>
      </c>
      <c r="K570" s="16">
        <v>1428076.1</v>
      </c>
      <c r="L570" s="16">
        <v>120054.79534</v>
      </c>
      <c r="M570" s="17">
        <v>1549</v>
      </c>
      <c r="N570" s="14">
        <v>8.3599999999999994E-2</v>
      </c>
      <c r="O570" s="14">
        <v>8.3699999999999997E-2</v>
      </c>
      <c r="P570" s="18">
        <f>IF(OR(N570="",O570="",N570=0,O570=0),"",(O570-N570)/((O570+N570)/2))</f>
        <v>1.1954572624029033E-3</v>
      </c>
      <c r="Q570" s="14">
        <v>8.4067509999999998E-2</v>
      </c>
      <c r="R570" s="14">
        <v>8.5300000000000001E-2</v>
      </c>
      <c r="S570" s="14">
        <v>8.3000000000000004E-2</v>
      </c>
      <c r="T570" s="12">
        <v>46236.012441041668</v>
      </c>
      <c r="U570" s="12">
        <v>46237.012441041668</v>
      </c>
      <c r="V570" s="14">
        <v>5</v>
      </c>
      <c r="W570" s="14">
        <v>0.1</v>
      </c>
      <c r="X570" s="14">
        <v>0.1</v>
      </c>
      <c r="Y570" s="14">
        <v>1E-4</v>
      </c>
      <c r="Z570" s="10" t="str">
        <f>IF(AND(D570="TRADING",I570&lt;&gt;"",L570&lt;&gt;"",M570&lt;&gt;"",N570&lt;&gt;"",O570&lt;&gt;""),"Yes","No")</f>
        <v>Yes</v>
      </c>
      <c r="AA570" s="10" t="s">
        <v>56</v>
      </c>
    </row>
    <row r="571" spans="1:27">
      <c r="A571" s="10" t="s">
        <v>932</v>
      </c>
      <c r="B571" s="10" t="s">
        <v>933</v>
      </c>
      <c r="C571" s="10" t="s">
        <v>12</v>
      </c>
      <c r="D571" s="10" t="s">
        <v>55</v>
      </c>
      <c r="E571" s="11" t="b">
        <v>1</v>
      </c>
      <c r="F571" s="12">
        <v>45908</v>
      </c>
      <c r="G571" s="12">
        <v>45908.999999988424</v>
      </c>
      <c r="H571" s="13">
        <f>IF(F571="","",(Summary!$B$5-F571)/365.25)</f>
        <v>0.90078710833523601</v>
      </c>
      <c r="I571" s="14">
        <v>0.1799</v>
      </c>
      <c r="J571" s="15">
        <v>5.0299999999999997E-3</v>
      </c>
      <c r="K571" s="16">
        <v>2420175.6</v>
      </c>
      <c r="L571" s="16">
        <v>431636.86523</v>
      </c>
      <c r="M571" s="17">
        <v>11150</v>
      </c>
      <c r="N571" s="14">
        <v>0.17979999999999999</v>
      </c>
      <c r="O571" s="14">
        <v>0.1799</v>
      </c>
      <c r="P571" s="18">
        <f>IF(OR(N571="",O571="",N571=0,O571=0),"",(O571-N571)/((O571+N571)/2))</f>
        <v>5.5601890464285089E-4</v>
      </c>
      <c r="Q571" s="14">
        <v>0.17834939999999999</v>
      </c>
      <c r="R571" s="14">
        <v>0.182</v>
      </c>
      <c r="S571" s="14">
        <v>0.17449999999999999</v>
      </c>
      <c r="T571" s="12">
        <v>46236.010742743056</v>
      </c>
      <c r="U571" s="12">
        <v>46237.010742743056</v>
      </c>
      <c r="V571" s="14">
        <v>5</v>
      </c>
      <c r="W571" s="14">
        <v>0.1</v>
      </c>
      <c r="X571" s="14">
        <v>0.1</v>
      </c>
      <c r="Y571" s="14">
        <v>1E-4</v>
      </c>
      <c r="Z571" s="10" t="str">
        <f>IF(AND(D571="TRADING",I571&lt;&gt;"",L571&lt;&gt;"",M571&lt;&gt;"",N571&lt;&gt;"",O571&lt;&gt;""),"Yes","No")</f>
        <v>Yes</v>
      </c>
      <c r="AA571" s="10" t="s">
        <v>56</v>
      </c>
    </row>
    <row r="572" spans="1:27">
      <c r="A572" s="10" t="s">
        <v>1284</v>
      </c>
      <c r="B572" s="10" t="s">
        <v>1285</v>
      </c>
      <c r="C572" s="10" t="s">
        <v>12</v>
      </c>
      <c r="D572" s="10" t="s">
        <v>55</v>
      </c>
      <c r="E572" s="11" t="b">
        <v>1</v>
      </c>
      <c r="F572" s="12">
        <v>45909</v>
      </c>
      <c r="G572" s="12">
        <v>45909.999999988424</v>
      </c>
      <c r="H572" s="13">
        <f>IF(F572="","",(Summary!$B$5-F572)/365.25)</f>
        <v>0.89804925754810394</v>
      </c>
      <c r="I572" s="14">
        <v>1.0005999999999999</v>
      </c>
      <c r="J572" s="15">
        <v>-4.0000000000000002E-4</v>
      </c>
      <c r="K572" s="16">
        <v>2505864</v>
      </c>
      <c r="L572" s="16">
        <v>2507273.3336</v>
      </c>
      <c r="M572" s="17">
        <v>353</v>
      </c>
      <c r="N572" s="14">
        <v>1.0005999999999999</v>
      </c>
      <c r="O572" s="14">
        <v>1.0006999999999999</v>
      </c>
      <c r="P572" s="18">
        <f>IF(OR(N572="",O572="",N572=0,O572=0),"",(O572-N572)/((O572+N572)/2))</f>
        <v>9.9935042222544347E-5</v>
      </c>
      <c r="Q572" s="14">
        <v>1.0005624099999999</v>
      </c>
      <c r="R572" s="14">
        <v>1.0009999999999999</v>
      </c>
      <c r="S572" s="14">
        <v>1.0004</v>
      </c>
      <c r="T572" s="12">
        <v>46236.008277106484</v>
      </c>
      <c r="U572" s="12">
        <v>46237.008277106484</v>
      </c>
      <c r="V572" s="14">
        <v>5</v>
      </c>
      <c r="W572" s="14">
        <v>1</v>
      </c>
      <c r="X572" s="14">
        <v>1</v>
      </c>
      <c r="Y572" s="14">
        <v>1E-4</v>
      </c>
      <c r="Z572" s="10" t="str">
        <f>IF(AND(D572="TRADING",I572&lt;&gt;"",L572&lt;&gt;"",M572&lt;&gt;"",N572&lt;&gt;"",O572&lt;&gt;""),"Yes","No")</f>
        <v>Yes</v>
      </c>
      <c r="AA572" s="10" t="s">
        <v>56</v>
      </c>
    </row>
    <row r="573" spans="1:27">
      <c r="A573" s="10" t="s">
        <v>748</v>
      </c>
      <c r="B573" s="10" t="s">
        <v>749</v>
      </c>
      <c r="C573" s="10" t="s">
        <v>12</v>
      </c>
      <c r="D573" s="10" t="s">
        <v>55</v>
      </c>
      <c r="E573" s="11" t="b">
        <v>1</v>
      </c>
      <c r="F573" s="12">
        <v>45910</v>
      </c>
      <c r="G573" s="12">
        <v>45910.999999988424</v>
      </c>
      <c r="H573" s="13">
        <f>IF(F573="","",(Summary!$B$5-F573)/365.25)</f>
        <v>0.89531140676097187</v>
      </c>
      <c r="I573" s="14">
        <v>2.2369999999999998E-3</v>
      </c>
      <c r="J573" s="15">
        <v>1.268E-2</v>
      </c>
      <c r="K573" s="16">
        <v>85963433</v>
      </c>
      <c r="L573" s="16">
        <v>192137.742459</v>
      </c>
      <c r="M573" s="17">
        <v>4164</v>
      </c>
      <c r="N573" s="14">
        <v>2.2369999999999998E-3</v>
      </c>
      <c r="O573" s="14">
        <v>2.238E-3</v>
      </c>
      <c r="P573" s="18">
        <f>IF(OR(N573="",O573="",N573=0,O573=0),"",(O573-N573)/((O573+N573)/2))</f>
        <v>4.4692737430173529E-4</v>
      </c>
      <c r="Q573" s="14">
        <v>2.2351099999999998E-3</v>
      </c>
      <c r="R573" s="14">
        <v>2.2629999999999998E-3</v>
      </c>
      <c r="S573" s="14">
        <v>2.2079999999999999E-3</v>
      </c>
      <c r="T573" s="12">
        <v>46236.012131064817</v>
      </c>
      <c r="U573" s="12">
        <v>46237.012131064817</v>
      </c>
      <c r="V573" s="14">
        <v>5</v>
      </c>
      <c r="W573" s="14">
        <v>1</v>
      </c>
      <c r="X573" s="14">
        <v>1</v>
      </c>
      <c r="Y573" s="14">
        <v>9.9999999999999995E-7</v>
      </c>
      <c r="Z573" s="10" t="str">
        <f>IF(AND(D573="TRADING",I573&lt;&gt;"",L573&lt;&gt;"",M573&lt;&gt;"",N573&lt;&gt;"",O573&lt;&gt;""),"Yes","No")</f>
        <v>Yes</v>
      </c>
      <c r="AA573" s="10" t="s">
        <v>56</v>
      </c>
    </row>
    <row r="574" spans="1:27">
      <c r="A574" s="10" t="s">
        <v>640</v>
      </c>
      <c r="B574" s="10" t="s">
        <v>641</v>
      </c>
      <c r="C574" s="10" t="s">
        <v>12</v>
      </c>
      <c r="D574" s="10" t="s">
        <v>55</v>
      </c>
      <c r="E574" s="11" t="b">
        <v>1</v>
      </c>
      <c r="F574" s="12">
        <v>45911</v>
      </c>
      <c r="G574" s="12">
        <v>45911.999999988424</v>
      </c>
      <c r="H574" s="13">
        <f>IF(F574="","",(Summary!$B$5-F574)/365.25)</f>
        <v>0.89257355597383969</v>
      </c>
      <c r="I574" s="14">
        <v>6.6000000000000003E-2</v>
      </c>
      <c r="J574" s="15">
        <v>1.8520000000000002E-2</v>
      </c>
      <c r="K574" s="16">
        <v>9129730.3000000007</v>
      </c>
      <c r="L574" s="16">
        <v>597663.16411000001</v>
      </c>
      <c r="M574" s="17">
        <v>7406</v>
      </c>
      <c r="N574" s="14">
        <v>6.6000000000000003E-2</v>
      </c>
      <c r="O574" s="14">
        <v>6.6100000000000006E-2</v>
      </c>
      <c r="P574" s="18">
        <f>IF(OR(N574="",O574="",N574=0,O574=0),"",(O574-N574)/((O574+N574)/2))</f>
        <v>1.5140045420136694E-3</v>
      </c>
      <c r="Q574" s="14">
        <v>6.5463400000000005E-2</v>
      </c>
      <c r="R574" s="14">
        <v>6.7799999999999999E-2</v>
      </c>
      <c r="S574" s="14">
        <v>6.3500000000000001E-2</v>
      </c>
      <c r="T574" s="12">
        <v>46236.012485497682</v>
      </c>
      <c r="U574" s="12">
        <v>46237.012485497682</v>
      </c>
      <c r="V574" s="14">
        <v>5</v>
      </c>
      <c r="W574" s="14">
        <v>0.1</v>
      </c>
      <c r="X574" s="14">
        <v>0.1</v>
      </c>
      <c r="Y574" s="14">
        <v>1E-4</v>
      </c>
      <c r="Z574" s="10" t="str">
        <f>IF(AND(D574="TRADING",I574&lt;&gt;"",L574&lt;&gt;"",M574&lt;&gt;"",N574&lt;&gt;"",O574&lt;&gt;""),"Yes","No")</f>
        <v>Yes</v>
      </c>
      <c r="AA574" s="10" t="s">
        <v>56</v>
      </c>
    </row>
    <row r="575" spans="1:27">
      <c r="A575" s="10" t="s">
        <v>1014</v>
      </c>
      <c r="B575" s="10" t="s">
        <v>1015</v>
      </c>
      <c r="C575" s="10" t="s">
        <v>12</v>
      </c>
      <c r="D575" s="10" t="s">
        <v>55</v>
      </c>
      <c r="E575" s="11" t="b">
        <v>1</v>
      </c>
      <c r="F575" s="12">
        <v>45911</v>
      </c>
      <c r="G575" s="12">
        <v>45911.999999988424</v>
      </c>
      <c r="H575" s="13">
        <f>IF(F575="","",(Summary!$B$5-F575)/365.25)</f>
        <v>0.89257355597383969</v>
      </c>
      <c r="I575" s="14">
        <v>2.0739999999999999E-3</v>
      </c>
      <c r="J575" s="15">
        <v>-3.2199999999999999E-2</v>
      </c>
      <c r="K575" s="16">
        <v>4507513348</v>
      </c>
      <c r="L575" s="16">
        <v>9903992.0318790004</v>
      </c>
      <c r="M575" s="17">
        <v>84861</v>
      </c>
      <c r="N575" s="14">
        <v>2.0739999999999999E-3</v>
      </c>
      <c r="O575" s="14">
        <v>2.075E-3</v>
      </c>
      <c r="P575" s="18">
        <f>IF(OR(N575="",O575="",N575=0,O575=0),"",(O575-N575)/((O575+N575)/2))</f>
        <v>4.8204386599186923E-4</v>
      </c>
      <c r="Q575" s="14">
        <v>2.1972200000000002E-3</v>
      </c>
      <c r="R575" s="14">
        <v>2.2889999999999998E-3</v>
      </c>
      <c r="S575" s="14">
        <v>2.0690000000000001E-3</v>
      </c>
      <c r="T575" s="12">
        <v>46236.012491319445</v>
      </c>
      <c r="U575" s="12">
        <v>46237.012491319445</v>
      </c>
      <c r="V575" s="14">
        <v>5</v>
      </c>
      <c r="W575" s="14">
        <v>1</v>
      </c>
      <c r="X575" s="14">
        <v>1</v>
      </c>
      <c r="Y575" s="14">
        <v>9.9999999999999995E-7</v>
      </c>
      <c r="Z575" s="10" t="str">
        <f>IF(AND(D575="TRADING",I575&lt;&gt;"",L575&lt;&gt;"",M575&lt;&gt;"",N575&lt;&gt;"",O575&lt;&gt;""),"Yes","No")</f>
        <v>Yes</v>
      </c>
      <c r="AA575" s="10" t="s">
        <v>56</v>
      </c>
    </row>
    <row r="576" spans="1:27">
      <c r="A576" s="10" t="s">
        <v>217</v>
      </c>
      <c r="B576" s="10" t="s">
        <v>218</v>
      </c>
      <c r="C576" s="10" t="s">
        <v>12</v>
      </c>
      <c r="D576" s="10" t="s">
        <v>55</v>
      </c>
      <c r="E576" s="11" t="b">
        <v>1</v>
      </c>
      <c r="F576" s="12">
        <v>45915</v>
      </c>
      <c r="G576" s="12">
        <v>45915.999999988424</v>
      </c>
      <c r="H576" s="13">
        <f>IF(F576="","",(Summary!$B$5-F576)/365.25)</f>
        <v>0.88162215282531131</v>
      </c>
      <c r="I576" s="14">
        <v>8.1199999999999994E-2</v>
      </c>
      <c r="J576" s="15">
        <v>-7.3299999999999997E-3</v>
      </c>
      <c r="K576" s="16">
        <v>4320636.3</v>
      </c>
      <c r="L576" s="16">
        <v>355445.90325999999</v>
      </c>
      <c r="M576" s="17">
        <v>3302</v>
      </c>
      <c r="N576" s="14">
        <v>8.1100000000000005E-2</v>
      </c>
      <c r="O576" s="14">
        <v>8.1199999999999994E-2</v>
      </c>
      <c r="P576" s="18">
        <f>IF(OR(N576="",O576="",N576=0,O576=0),"",(O576-N576)/((O576+N576)/2))</f>
        <v>1.2322858903264201E-3</v>
      </c>
      <c r="Q576" s="14">
        <v>8.2267030000000005E-2</v>
      </c>
      <c r="R576" s="14">
        <v>8.3599999999999994E-2</v>
      </c>
      <c r="S576" s="14">
        <v>8.1199999999999994E-2</v>
      </c>
      <c r="T576" s="12">
        <v>46236.011934259259</v>
      </c>
      <c r="U576" s="12">
        <v>46237.011934259259</v>
      </c>
      <c r="V576" s="14">
        <v>5</v>
      </c>
      <c r="W576" s="14">
        <v>0.1</v>
      </c>
      <c r="X576" s="14">
        <v>0.1</v>
      </c>
      <c r="Y576" s="14">
        <v>1E-4</v>
      </c>
      <c r="Z576" s="10" t="str">
        <f>IF(AND(D576="TRADING",I576&lt;&gt;"",L576&lt;&gt;"",M576&lt;&gt;"",N576&lt;&gt;"",O576&lt;&gt;""),"Yes","No")</f>
        <v>Yes</v>
      </c>
      <c r="AA576" s="10" t="s">
        <v>56</v>
      </c>
    </row>
    <row r="577" spans="1:27">
      <c r="A577" s="10" t="s">
        <v>1415</v>
      </c>
      <c r="B577" s="10" t="s">
        <v>1416</v>
      </c>
      <c r="C577" s="10" t="s">
        <v>12</v>
      </c>
      <c r="D577" s="10" t="s">
        <v>55</v>
      </c>
      <c r="E577" s="11" t="b">
        <v>1</v>
      </c>
      <c r="F577" s="12">
        <v>45915</v>
      </c>
      <c r="G577" s="12">
        <v>45915.999999988424</v>
      </c>
      <c r="H577" s="13">
        <f>IF(F577="","",(Summary!$B$5-F577)/365.25)</f>
        <v>0.88162215282531131</v>
      </c>
      <c r="I577" s="14">
        <v>3.7499999999999999E-2</v>
      </c>
      <c r="J577" s="15">
        <v>-2.0889999999999999E-2</v>
      </c>
      <c r="K577" s="16">
        <v>5370220.7000000002</v>
      </c>
      <c r="L577" s="16">
        <v>202461.11545000001</v>
      </c>
      <c r="M577" s="17">
        <v>2879</v>
      </c>
      <c r="N577" s="14">
        <v>3.7400000000000003E-2</v>
      </c>
      <c r="O577" s="14">
        <v>3.7499999999999999E-2</v>
      </c>
      <c r="P577" s="18">
        <f>IF(OR(N577="",O577="",N577=0,O577=0),"",(O577-N577)/((O577+N577)/2))</f>
        <v>2.6702269692922814E-3</v>
      </c>
      <c r="Q577" s="14">
        <v>3.7700709999999998E-2</v>
      </c>
      <c r="R577" s="14">
        <v>3.8399999999999997E-2</v>
      </c>
      <c r="S577" s="14">
        <v>3.7100000000000001E-2</v>
      </c>
      <c r="T577" s="12">
        <v>46236.012432986114</v>
      </c>
      <c r="U577" s="12">
        <v>46237.012432986114</v>
      </c>
      <c r="V577" s="14">
        <v>5</v>
      </c>
      <c r="W577" s="14">
        <v>0.1</v>
      </c>
      <c r="X577" s="14">
        <v>0.1</v>
      </c>
      <c r="Y577" s="14">
        <v>1E-4</v>
      </c>
      <c r="Z577" s="10" t="str">
        <f>IF(AND(D577="TRADING",I577&lt;&gt;"",L577&lt;&gt;"",M577&lt;&gt;"",N577&lt;&gt;"",O577&lt;&gt;""),"Yes","No")</f>
        <v>Yes</v>
      </c>
      <c r="AA577" s="10" t="s">
        <v>56</v>
      </c>
    </row>
    <row r="578" spans="1:27">
      <c r="A578" s="10" t="s">
        <v>1128</v>
      </c>
      <c r="B578" s="10" t="s">
        <v>1129</v>
      </c>
      <c r="C578" s="10" t="s">
        <v>12</v>
      </c>
      <c r="D578" s="10" t="s">
        <v>55</v>
      </c>
      <c r="E578" s="11" t="b">
        <v>1</v>
      </c>
      <c r="F578" s="12">
        <v>45917</v>
      </c>
      <c r="G578" s="12">
        <v>45917.999999988424</v>
      </c>
      <c r="H578" s="13">
        <f>IF(F578="","",(Summary!$B$5-F578)/365.25)</f>
        <v>0.87614645125104718</v>
      </c>
      <c r="I578" s="14">
        <v>5.629E-2</v>
      </c>
      <c r="J578" s="15">
        <v>4.28E-3</v>
      </c>
      <c r="K578" s="16">
        <v>6234707</v>
      </c>
      <c r="L578" s="16">
        <v>350782.24907999998</v>
      </c>
      <c r="M578" s="17">
        <v>5651</v>
      </c>
      <c r="N578" s="14">
        <v>5.6259999999999998E-2</v>
      </c>
      <c r="O578" s="14">
        <v>5.629E-2</v>
      </c>
      <c r="P578" s="18">
        <f>IF(OR(N578="",O578="",N578=0,O578=0),"",(O578-N578)/((O578+N578)/2))</f>
        <v>5.3309640159932914E-4</v>
      </c>
      <c r="Q578" s="14">
        <v>5.626283E-2</v>
      </c>
      <c r="R578" s="14">
        <v>5.6950000000000001E-2</v>
      </c>
      <c r="S578" s="14">
        <v>5.5690000000000003E-2</v>
      </c>
      <c r="T578" s="12">
        <v>46236.012480277779</v>
      </c>
      <c r="U578" s="12">
        <v>46237.012480277779</v>
      </c>
      <c r="V578" s="14">
        <v>5</v>
      </c>
      <c r="W578" s="14">
        <v>1</v>
      </c>
      <c r="X578" s="14">
        <v>1</v>
      </c>
      <c r="Y578" s="14">
        <v>1.0000000000000001E-5</v>
      </c>
      <c r="Z578" s="10" t="str">
        <f>IF(AND(D578="TRADING",I578&lt;&gt;"",L578&lt;&gt;"",M578&lt;&gt;"",N578&lt;&gt;"",O578&lt;&gt;""),"Yes","No")</f>
        <v>Yes</v>
      </c>
      <c r="AA578" s="10" t="s">
        <v>56</v>
      </c>
    </row>
    <row r="579" spans="1:27">
      <c r="A579" s="10" t="s">
        <v>245</v>
      </c>
      <c r="B579" s="10" t="s">
        <v>246</v>
      </c>
      <c r="C579" s="10" t="s">
        <v>12</v>
      </c>
      <c r="D579" s="10" t="s">
        <v>55</v>
      </c>
      <c r="E579" s="11" t="b">
        <v>1</v>
      </c>
      <c r="F579" s="12">
        <v>45918</v>
      </c>
      <c r="G579" s="12">
        <v>45918.999999988424</v>
      </c>
      <c r="H579" s="13">
        <f>IF(F579="","",(Summary!$B$5-F579)/365.25)</f>
        <v>0.873408600463915</v>
      </c>
      <c r="I579" s="14">
        <v>0.10630000000000001</v>
      </c>
      <c r="J579" s="15">
        <v>-2.9220000000000003E-2</v>
      </c>
      <c r="K579" s="16">
        <v>3473194.7</v>
      </c>
      <c r="L579" s="16">
        <v>375545.47103999997</v>
      </c>
      <c r="M579" s="17">
        <v>12431</v>
      </c>
      <c r="N579" s="14">
        <v>0.10630000000000001</v>
      </c>
      <c r="O579" s="14">
        <v>0.10639999999999999</v>
      </c>
      <c r="P579" s="18">
        <f>IF(OR(N579="",O579="",N579=0,O579=0),"",(O579-N579)/((O579+N579)/2))</f>
        <v>9.4029149036190863E-4</v>
      </c>
      <c r="Q579" s="14">
        <v>0.10812681</v>
      </c>
      <c r="R579" s="14">
        <v>0.1113</v>
      </c>
      <c r="S579" s="14">
        <v>0.1056</v>
      </c>
      <c r="T579" s="12">
        <v>46236.012236689814</v>
      </c>
      <c r="U579" s="12">
        <v>46237.012236689814</v>
      </c>
      <c r="V579" s="14">
        <v>5</v>
      </c>
      <c r="W579" s="14">
        <v>0.1</v>
      </c>
      <c r="X579" s="14">
        <v>0.1</v>
      </c>
      <c r="Y579" s="14">
        <v>1E-4</v>
      </c>
      <c r="Z579" s="10" t="str">
        <f>IF(AND(D579="TRADING",I579&lt;&gt;"",L579&lt;&gt;"",M579&lt;&gt;"",N579&lt;&gt;"",O579&lt;&gt;""),"Yes","No")</f>
        <v>Yes</v>
      </c>
      <c r="AA579" s="10" t="s">
        <v>56</v>
      </c>
    </row>
    <row r="580" spans="1:27">
      <c r="A580" s="10" t="s">
        <v>68</v>
      </c>
      <c r="B580" s="10" t="s">
        <v>69</v>
      </c>
      <c r="C580" s="10" t="s">
        <v>12</v>
      </c>
      <c r="D580" s="10" t="s">
        <v>55</v>
      </c>
      <c r="E580" s="11" t="b">
        <v>1</v>
      </c>
      <c r="F580" s="12">
        <v>45922</v>
      </c>
      <c r="G580" s="12">
        <v>45922.999999988424</v>
      </c>
      <c r="H580" s="13">
        <f>IF(F580="","",(Summary!$B$5-F580)/365.25)</f>
        <v>0.86245719731538661</v>
      </c>
      <c r="I580" s="14">
        <v>0.14000000000000001</v>
      </c>
      <c r="J580" s="15">
        <v>-3.4479999999999997E-2</v>
      </c>
      <c r="K580" s="16">
        <v>3037100.25</v>
      </c>
      <c r="L580" s="16">
        <v>435592.92096999998</v>
      </c>
      <c r="M580" s="17">
        <v>3061</v>
      </c>
      <c r="N580" s="14">
        <v>0.13900000000000001</v>
      </c>
      <c r="O580" s="14">
        <v>0.14000000000000001</v>
      </c>
      <c r="P580" s="18">
        <f>IF(OR(N580="",O580="",N580=0,O580=0),"",(O580-N580)/((O580+N580)/2))</f>
        <v>7.1684587813620132E-3</v>
      </c>
      <c r="Q580" s="14">
        <v>0.14342394999999999</v>
      </c>
      <c r="R580" s="14">
        <v>0.14899999999999999</v>
      </c>
      <c r="S580" s="14">
        <v>0.13900000000000001</v>
      </c>
      <c r="T580" s="12">
        <v>46236.012466296299</v>
      </c>
      <c r="U580" s="12">
        <v>46237.012466296299</v>
      </c>
      <c r="V580" s="14">
        <v>5</v>
      </c>
      <c r="W580" s="14">
        <v>0.01</v>
      </c>
      <c r="X580" s="14">
        <v>0.01</v>
      </c>
      <c r="Y580" s="14">
        <v>1E-3</v>
      </c>
      <c r="Z580" s="10" t="str">
        <f>IF(AND(D580="TRADING",I580&lt;&gt;"",L580&lt;&gt;"",M580&lt;&gt;"",N580&lt;&gt;"",O580&lt;&gt;""),"Yes","No")</f>
        <v>Yes</v>
      </c>
      <c r="AA580" s="10" t="s">
        <v>56</v>
      </c>
    </row>
    <row r="581" spans="1:27">
      <c r="A581" s="10" t="s">
        <v>626</v>
      </c>
      <c r="B581" s="10" t="s">
        <v>627</v>
      </c>
      <c r="C581" s="10" t="s">
        <v>12</v>
      </c>
      <c r="D581" s="10" t="s">
        <v>55</v>
      </c>
      <c r="E581" s="11" t="b">
        <v>1</v>
      </c>
      <c r="F581" s="12">
        <v>45923</v>
      </c>
      <c r="G581" s="12">
        <v>45923.999999988424</v>
      </c>
      <c r="H581" s="13">
        <f>IF(F581="","",(Summary!$B$5-F581)/365.25)</f>
        <v>0.85971934652825455</v>
      </c>
      <c r="I581" s="14">
        <v>4.6800000000000001E-3</v>
      </c>
      <c r="J581" s="15">
        <v>0</v>
      </c>
      <c r="K581" s="16">
        <v>95798073.700000003</v>
      </c>
      <c r="L581" s="16">
        <v>456294.33024600003</v>
      </c>
      <c r="M581" s="17">
        <v>12105</v>
      </c>
      <c r="N581" s="14">
        <v>4.6699999999999997E-3</v>
      </c>
      <c r="O581" s="14">
        <v>4.6800000000000001E-3</v>
      </c>
      <c r="P581" s="18">
        <f>IF(OR(N581="",O581="",N581=0,O581=0),"",(O581-N581)/((O581+N581)/2))</f>
        <v>2.1390374331551783E-3</v>
      </c>
      <c r="Q581" s="14">
        <v>4.7630800000000003E-3</v>
      </c>
      <c r="R581" s="14">
        <v>4.9300000000000004E-3</v>
      </c>
      <c r="S581" s="14">
        <v>4.64E-3</v>
      </c>
      <c r="T581" s="12">
        <v>46236.012331944446</v>
      </c>
      <c r="U581" s="12">
        <v>46237.012331944446</v>
      </c>
      <c r="V581" s="14">
        <v>5</v>
      </c>
      <c r="W581" s="14">
        <v>0.1</v>
      </c>
      <c r="X581" s="14">
        <v>0.1</v>
      </c>
      <c r="Y581" s="14">
        <v>1.0000000000000001E-5</v>
      </c>
      <c r="Z581" s="10" t="str">
        <f>IF(AND(D581="TRADING",I581&lt;&gt;"",L581&lt;&gt;"",M581&lt;&gt;"",N581&lt;&gt;"",O581&lt;&gt;""),"Yes","No")</f>
        <v>Yes</v>
      </c>
      <c r="AA581" s="10" t="s">
        <v>56</v>
      </c>
    </row>
    <row r="582" spans="1:27">
      <c r="A582" s="10" t="s">
        <v>1379</v>
      </c>
      <c r="B582" s="10" t="s">
        <v>1380</v>
      </c>
      <c r="C582" s="10" t="s">
        <v>12</v>
      </c>
      <c r="D582" s="10" t="s">
        <v>55</v>
      </c>
      <c r="E582" s="11" t="b">
        <v>1</v>
      </c>
      <c r="F582" s="12">
        <v>45925</v>
      </c>
      <c r="G582" s="12">
        <v>45925.999999988424</v>
      </c>
      <c r="H582" s="13">
        <f>IF(F582="","",(Summary!$B$5-F582)/365.25)</f>
        <v>0.8542436449539903</v>
      </c>
      <c r="I582" s="14">
        <v>7.5620000000000007E-2</v>
      </c>
      <c r="J582" s="15">
        <v>-2.5999999999999998E-4</v>
      </c>
      <c r="K582" s="16">
        <v>29401862</v>
      </c>
      <c r="L582" s="16">
        <v>2255860.2708120001</v>
      </c>
      <c r="M582" s="17">
        <v>56909</v>
      </c>
      <c r="N582" s="14">
        <v>7.5620000000000007E-2</v>
      </c>
      <c r="O582" s="14">
        <v>7.5630000000000003E-2</v>
      </c>
      <c r="P582" s="18">
        <f>IF(OR(N582="",O582="",N582=0,O582=0),"",(O582-N582)/((O582+N582)/2))</f>
        <v>1.3223140495862643E-4</v>
      </c>
      <c r="Q582" s="14">
        <v>7.6725080000000001E-2</v>
      </c>
      <c r="R582" s="14">
        <v>7.7499999999999999E-2</v>
      </c>
      <c r="S582" s="14">
        <v>7.5310000000000002E-2</v>
      </c>
      <c r="T582" s="12">
        <v>46236.012401979169</v>
      </c>
      <c r="U582" s="12">
        <v>46237.012401979169</v>
      </c>
      <c r="V582" s="14">
        <v>5</v>
      </c>
      <c r="W582" s="14">
        <v>0.1</v>
      </c>
      <c r="X582" s="14">
        <v>0.1</v>
      </c>
      <c r="Y582" s="14">
        <v>1.0000000000000001E-5</v>
      </c>
      <c r="Z582" s="10" t="str">
        <f>IF(AND(D582="TRADING",I582&lt;&gt;"",L582&lt;&gt;"",M582&lt;&gt;"",N582&lt;&gt;"",O582&lt;&gt;""),"Yes","No")</f>
        <v>Yes</v>
      </c>
      <c r="AA582" s="10" t="s">
        <v>56</v>
      </c>
    </row>
    <row r="583" spans="1:27">
      <c r="A583" s="10" t="s">
        <v>822</v>
      </c>
      <c r="B583" s="10" t="s">
        <v>823</v>
      </c>
      <c r="C583" s="10" t="s">
        <v>12</v>
      </c>
      <c r="D583" s="10" t="s">
        <v>55</v>
      </c>
      <c r="E583" s="11" t="b">
        <v>1</v>
      </c>
      <c r="F583" s="12">
        <v>45926</v>
      </c>
      <c r="G583" s="12">
        <v>45926.999999988424</v>
      </c>
      <c r="H583" s="13">
        <f>IF(F583="","",(Summary!$B$5-F583)/365.25)</f>
        <v>0.85150579416685823</v>
      </c>
      <c r="I583" s="14">
        <v>4.1599999999999998E-2</v>
      </c>
      <c r="J583" s="15">
        <v>-9.5199999999999989E-3</v>
      </c>
      <c r="K583" s="16">
        <v>196851719.80000001</v>
      </c>
      <c r="L583" s="16">
        <v>8197559.8492599996</v>
      </c>
      <c r="M583" s="17">
        <v>44951</v>
      </c>
      <c r="N583" s="14">
        <v>4.1599999999999998E-2</v>
      </c>
      <c r="O583" s="14">
        <v>4.1700000000000001E-2</v>
      </c>
      <c r="P583" s="18">
        <f>IF(OR(N583="",O583="",N583=0,O583=0),"",(O583-N583)/((O583+N583)/2))</f>
        <v>2.4009603841537303E-3</v>
      </c>
      <c r="Q583" s="14">
        <v>4.1643319999999998E-2</v>
      </c>
      <c r="R583" s="14">
        <v>4.2099999999999999E-2</v>
      </c>
      <c r="S583" s="14">
        <v>4.07E-2</v>
      </c>
      <c r="T583" s="12">
        <v>46236.012470648151</v>
      </c>
      <c r="U583" s="12">
        <v>46237.012470648151</v>
      </c>
      <c r="V583" s="14">
        <v>5</v>
      </c>
      <c r="W583" s="14">
        <v>0.1</v>
      </c>
      <c r="X583" s="14">
        <v>0.1</v>
      </c>
      <c r="Y583" s="14">
        <v>1E-4</v>
      </c>
      <c r="Z583" s="10" t="str">
        <f>IF(AND(D583="TRADING",I583&lt;&gt;"",L583&lt;&gt;"",M583&lt;&gt;"",N583&lt;&gt;"",O583&lt;&gt;""),"Yes","No")</f>
        <v>Yes</v>
      </c>
      <c r="AA583" s="10" t="s">
        <v>56</v>
      </c>
    </row>
    <row r="584" spans="1:27">
      <c r="A584" s="10" t="s">
        <v>522</v>
      </c>
      <c r="B584" s="10" t="s">
        <v>523</v>
      </c>
      <c r="C584" s="10" t="s">
        <v>12</v>
      </c>
      <c r="D584" s="10" t="s">
        <v>55</v>
      </c>
      <c r="E584" s="11" t="b">
        <v>1</v>
      </c>
      <c r="F584" s="12">
        <v>45929</v>
      </c>
      <c r="G584" s="12">
        <v>45929.999999988424</v>
      </c>
      <c r="H584" s="13">
        <f>IF(F584="","",(Summary!$B$5-F584)/365.25)</f>
        <v>0.84329224180546192</v>
      </c>
      <c r="I584" s="14">
        <v>6.4500000000000002E-2</v>
      </c>
      <c r="J584" s="15">
        <v>-3.2500000000000003E-3</v>
      </c>
      <c r="K584" s="16">
        <v>13894584</v>
      </c>
      <c r="L584" s="16">
        <v>910894.80489999999</v>
      </c>
      <c r="M584" s="17">
        <v>10121</v>
      </c>
      <c r="N584" s="14">
        <v>6.4500000000000002E-2</v>
      </c>
      <c r="O584" s="14">
        <v>6.4530000000000004E-2</v>
      </c>
      <c r="P584" s="18">
        <f>IF(OR(N584="",O584="",N584=0,O584=0),"",(O584-N584)/((O584+N584)/2))</f>
        <v>4.6500813764244355E-4</v>
      </c>
      <c r="Q584" s="14">
        <v>6.5557539999999997E-2</v>
      </c>
      <c r="R584" s="14">
        <v>6.7860000000000004E-2</v>
      </c>
      <c r="S584" s="14">
        <v>6.4240000000000005E-2</v>
      </c>
      <c r="T584" s="12">
        <v>46236.012306041666</v>
      </c>
      <c r="U584" s="12">
        <v>46237.012306041666</v>
      </c>
      <c r="V584" s="14">
        <v>5</v>
      </c>
      <c r="W584" s="14">
        <v>0.1</v>
      </c>
      <c r="X584" s="14">
        <v>0.1</v>
      </c>
      <c r="Y584" s="14">
        <v>1.0000000000000001E-5</v>
      </c>
      <c r="Z584" s="10" t="str">
        <f>IF(AND(D584="TRADING",I584&lt;&gt;"",L584&lt;&gt;"",M584&lt;&gt;"",N584&lt;&gt;"",O584&lt;&gt;""),"Yes","No")</f>
        <v>Yes</v>
      </c>
      <c r="AA584" s="10" t="s">
        <v>56</v>
      </c>
    </row>
    <row r="585" spans="1:27">
      <c r="A585" s="10" t="s">
        <v>461</v>
      </c>
      <c r="B585" s="10" t="s">
        <v>462</v>
      </c>
      <c r="C585" s="10" t="s">
        <v>12</v>
      </c>
      <c r="D585" s="10" t="s">
        <v>55</v>
      </c>
      <c r="E585" s="11" t="b">
        <v>1</v>
      </c>
      <c r="F585" s="12">
        <v>45930</v>
      </c>
      <c r="G585" s="12">
        <v>45930.999999988424</v>
      </c>
      <c r="H585" s="13">
        <f>IF(F585="","",(Summary!$B$5-F585)/365.25)</f>
        <v>0.84055439101832985</v>
      </c>
      <c r="I585" s="14">
        <v>4.3889999999999998E-2</v>
      </c>
      <c r="J585" s="15">
        <v>0.22324000000000002</v>
      </c>
      <c r="K585" s="16">
        <v>68498503.700000003</v>
      </c>
      <c r="L585" s="16">
        <v>2849951.602959</v>
      </c>
      <c r="M585" s="17">
        <v>48694</v>
      </c>
      <c r="N585" s="14">
        <v>4.3900000000000002E-2</v>
      </c>
      <c r="O585" s="14">
        <v>4.3950000000000003E-2</v>
      </c>
      <c r="P585" s="18">
        <f>IF(OR(N585="",O585="",N585=0,O585=0),"",(O585-N585)/((O585+N585)/2))</f>
        <v>1.138303927148581E-3</v>
      </c>
      <c r="Q585" s="14">
        <v>4.1606039999999997E-2</v>
      </c>
      <c r="R585" s="14">
        <v>4.4769999999999997E-2</v>
      </c>
      <c r="S585" s="14">
        <v>3.5540000000000002E-2</v>
      </c>
      <c r="T585" s="12">
        <v>46236.01235986111</v>
      </c>
      <c r="U585" s="12">
        <v>46237.01235986111</v>
      </c>
      <c r="V585" s="14">
        <v>5</v>
      </c>
      <c r="W585" s="14">
        <v>0.1</v>
      </c>
      <c r="X585" s="14">
        <v>0.1</v>
      </c>
      <c r="Y585" s="14">
        <v>1.0000000000000001E-5</v>
      </c>
      <c r="Z585" s="10" t="str">
        <f>IF(AND(D585="TRADING",I585&lt;&gt;"",L585&lt;&gt;"",M585&lt;&gt;"",N585&lt;&gt;"",O585&lt;&gt;""),"Yes","No")</f>
        <v>Yes</v>
      </c>
      <c r="AA585" s="10" t="s">
        <v>56</v>
      </c>
    </row>
    <row r="586" spans="1:27">
      <c r="A586" s="10" t="s">
        <v>892</v>
      </c>
      <c r="B586" s="10" t="s">
        <v>893</v>
      </c>
      <c r="C586" s="10" t="s">
        <v>12</v>
      </c>
      <c r="D586" s="10" t="s">
        <v>55</v>
      </c>
      <c r="E586" s="11" t="b">
        <v>1</v>
      </c>
      <c r="F586" s="12">
        <v>45931</v>
      </c>
      <c r="G586" s="12">
        <v>45931.999999988424</v>
      </c>
      <c r="H586" s="13">
        <f>IF(F586="","",(Summary!$B$5-F586)/365.25)</f>
        <v>0.83781654023119767</v>
      </c>
      <c r="I586" s="14">
        <v>1.4300000000000001E-3</v>
      </c>
      <c r="J586" s="15">
        <v>7.0399999999999994E-3</v>
      </c>
      <c r="K586" s="16">
        <v>200463873</v>
      </c>
      <c r="L586" s="16">
        <v>287704.93948</v>
      </c>
      <c r="M586" s="17">
        <v>3146</v>
      </c>
      <c r="N586" s="14">
        <v>1.4300000000000001E-3</v>
      </c>
      <c r="O586" s="14">
        <v>1.4400000000000001E-3</v>
      </c>
      <c r="P586" s="18">
        <f>IF(OR(N586="",O586="",N586=0,O586=0),"",(O586-N586)/((O586+N586)/2))</f>
        <v>6.9686411149825966E-3</v>
      </c>
      <c r="Q586" s="14">
        <v>1.4352E-3</v>
      </c>
      <c r="R586" s="14">
        <v>1.4599999999999999E-3</v>
      </c>
      <c r="S586" s="14">
        <v>1.42E-3</v>
      </c>
      <c r="T586" s="12">
        <v>46236.012388495372</v>
      </c>
      <c r="U586" s="12">
        <v>46237.012388495372</v>
      </c>
      <c r="V586" s="14">
        <v>5</v>
      </c>
      <c r="W586" s="14">
        <v>1</v>
      </c>
      <c r="X586" s="14">
        <v>1</v>
      </c>
      <c r="Y586" s="14">
        <v>1.0000000000000001E-5</v>
      </c>
      <c r="Z586" s="10" t="str">
        <f>IF(AND(D586="TRADING",I586&lt;&gt;"",L586&lt;&gt;"",M586&lt;&gt;"",N586&lt;&gt;"",O586&lt;&gt;""),"Yes","No")</f>
        <v>Yes</v>
      </c>
      <c r="AA586" s="10" t="s">
        <v>56</v>
      </c>
    </row>
    <row r="587" spans="1:27">
      <c r="A587" s="10" t="s">
        <v>80</v>
      </c>
      <c r="B587" s="10" t="s">
        <v>81</v>
      </c>
      <c r="C587" s="10" t="s">
        <v>12</v>
      </c>
      <c r="D587" s="10" t="s">
        <v>55</v>
      </c>
      <c r="E587" s="11" t="b">
        <v>1</v>
      </c>
      <c r="F587" s="12">
        <v>45932</v>
      </c>
      <c r="G587" s="12">
        <v>45932.999999988424</v>
      </c>
      <c r="H587" s="13">
        <f>IF(F587="","",(Summary!$B$5-F587)/365.25)</f>
        <v>0.8350786894440656</v>
      </c>
      <c r="I587" s="14">
        <v>5.518E-2</v>
      </c>
      <c r="J587" s="15">
        <v>-3.2500000000000003E-3</v>
      </c>
      <c r="K587" s="16">
        <v>2570421</v>
      </c>
      <c r="L587" s="16">
        <v>142614.29287999999</v>
      </c>
      <c r="M587" s="17">
        <v>5293</v>
      </c>
      <c r="N587" s="14">
        <v>5.5129999999999998E-2</v>
      </c>
      <c r="O587" s="14">
        <v>5.518E-2</v>
      </c>
      <c r="P587" s="18">
        <f>IF(OR(N587="",O587="",N587=0,O587=0),"",(O587-N587)/((O587+N587)/2))</f>
        <v>9.0653612546462577E-4</v>
      </c>
      <c r="Q587" s="14">
        <v>5.548285E-2</v>
      </c>
      <c r="R587" s="14">
        <v>5.6239999999999998E-2</v>
      </c>
      <c r="S587" s="14">
        <v>5.4940000000000003E-2</v>
      </c>
      <c r="T587" s="12">
        <v>46236.012021550923</v>
      </c>
      <c r="U587" s="12">
        <v>46237.012021550923</v>
      </c>
      <c r="V587" s="14">
        <v>5</v>
      </c>
      <c r="W587" s="14">
        <v>1</v>
      </c>
      <c r="X587" s="14">
        <v>1</v>
      </c>
      <c r="Y587" s="14">
        <v>1.0000000000000001E-5</v>
      </c>
      <c r="Z587" s="10" t="str">
        <f>IF(AND(D587="TRADING",I587&lt;&gt;"",L587&lt;&gt;"",M587&lt;&gt;"",N587&lt;&gt;"",O587&lt;&gt;""),"Yes","No")</f>
        <v>Yes</v>
      </c>
      <c r="AA587" s="10" t="s">
        <v>56</v>
      </c>
    </row>
    <row r="588" spans="1:27">
      <c r="A588" s="10" t="s">
        <v>838</v>
      </c>
      <c r="B588" s="10" t="s">
        <v>839</v>
      </c>
      <c r="C588" s="10" t="s">
        <v>12</v>
      </c>
      <c r="D588" s="10" t="s">
        <v>55</v>
      </c>
      <c r="E588" s="11" t="b">
        <v>1</v>
      </c>
      <c r="F588" s="12">
        <v>45933</v>
      </c>
      <c r="G588" s="12">
        <v>45933.999999988424</v>
      </c>
      <c r="H588" s="13">
        <f>IF(F588="","",(Summary!$B$5-F588)/365.25)</f>
        <v>0.83234083865693353</v>
      </c>
      <c r="I588" s="14">
        <v>1.94</v>
      </c>
      <c r="J588" s="15">
        <v>-5.1999999999999995E-4</v>
      </c>
      <c r="K588" s="16">
        <v>414521.18</v>
      </c>
      <c r="L588" s="16">
        <v>806331.07817999995</v>
      </c>
      <c r="M588" s="17">
        <v>14960</v>
      </c>
      <c r="N588" s="14">
        <v>1.94</v>
      </c>
      <c r="O588" s="14">
        <v>1.9410000000000001</v>
      </c>
      <c r="P588" s="18">
        <f>IF(OR(N588="",O588="",N588=0,O588=0),"",(O588-N588)/((O588+N588)/2))</f>
        <v>5.1533110023195669E-4</v>
      </c>
      <c r="Q588" s="14">
        <v>1.9452107999999999</v>
      </c>
      <c r="R588" s="14">
        <v>1.9950000000000001</v>
      </c>
      <c r="S588" s="14">
        <v>1.923</v>
      </c>
      <c r="T588" s="12">
        <v>46236.012477905089</v>
      </c>
      <c r="U588" s="12">
        <v>46237.012477905089</v>
      </c>
      <c r="V588" s="14">
        <v>5</v>
      </c>
      <c r="W588" s="14">
        <v>0.01</v>
      </c>
      <c r="X588" s="14">
        <v>0.01</v>
      </c>
      <c r="Y588" s="14">
        <v>1E-3</v>
      </c>
      <c r="Z588" s="10" t="str">
        <f>IF(AND(D588="TRADING",I588&lt;&gt;"",L588&lt;&gt;"",M588&lt;&gt;"",N588&lt;&gt;"",O588&lt;&gt;""),"Yes","No")</f>
        <v>Yes</v>
      </c>
      <c r="AA588" s="10" t="s">
        <v>56</v>
      </c>
    </row>
    <row r="589" spans="1:27">
      <c r="A589" s="10" t="s">
        <v>187</v>
      </c>
      <c r="B589" s="10" t="s">
        <v>188</v>
      </c>
      <c r="C589" s="10" t="s">
        <v>12</v>
      </c>
      <c r="D589" s="10" t="s">
        <v>55</v>
      </c>
      <c r="E589" s="11" t="b">
        <v>1</v>
      </c>
      <c r="F589" s="12">
        <v>45936</v>
      </c>
      <c r="G589" s="12">
        <v>45936.999999988424</v>
      </c>
      <c r="H589" s="13">
        <f>IF(F589="","",(Summary!$B$5-F589)/365.25)</f>
        <v>0.82412728629553722</v>
      </c>
      <c r="I589" s="14">
        <v>0.60299999999999998</v>
      </c>
      <c r="J589" s="15">
        <v>0</v>
      </c>
      <c r="K589" s="16">
        <v>2280178.58</v>
      </c>
      <c r="L589" s="16">
        <v>1376655.49499</v>
      </c>
      <c r="M589" s="17">
        <v>6563</v>
      </c>
      <c r="N589" s="14">
        <v>0.60199999999999998</v>
      </c>
      <c r="O589" s="14">
        <v>0.60299999999999998</v>
      </c>
      <c r="P589" s="18">
        <f>IF(OR(N589="",O589="",N589=0,O589=0),"",(O589-N589)/((O589+N589)/2))</f>
        <v>1.6597510373443998E-3</v>
      </c>
      <c r="Q589" s="14">
        <v>0.60374897999999999</v>
      </c>
      <c r="R589" s="14">
        <v>0.60799999999999998</v>
      </c>
      <c r="S589" s="14">
        <v>0.6</v>
      </c>
      <c r="T589" s="12">
        <v>46236.012477708333</v>
      </c>
      <c r="U589" s="12">
        <v>46237.012477708333</v>
      </c>
      <c r="V589" s="14">
        <v>5</v>
      </c>
      <c r="W589" s="14">
        <v>0.01</v>
      </c>
      <c r="X589" s="14">
        <v>0.01</v>
      </c>
      <c r="Y589" s="14">
        <v>1E-3</v>
      </c>
      <c r="Z589" s="10" t="str">
        <f>IF(AND(D589="TRADING",I589&lt;&gt;"",L589&lt;&gt;"",M589&lt;&gt;"",N589&lt;&gt;"",O589&lt;&gt;""),"Yes","No")</f>
        <v>Yes</v>
      </c>
      <c r="AA589" s="10" t="s">
        <v>56</v>
      </c>
    </row>
    <row r="590" spans="1:27">
      <c r="A590" s="10" t="s">
        <v>1329</v>
      </c>
      <c r="B590" s="10" t="s">
        <v>1330</v>
      </c>
      <c r="C590" s="10" t="s">
        <v>12</v>
      </c>
      <c r="D590" s="10" t="s">
        <v>55</v>
      </c>
      <c r="E590" s="11" t="b">
        <v>1</v>
      </c>
      <c r="F590" s="12">
        <v>45940</v>
      </c>
      <c r="G590" s="12">
        <v>45940.999999988424</v>
      </c>
      <c r="H590" s="13">
        <f>IF(F590="","",(Summary!$B$5-F590)/365.25)</f>
        <v>0.81317588314700884</v>
      </c>
      <c r="I590" s="14">
        <v>2.4899999999999999E-2</v>
      </c>
      <c r="J590" s="15">
        <v>-1.9689999999999999E-2</v>
      </c>
      <c r="K590" s="16">
        <v>6158340.9000000004</v>
      </c>
      <c r="L590" s="16">
        <v>157118.86491</v>
      </c>
      <c r="M590" s="17">
        <v>1881</v>
      </c>
      <c r="N590" s="14">
        <v>2.4899999999999999E-2</v>
      </c>
      <c r="O590" s="14">
        <v>2.5000000000000001E-2</v>
      </c>
      <c r="P590" s="18">
        <f>IF(OR(N590="",O590="",N590=0,O590=0),"",(O590-N590)/((O590+N590)/2))</f>
        <v>4.0080160320642433E-3</v>
      </c>
      <c r="Q590" s="14">
        <v>2.551318E-2</v>
      </c>
      <c r="R590" s="14">
        <v>2.6200000000000001E-2</v>
      </c>
      <c r="S590" s="14">
        <v>2.4899999999999999E-2</v>
      </c>
      <c r="T590" s="12">
        <v>46236.01234854167</v>
      </c>
      <c r="U590" s="12">
        <v>46237.01234854167</v>
      </c>
      <c r="V590" s="14">
        <v>5</v>
      </c>
      <c r="W590" s="14">
        <v>0.1</v>
      </c>
      <c r="X590" s="14">
        <v>0.1</v>
      </c>
      <c r="Y590" s="14">
        <v>1E-4</v>
      </c>
      <c r="Z590" s="10" t="str">
        <f>IF(AND(D590="TRADING",I590&lt;&gt;"",L590&lt;&gt;"",M590&lt;&gt;"",N590&lt;&gt;"",O590&lt;&gt;""),"Yes","No")</f>
        <v>Yes</v>
      </c>
      <c r="AA590" s="10" t="s">
        <v>56</v>
      </c>
    </row>
    <row r="591" spans="1:27">
      <c r="A591" s="10" t="s">
        <v>508</v>
      </c>
      <c r="B591" s="10" t="s">
        <v>509</v>
      </c>
      <c r="C591" s="10" t="s">
        <v>12</v>
      </c>
      <c r="D591" s="10" t="s">
        <v>55</v>
      </c>
      <c r="E591" s="11" t="b">
        <v>1</v>
      </c>
      <c r="F591" s="12">
        <v>45943</v>
      </c>
      <c r="G591" s="12">
        <v>45943.999999988424</v>
      </c>
      <c r="H591" s="13">
        <f>IF(F591="","",(Summary!$B$5-F591)/365.25)</f>
        <v>0.80496233078561252</v>
      </c>
      <c r="I591" s="14">
        <v>1.391</v>
      </c>
      <c r="J591" s="15">
        <v>-9.4399999999999998E-2</v>
      </c>
      <c r="K591" s="16">
        <v>29898126.710000001</v>
      </c>
      <c r="L591" s="16">
        <v>45416419.491619997</v>
      </c>
      <c r="M591" s="17">
        <v>210741</v>
      </c>
      <c r="N591" s="14">
        <v>1.39</v>
      </c>
      <c r="O591" s="14">
        <v>1.391</v>
      </c>
      <c r="P591" s="18">
        <f>IF(OR(N591="",O591="",N591=0,O591=0),"",(O591-N591)/((O591+N591)/2))</f>
        <v>7.1916576770953756E-4</v>
      </c>
      <c r="Q591" s="14">
        <v>1.51903897</v>
      </c>
      <c r="R591" s="14">
        <v>1.673</v>
      </c>
      <c r="S591" s="14">
        <v>1.3859999999999999</v>
      </c>
      <c r="T591" s="12">
        <v>46236.012463472223</v>
      </c>
      <c r="U591" s="12">
        <v>46237.012463472223</v>
      </c>
      <c r="V591" s="14">
        <v>5</v>
      </c>
      <c r="W591" s="14">
        <v>0.01</v>
      </c>
      <c r="X591" s="14">
        <v>0.01</v>
      </c>
      <c r="Y591" s="14">
        <v>1E-3</v>
      </c>
      <c r="Z591" s="10" t="str">
        <f>IF(AND(D591="TRADING",I591&lt;&gt;"",L591&lt;&gt;"",M591&lt;&gt;"",N591&lt;&gt;"",O591&lt;&gt;""),"Yes","No")</f>
        <v>Yes</v>
      </c>
      <c r="AA591" s="10" t="s">
        <v>56</v>
      </c>
    </row>
    <row r="592" spans="1:27">
      <c r="A592" s="10" t="s">
        <v>475</v>
      </c>
      <c r="B592" s="10" t="s">
        <v>476</v>
      </c>
      <c r="C592" s="10" t="s">
        <v>12</v>
      </c>
      <c r="D592" s="10" t="s">
        <v>55</v>
      </c>
      <c r="E592" s="11" t="b">
        <v>1</v>
      </c>
      <c r="F592" s="12">
        <v>45944</v>
      </c>
      <c r="G592" s="12">
        <v>45944.999999988424</v>
      </c>
      <c r="H592" s="13">
        <f>IF(F592="","",(Summary!$B$5-F592)/365.25)</f>
        <v>0.80222447999848034</v>
      </c>
      <c r="I592" s="14">
        <v>0.92300000000000004</v>
      </c>
      <c r="J592" s="15">
        <v>-1.1779999999999999E-2</v>
      </c>
      <c r="K592" s="16">
        <v>1176777.7</v>
      </c>
      <c r="L592" s="16">
        <v>1075717.49835</v>
      </c>
      <c r="M592" s="17">
        <v>14018</v>
      </c>
      <c r="N592" s="14">
        <v>0.92300000000000004</v>
      </c>
      <c r="O592" s="14">
        <v>0.92400000000000004</v>
      </c>
      <c r="P592" s="18">
        <f>IF(OR(N592="",O592="",N592=0,O592=0),"",(O592-N592)/((O592+N592)/2))</f>
        <v>1.0828370330265304E-3</v>
      </c>
      <c r="Q592" s="14">
        <v>0.91412125</v>
      </c>
      <c r="R592" s="14">
        <v>0.93799999999999994</v>
      </c>
      <c r="S592" s="14">
        <v>0.88400000000000001</v>
      </c>
      <c r="T592" s="12">
        <v>46236.012459398145</v>
      </c>
      <c r="U592" s="12">
        <v>46237.012459398145</v>
      </c>
      <c r="V592" s="14">
        <v>5</v>
      </c>
      <c r="W592" s="14">
        <v>0.01</v>
      </c>
      <c r="X592" s="14">
        <v>0.01</v>
      </c>
      <c r="Y592" s="14">
        <v>1E-3</v>
      </c>
      <c r="Z592" s="10" t="str">
        <f>IF(AND(D592="TRADING",I592&lt;&gt;"",L592&lt;&gt;"",M592&lt;&gt;"",N592&lt;&gt;"",O592&lt;&gt;""),"Yes","No")</f>
        <v>Yes</v>
      </c>
      <c r="AA592" s="10" t="s">
        <v>56</v>
      </c>
    </row>
    <row r="593" spans="1:27">
      <c r="A593" s="10" t="s">
        <v>1397</v>
      </c>
      <c r="B593" s="10" t="s">
        <v>1398</v>
      </c>
      <c r="C593" s="10" t="s">
        <v>12</v>
      </c>
      <c r="D593" s="10" t="s">
        <v>55</v>
      </c>
      <c r="E593" s="11" t="b">
        <v>1</v>
      </c>
      <c r="F593" s="12">
        <v>45945</v>
      </c>
      <c r="G593" s="12">
        <v>45945.999999988424</v>
      </c>
      <c r="H593" s="13">
        <f>IF(F593="","",(Summary!$B$5-F593)/365.25)</f>
        <v>0.79948662921134828</v>
      </c>
      <c r="I593" s="14">
        <v>6.5299999999999997E-2</v>
      </c>
      <c r="J593" s="15">
        <v>-7.6E-3</v>
      </c>
      <c r="K593" s="16">
        <v>1372172.3</v>
      </c>
      <c r="L593" s="16">
        <v>90395.234750000003</v>
      </c>
      <c r="M593" s="17">
        <v>1390</v>
      </c>
      <c r="N593" s="14">
        <v>6.5199999999999994E-2</v>
      </c>
      <c r="O593" s="14">
        <v>6.5299999999999997E-2</v>
      </c>
      <c r="P593" s="18">
        <f>IF(OR(N593="",O593="",N593=0,O593=0),"",(O593-N593)/((O593+N593)/2))</f>
        <v>1.532567049808473E-3</v>
      </c>
      <c r="Q593" s="14">
        <v>6.5877469999999994E-2</v>
      </c>
      <c r="R593" s="14">
        <v>6.6799999999999998E-2</v>
      </c>
      <c r="S593" s="14">
        <v>6.5100000000000005E-2</v>
      </c>
      <c r="T593" s="12">
        <v>46236.012323622686</v>
      </c>
      <c r="U593" s="12">
        <v>46237.012323622686</v>
      </c>
      <c r="V593" s="14">
        <v>5</v>
      </c>
      <c r="W593" s="14">
        <v>0.1</v>
      </c>
      <c r="X593" s="14">
        <v>0.1</v>
      </c>
      <c r="Y593" s="14">
        <v>1E-4</v>
      </c>
      <c r="Z593" s="10" t="str">
        <f>IF(AND(D593="TRADING",I593&lt;&gt;"",L593&lt;&gt;"",M593&lt;&gt;"",N593&lt;&gt;"",O593&lt;&gt;""),"Yes","No")</f>
        <v>Yes</v>
      </c>
      <c r="AA593" s="10" t="s">
        <v>56</v>
      </c>
    </row>
    <row r="594" spans="1:27">
      <c r="A594" s="10" t="s">
        <v>1407</v>
      </c>
      <c r="B594" s="10" t="s">
        <v>1408</v>
      </c>
      <c r="C594" s="10" t="s">
        <v>12</v>
      </c>
      <c r="D594" s="10" t="s">
        <v>55</v>
      </c>
      <c r="E594" s="11" t="b">
        <v>1</v>
      </c>
      <c r="F594" s="12">
        <v>45947</v>
      </c>
      <c r="G594" s="12">
        <v>45947.999999988424</v>
      </c>
      <c r="H594" s="13">
        <f>IF(F594="","",(Summary!$B$5-F594)/365.25)</f>
        <v>0.79401092763708403</v>
      </c>
      <c r="I594" s="14">
        <v>0.1216</v>
      </c>
      <c r="J594" s="15">
        <v>4.0209999999999996E-2</v>
      </c>
      <c r="K594" s="16">
        <v>13599835</v>
      </c>
      <c r="L594" s="16">
        <v>1665621.7505399999</v>
      </c>
      <c r="M594" s="17">
        <v>46636</v>
      </c>
      <c r="N594" s="14">
        <v>0.1215</v>
      </c>
      <c r="O594" s="14">
        <v>0.1216</v>
      </c>
      <c r="P594" s="18">
        <f>IF(OR(N594="",O594="",N594=0,O594=0),"",(O594-N594)/((O594+N594)/2))</f>
        <v>8.2270670505966981E-4</v>
      </c>
      <c r="Q594" s="14">
        <v>0.12247367000000001</v>
      </c>
      <c r="R594" s="14">
        <v>0.127</v>
      </c>
      <c r="S594" s="14">
        <v>0.1166</v>
      </c>
      <c r="T594" s="12">
        <v>46236.012455254633</v>
      </c>
      <c r="U594" s="12">
        <v>46237.012455254633</v>
      </c>
      <c r="V594" s="14">
        <v>5</v>
      </c>
      <c r="W594" s="14">
        <v>0.1</v>
      </c>
      <c r="X594" s="14">
        <v>0.1</v>
      </c>
      <c r="Y594" s="14">
        <v>1E-4</v>
      </c>
      <c r="Z594" s="10" t="str">
        <f>IF(AND(D594="TRADING",I594&lt;&gt;"",L594&lt;&gt;"",M594&lt;&gt;"",N594&lt;&gt;"",O594&lt;&gt;""),"Yes","No")</f>
        <v>Yes</v>
      </c>
      <c r="AA594" s="10" t="s">
        <v>56</v>
      </c>
    </row>
    <row r="595" spans="1:27">
      <c r="A595" s="10" t="s">
        <v>1261</v>
      </c>
      <c r="B595" s="10" t="s">
        <v>1262</v>
      </c>
      <c r="C595" s="10" t="s">
        <v>12</v>
      </c>
      <c r="D595" s="10" t="s">
        <v>55</v>
      </c>
      <c r="E595" s="11" t="b">
        <v>1</v>
      </c>
      <c r="F595" s="12">
        <v>45952</v>
      </c>
      <c r="G595" s="12">
        <v>45952.999999988424</v>
      </c>
      <c r="H595" s="13">
        <f>IF(F595="","",(Summary!$B$5-F595)/365.25)</f>
        <v>0.78032167370142358</v>
      </c>
      <c r="I595" s="14">
        <v>4.3299999999999998E-2</v>
      </c>
      <c r="J595" s="15">
        <v>-1.814E-2</v>
      </c>
      <c r="K595" s="16">
        <v>3298728.5</v>
      </c>
      <c r="L595" s="16">
        <v>143535.05282000001</v>
      </c>
      <c r="M595" s="17">
        <v>2082</v>
      </c>
      <c r="N595" s="14">
        <v>4.3200000000000002E-2</v>
      </c>
      <c r="O595" s="14">
        <v>4.3299999999999998E-2</v>
      </c>
      <c r="P595" s="18">
        <f>IF(OR(N595="",O595="",N595=0,O595=0),"",(O595-N595)/((O595+N595)/2))</f>
        <v>2.3121387283236055E-3</v>
      </c>
      <c r="Q595" s="14">
        <v>4.3512240000000001E-2</v>
      </c>
      <c r="R595" s="14">
        <v>4.4900000000000002E-2</v>
      </c>
      <c r="S595" s="14">
        <v>4.24E-2</v>
      </c>
      <c r="T595" s="12">
        <v>46236.012477187498</v>
      </c>
      <c r="U595" s="12">
        <v>46237.012477187498</v>
      </c>
      <c r="V595" s="14">
        <v>5</v>
      </c>
      <c r="W595" s="14">
        <v>0.1</v>
      </c>
      <c r="X595" s="14">
        <v>0.1</v>
      </c>
      <c r="Y595" s="14">
        <v>1E-4</v>
      </c>
      <c r="Z595" s="10" t="str">
        <f>IF(AND(D595="TRADING",I595&lt;&gt;"",L595&lt;&gt;"",M595&lt;&gt;"",N595&lt;&gt;"",O595&lt;&gt;""),"Yes","No")</f>
        <v>Yes</v>
      </c>
      <c r="AA595" s="10" t="s">
        <v>56</v>
      </c>
    </row>
    <row r="596" spans="1:27">
      <c r="A596" s="10" t="s">
        <v>562</v>
      </c>
      <c r="B596" s="10" t="s">
        <v>563</v>
      </c>
      <c r="C596" s="10" t="s">
        <v>12</v>
      </c>
      <c r="D596" s="10" t="s">
        <v>55</v>
      </c>
      <c r="E596" s="11" t="b">
        <v>1</v>
      </c>
      <c r="F596" s="12">
        <v>45955</v>
      </c>
      <c r="G596" s="12">
        <v>45955.999999988424</v>
      </c>
      <c r="H596" s="13">
        <f>IF(F596="","",(Summary!$B$5-F596)/365.25)</f>
        <v>0.77210812134002726</v>
      </c>
      <c r="I596" s="14">
        <v>2.8300000000000001E-3</v>
      </c>
      <c r="J596" s="15">
        <v>-3.5199999999999997E-3</v>
      </c>
      <c r="K596" s="16">
        <v>23369866</v>
      </c>
      <c r="L596" s="16">
        <v>66131.329370000007</v>
      </c>
      <c r="M596" s="17">
        <v>1322</v>
      </c>
      <c r="N596" s="14">
        <v>2.82E-3</v>
      </c>
      <c r="O596" s="14">
        <v>2.8300000000000001E-3</v>
      </c>
      <c r="P596" s="18">
        <f>IF(OR(N596="",O596="",N596=0,O596=0),"",(O596-N596)/((O596+N596)/2))</f>
        <v>3.5398230088495666E-3</v>
      </c>
      <c r="Q596" s="14">
        <v>2.8297700000000001E-3</v>
      </c>
      <c r="R596" s="14">
        <v>2.8700000000000002E-3</v>
      </c>
      <c r="S596" s="14">
        <v>2.7799999999999999E-3</v>
      </c>
      <c r="T596" s="12">
        <v>46236.012340335648</v>
      </c>
      <c r="U596" s="12">
        <v>46237.012340335648</v>
      </c>
      <c r="V596" s="14">
        <v>5</v>
      </c>
      <c r="W596" s="14">
        <v>1</v>
      </c>
      <c r="X596" s="14">
        <v>1</v>
      </c>
      <c r="Y596" s="14">
        <v>1.0000000000000001E-5</v>
      </c>
      <c r="Z596" s="10" t="str">
        <f>IF(AND(D596="TRADING",I596&lt;&gt;"",L596&lt;&gt;"",M596&lt;&gt;"",N596&lt;&gt;"",O596&lt;&gt;""),"Yes","No")</f>
        <v>Yes</v>
      </c>
      <c r="AA596" s="10" t="s">
        <v>56</v>
      </c>
    </row>
    <row r="597" spans="1:27">
      <c r="A597" s="10" t="s">
        <v>580</v>
      </c>
      <c r="B597" s="10" t="s">
        <v>581</v>
      </c>
      <c r="C597" s="10" t="s">
        <v>12</v>
      </c>
      <c r="D597" s="10" t="s">
        <v>55</v>
      </c>
      <c r="E597" s="11" t="b">
        <v>1</v>
      </c>
      <c r="F597" s="12">
        <v>45955</v>
      </c>
      <c r="G597" s="12">
        <v>45955.999999988424</v>
      </c>
      <c r="H597" s="13">
        <f>IF(F597="","",(Summary!$B$5-F597)/365.25)</f>
        <v>0.77210812134002726</v>
      </c>
      <c r="I597" s="14">
        <v>41.2</v>
      </c>
      <c r="J597" s="15">
        <v>-3.2410000000000001E-2</v>
      </c>
      <c r="K597" s="16">
        <v>411754.77299999999</v>
      </c>
      <c r="L597" s="16">
        <v>17526784.65185</v>
      </c>
      <c r="M597" s="17">
        <v>392405</v>
      </c>
      <c r="N597" s="14">
        <v>41.19</v>
      </c>
      <c r="O597" s="14">
        <v>41.22</v>
      </c>
      <c r="P597" s="18">
        <f>IF(OR(N597="",O597="",N597=0,O597=0),"",(O597-N597)/((O597+N597)/2))</f>
        <v>7.2806698216238655E-4</v>
      </c>
      <c r="Q597" s="14">
        <v>42.566075249999997</v>
      </c>
      <c r="R597" s="14">
        <v>45.79</v>
      </c>
      <c r="S597" s="14">
        <v>39.450000000000003</v>
      </c>
      <c r="T597" s="12">
        <v>46236.012481284721</v>
      </c>
      <c r="U597" s="12">
        <v>46237.012481284721</v>
      </c>
      <c r="V597" s="14">
        <v>1</v>
      </c>
      <c r="W597" s="14">
        <v>1E-3</v>
      </c>
      <c r="X597" s="14">
        <v>1E-3</v>
      </c>
      <c r="Y597" s="14">
        <v>0.01</v>
      </c>
      <c r="Z597" s="10" t="str">
        <f>IF(AND(D597="TRADING",I597&lt;&gt;"",L597&lt;&gt;"",M597&lt;&gt;"",N597&lt;&gt;"",O597&lt;&gt;""),"Yes","No")</f>
        <v>Yes</v>
      </c>
      <c r="AA597" s="10" t="s">
        <v>56</v>
      </c>
    </row>
    <row r="598" spans="1:27">
      <c r="A598" s="10" t="s">
        <v>718</v>
      </c>
      <c r="B598" s="10" t="s">
        <v>719</v>
      </c>
      <c r="C598" s="10" t="s">
        <v>12</v>
      </c>
      <c r="D598" s="10" t="s">
        <v>55</v>
      </c>
      <c r="E598" s="11" t="b">
        <v>1</v>
      </c>
      <c r="F598" s="12">
        <v>45964</v>
      </c>
      <c r="G598" s="12">
        <v>45964.999999988424</v>
      </c>
      <c r="H598" s="13">
        <f>IF(F598="","",(Summary!$B$5-F598)/365.25)</f>
        <v>0.74746746425583832</v>
      </c>
      <c r="I598" s="14">
        <v>9.3299999999999994E-2</v>
      </c>
      <c r="J598" s="15">
        <v>-1.478E-2</v>
      </c>
      <c r="K598" s="16">
        <v>16179310.1</v>
      </c>
      <c r="L598" s="16">
        <v>1526839.3713499999</v>
      </c>
      <c r="M598" s="17">
        <v>30852</v>
      </c>
      <c r="N598" s="14">
        <v>9.3299999999999994E-2</v>
      </c>
      <c r="O598" s="14">
        <v>9.3399999999999997E-2</v>
      </c>
      <c r="P598" s="18">
        <f>IF(OR(N598="",O598="",N598=0,O598=0),"",(O598-N598)/((O598+N598)/2))</f>
        <v>1.071237279057342E-3</v>
      </c>
      <c r="Q598" s="14">
        <v>9.4369869999999995E-2</v>
      </c>
      <c r="R598" s="14">
        <v>9.6299999999999997E-2</v>
      </c>
      <c r="S598" s="14">
        <v>9.2799999999999994E-2</v>
      </c>
      <c r="T598" s="12">
        <v>46236.012421631945</v>
      </c>
      <c r="U598" s="12">
        <v>46237.012421631945</v>
      </c>
      <c r="V598" s="14">
        <v>5</v>
      </c>
      <c r="W598" s="14">
        <v>0.1</v>
      </c>
      <c r="X598" s="14">
        <v>0.1</v>
      </c>
      <c r="Y598" s="14">
        <v>1E-4</v>
      </c>
      <c r="Z598" s="10" t="str">
        <f>IF(AND(D598="TRADING",I598&lt;&gt;"",L598&lt;&gt;"",M598&lt;&gt;"",N598&lt;&gt;"",O598&lt;&gt;""),"Yes","No")</f>
        <v>Yes</v>
      </c>
      <c r="AA598" s="10" t="s">
        <v>56</v>
      </c>
    </row>
    <row r="599" spans="1:27">
      <c r="A599" s="10" t="s">
        <v>834</v>
      </c>
      <c r="B599" s="10" t="s">
        <v>835</v>
      </c>
      <c r="C599" s="10" t="s">
        <v>12</v>
      </c>
      <c r="D599" s="10" t="s">
        <v>55</v>
      </c>
      <c r="E599" s="11" t="b">
        <v>1</v>
      </c>
      <c r="F599" s="12">
        <v>45965</v>
      </c>
      <c r="G599" s="12">
        <v>45965.999999988424</v>
      </c>
      <c r="H599" s="13">
        <f>IF(F599="","",(Summary!$B$5-F599)/365.25)</f>
        <v>0.74472961346870625</v>
      </c>
      <c r="I599" s="14">
        <v>0.1585</v>
      </c>
      <c r="J599" s="15">
        <v>-0.14232</v>
      </c>
      <c r="K599" s="16">
        <v>19069547.5</v>
      </c>
      <c r="L599" s="16">
        <v>3322433.83696</v>
      </c>
      <c r="M599" s="17">
        <v>55884</v>
      </c>
      <c r="N599" s="14">
        <v>0.15840000000000001</v>
      </c>
      <c r="O599" s="14">
        <v>0.1585</v>
      </c>
      <c r="P599" s="18">
        <f>IF(OR(N599="",O599="",N599=0,O599=0),"",(O599-N599)/((O599+N599)/2))</f>
        <v>6.3111391606177959E-4</v>
      </c>
      <c r="Q599" s="14">
        <v>0.1742272</v>
      </c>
      <c r="R599" s="14">
        <v>0.187</v>
      </c>
      <c r="S599" s="14">
        <v>0.15690000000000001</v>
      </c>
      <c r="T599" s="12">
        <v>46236.012474895833</v>
      </c>
      <c r="U599" s="12">
        <v>46237.012474895833</v>
      </c>
      <c r="V599" s="14">
        <v>5</v>
      </c>
      <c r="W599" s="14">
        <v>0.1</v>
      </c>
      <c r="X599" s="14">
        <v>0.1</v>
      </c>
      <c r="Y599" s="14">
        <v>1E-4</v>
      </c>
      <c r="Z599" s="10" t="str">
        <f>IF(AND(D599="TRADING",I599&lt;&gt;"",L599&lt;&gt;"",M599&lt;&gt;"",N599&lt;&gt;"",O599&lt;&gt;""),"Yes","No")</f>
        <v>Yes</v>
      </c>
      <c r="AA599" s="10" t="s">
        <v>56</v>
      </c>
    </row>
    <row r="600" spans="1:27">
      <c r="A600" s="10" t="s">
        <v>1104</v>
      </c>
      <c r="B600" s="10" t="s">
        <v>1105</v>
      </c>
      <c r="C600" s="10" t="s">
        <v>12</v>
      </c>
      <c r="D600" s="10" t="s">
        <v>55</v>
      </c>
      <c r="E600" s="11" t="b">
        <v>1</v>
      </c>
      <c r="F600" s="12">
        <v>45967</v>
      </c>
      <c r="G600" s="12">
        <v>45967.999999988424</v>
      </c>
      <c r="H600" s="13">
        <f>IF(F600="","",(Summary!$B$5-F600)/365.25)</f>
        <v>0.73925391189444201</v>
      </c>
      <c r="I600" s="14">
        <v>8.0799999999999997E-2</v>
      </c>
      <c r="J600" s="15">
        <v>-7.3699999999999998E-3</v>
      </c>
      <c r="K600" s="16">
        <v>2594708</v>
      </c>
      <c r="L600" s="16">
        <v>210766.35602000001</v>
      </c>
      <c r="M600" s="17">
        <v>3206</v>
      </c>
      <c r="N600" s="14">
        <v>8.0699999999999994E-2</v>
      </c>
      <c r="O600" s="14">
        <v>8.0799999999999997E-2</v>
      </c>
      <c r="P600" s="18">
        <f>IF(OR(N600="",O600="",N600=0,O600=0),"",(O600-N600)/((O600+N600)/2))</f>
        <v>1.2383900928792926E-3</v>
      </c>
      <c r="Q600" s="14">
        <v>8.1229319999999994E-2</v>
      </c>
      <c r="R600" s="14">
        <v>8.3299999999999999E-2</v>
      </c>
      <c r="S600" s="14">
        <v>7.9699999999999993E-2</v>
      </c>
      <c r="T600" s="12">
        <v>46236.012386712966</v>
      </c>
      <c r="U600" s="12">
        <v>46237.012386712966</v>
      </c>
      <c r="V600" s="14">
        <v>5</v>
      </c>
      <c r="W600" s="14">
        <v>0.1</v>
      </c>
      <c r="X600" s="14">
        <v>0.1</v>
      </c>
      <c r="Y600" s="14">
        <v>1E-4</v>
      </c>
      <c r="Z600" s="10" t="str">
        <f>IF(AND(D600="TRADING",I600&lt;&gt;"",L600&lt;&gt;"",M600&lt;&gt;"",N600&lt;&gt;"",O600&lt;&gt;""),"Yes","No")</f>
        <v>Yes</v>
      </c>
      <c r="AA600" s="10" t="s">
        <v>56</v>
      </c>
    </row>
    <row r="601" spans="1:27">
      <c r="A601" s="10" t="s">
        <v>135</v>
      </c>
      <c r="B601" s="10" t="s">
        <v>136</v>
      </c>
      <c r="C601" s="10" t="s">
        <v>12</v>
      </c>
      <c r="D601" s="10" t="s">
        <v>55</v>
      </c>
      <c r="E601" s="11" t="b">
        <v>1</v>
      </c>
      <c r="F601" s="12">
        <v>45972</v>
      </c>
      <c r="G601" s="12">
        <v>45972.999999988424</v>
      </c>
      <c r="H601" s="13">
        <f>IF(F601="","",(Summary!$B$5-F601)/365.25)</f>
        <v>0.72556465795878156</v>
      </c>
      <c r="I601" s="14">
        <v>0.25290000000000001</v>
      </c>
      <c r="J601" s="15">
        <v>-5.2809999999999996E-2</v>
      </c>
      <c r="K601" s="16">
        <v>6289151</v>
      </c>
      <c r="L601" s="16">
        <v>1621576.9236300001</v>
      </c>
      <c r="M601" s="17">
        <v>48671</v>
      </c>
      <c r="N601" s="14">
        <v>0.25280000000000002</v>
      </c>
      <c r="O601" s="14">
        <v>0.25290000000000001</v>
      </c>
      <c r="P601" s="18">
        <f>IF(OR(N601="",O601="",N601=0,O601=0),"",(O601-N601)/((O601+N601)/2))</f>
        <v>3.9549139806204859E-4</v>
      </c>
      <c r="Q601" s="14">
        <v>0.25783717</v>
      </c>
      <c r="R601" s="14">
        <v>0.27560000000000001</v>
      </c>
      <c r="S601" s="14">
        <v>0.24940000000000001</v>
      </c>
      <c r="T601" s="12">
        <v>46236.01244244213</v>
      </c>
      <c r="U601" s="12">
        <v>46237.01244244213</v>
      </c>
      <c r="V601" s="14">
        <v>5</v>
      </c>
      <c r="W601" s="14">
        <v>0.1</v>
      </c>
      <c r="X601" s="14">
        <v>0.1</v>
      </c>
      <c r="Y601" s="14">
        <v>1E-4</v>
      </c>
      <c r="Z601" s="10" t="str">
        <f>IF(AND(D601="TRADING",I601&lt;&gt;"",L601&lt;&gt;"",M601&lt;&gt;"",N601&lt;&gt;"",O601&lt;&gt;""),"Yes","No")</f>
        <v>Yes</v>
      </c>
      <c r="AA601" s="10" t="s">
        <v>56</v>
      </c>
    </row>
    <row r="602" spans="1:27">
      <c r="A602" s="10" t="s">
        <v>243</v>
      </c>
      <c r="B602" s="10" t="s">
        <v>244</v>
      </c>
      <c r="C602" s="10" t="s">
        <v>12</v>
      </c>
      <c r="D602" s="10" t="s">
        <v>55</v>
      </c>
      <c r="E602" s="11" t="b">
        <v>1</v>
      </c>
      <c r="F602" s="12">
        <v>45974</v>
      </c>
      <c r="G602" s="12">
        <v>45974.999999988424</v>
      </c>
      <c r="H602" s="13">
        <f>IF(F602="","",(Summary!$B$5-F602)/365.25)</f>
        <v>0.72008895638451731</v>
      </c>
      <c r="I602" s="14">
        <v>4.4999999999999998E-2</v>
      </c>
      <c r="J602" s="15">
        <v>-0.11936999999999999</v>
      </c>
      <c r="K602" s="16">
        <v>254195415</v>
      </c>
      <c r="L602" s="16">
        <v>12215106.297350001</v>
      </c>
      <c r="M602" s="17">
        <v>84775</v>
      </c>
      <c r="N602" s="14">
        <v>4.4999999999999998E-2</v>
      </c>
      <c r="O602" s="14">
        <v>4.5100000000000001E-2</v>
      </c>
      <c r="P602" s="18">
        <f>IF(OR(N602="",O602="",N602=0,O602=0),"",(O602-N602)/((O602+N602)/2))</f>
        <v>2.2197558268591093E-3</v>
      </c>
      <c r="Q602" s="14">
        <v>4.8053999999999999E-2</v>
      </c>
      <c r="R602" s="14">
        <v>5.11E-2</v>
      </c>
      <c r="S602" s="14">
        <v>4.3900000000000002E-2</v>
      </c>
      <c r="T602" s="12">
        <v>46236.012476099539</v>
      </c>
      <c r="U602" s="12">
        <v>46237.012476099539</v>
      </c>
      <c r="V602" s="14">
        <v>5</v>
      </c>
      <c r="W602" s="14">
        <v>0.1</v>
      </c>
      <c r="X602" s="14">
        <v>0.1</v>
      </c>
      <c r="Y602" s="14">
        <v>1E-4</v>
      </c>
      <c r="Z602" s="10" t="str">
        <f>IF(AND(D602="TRADING",I602&lt;&gt;"",L602&lt;&gt;"",M602&lt;&gt;"",N602&lt;&gt;"",O602&lt;&gt;""),"Yes","No")</f>
        <v>Yes</v>
      </c>
      <c r="AA602" s="10" t="s">
        <v>56</v>
      </c>
    </row>
    <row r="603" spans="1:27">
      <c r="A603" s="10" t="s">
        <v>814</v>
      </c>
      <c r="B603" s="10" t="s">
        <v>815</v>
      </c>
      <c r="C603" s="10" t="s">
        <v>12</v>
      </c>
      <c r="D603" s="10" t="s">
        <v>55</v>
      </c>
      <c r="E603" s="11" t="b">
        <v>1</v>
      </c>
      <c r="F603" s="12">
        <v>45974</v>
      </c>
      <c r="G603" s="12">
        <v>45974.999999988424</v>
      </c>
      <c r="H603" s="13">
        <f>IF(F603="","",(Summary!$B$5-F603)/365.25)</f>
        <v>0.72008895638451731</v>
      </c>
      <c r="I603" s="14">
        <v>0.16350000000000001</v>
      </c>
      <c r="J603" s="15">
        <v>-3.5970000000000002E-2</v>
      </c>
      <c r="K603" s="16">
        <v>2410715.7000000002</v>
      </c>
      <c r="L603" s="16">
        <v>394942.79269999999</v>
      </c>
      <c r="M603" s="17">
        <v>4339</v>
      </c>
      <c r="N603" s="14">
        <v>0.16339999999999999</v>
      </c>
      <c r="O603" s="14">
        <v>0.1636</v>
      </c>
      <c r="P603" s="18">
        <f>IF(OR(N603="",O603="",N603=0,O603=0),"",(O603-N603)/((O603+N603)/2))</f>
        <v>1.2232415902141025E-3</v>
      </c>
      <c r="Q603" s="14">
        <v>0.16382803000000001</v>
      </c>
      <c r="R603" s="14">
        <v>0.16969999999999999</v>
      </c>
      <c r="S603" s="14">
        <v>0.16020000000000001</v>
      </c>
      <c r="T603" s="12">
        <v>46236.012431469906</v>
      </c>
      <c r="U603" s="12">
        <v>46237.012431469906</v>
      </c>
      <c r="V603" s="14">
        <v>5</v>
      </c>
      <c r="W603" s="14">
        <v>0.1</v>
      </c>
      <c r="X603" s="14">
        <v>0.1</v>
      </c>
      <c r="Y603" s="14">
        <v>1E-4</v>
      </c>
      <c r="Z603" s="10" t="str">
        <f>IF(AND(D603="TRADING",I603&lt;&gt;"",L603&lt;&gt;"",M603&lt;&gt;"",N603&lt;&gt;"",O603&lt;&gt;""),"Yes","No")</f>
        <v>Yes</v>
      </c>
      <c r="AA603" s="10" t="s">
        <v>56</v>
      </c>
    </row>
    <row r="604" spans="1:27">
      <c r="A604" s="10" t="s">
        <v>63</v>
      </c>
      <c r="B604" s="10" t="s">
        <v>64</v>
      </c>
      <c r="C604" s="10" t="s">
        <v>10</v>
      </c>
      <c r="D604" s="10" t="s">
        <v>55</v>
      </c>
      <c r="E604" s="11" t="b">
        <v>1</v>
      </c>
      <c r="F604" s="12">
        <v>45979</v>
      </c>
      <c r="G604" s="12">
        <v>45979.999999988424</v>
      </c>
      <c r="H604" s="13">
        <f>IF(F604="","",(Summary!$B$5-F604)/365.25)</f>
        <v>0.70639970244885686</v>
      </c>
      <c r="I604" s="14">
        <v>0.99995000000000001</v>
      </c>
      <c r="J604" s="15">
        <v>-8.9999999999999992E-5</v>
      </c>
      <c r="K604" s="16">
        <v>4833724</v>
      </c>
      <c r="L604" s="16">
        <v>4834040.5607399996</v>
      </c>
      <c r="M604" s="17">
        <v>34269</v>
      </c>
      <c r="N604" s="14">
        <v>0.99994000000000005</v>
      </c>
      <c r="O604" s="14">
        <v>0.99995000000000001</v>
      </c>
      <c r="P604" s="18">
        <f>IF(OR(N604="",O604="",N604=0,O604=0),"",(O604-N604)/((O604+N604)/2))</f>
        <v>1.0000550030206151E-5</v>
      </c>
      <c r="Q604" s="14">
        <v>1.0000654899999999</v>
      </c>
      <c r="R604" s="14">
        <v>1.0004</v>
      </c>
      <c r="S604" s="14">
        <v>0.99990999999999997</v>
      </c>
      <c r="T604" s="12">
        <v>46236.012265868056</v>
      </c>
      <c r="U604" s="12">
        <v>46237.012265868056</v>
      </c>
      <c r="V604" s="14">
        <v>5</v>
      </c>
      <c r="W604" s="14">
        <v>1</v>
      </c>
      <c r="X604" s="14">
        <v>1</v>
      </c>
      <c r="Y604" s="14">
        <v>1.0000000000000001E-5</v>
      </c>
      <c r="Z604" s="10" t="str">
        <f>IF(AND(D604="TRADING",I604&lt;&gt;"",L604&lt;&gt;"",M604&lt;&gt;"",N604&lt;&gt;"",O604&lt;&gt;""),"Yes","No")</f>
        <v>Yes</v>
      </c>
      <c r="AA604" s="10" t="s">
        <v>56</v>
      </c>
    </row>
    <row r="605" spans="1:27">
      <c r="A605" s="10" t="s">
        <v>65</v>
      </c>
      <c r="B605" s="10" t="s">
        <v>12</v>
      </c>
      <c r="C605" s="10" t="s">
        <v>10</v>
      </c>
      <c r="D605" s="10" t="s">
        <v>55</v>
      </c>
      <c r="E605" s="11" t="b">
        <v>1</v>
      </c>
      <c r="F605" s="12">
        <v>45979</v>
      </c>
      <c r="G605" s="12">
        <v>45979.999999988424</v>
      </c>
      <c r="H605" s="13">
        <f>IF(F605="","",(Summary!$B$5-F605)/365.25)</f>
        <v>0.70639970244885686</v>
      </c>
      <c r="I605" s="14">
        <v>0.999</v>
      </c>
      <c r="J605" s="15">
        <v>-2.5999999999999998E-4</v>
      </c>
      <c r="K605" s="16">
        <v>13051014</v>
      </c>
      <c r="L605" s="16">
        <v>13040966.67711</v>
      </c>
      <c r="M605" s="17">
        <v>50130</v>
      </c>
      <c r="N605" s="14">
        <v>0.99899000000000004</v>
      </c>
      <c r="O605" s="14">
        <v>0.999</v>
      </c>
      <c r="P605" s="18">
        <f>IF(OR(N605="",O605="",N605=0,O605=0),"",(O605-N605)/((O605+N605)/2))</f>
        <v>1.0010060110365406E-5</v>
      </c>
      <c r="Q605" s="14">
        <v>0.99923015000000004</v>
      </c>
      <c r="R605" s="14">
        <v>0.99953000000000003</v>
      </c>
      <c r="S605" s="14">
        <v>0.99897000000000002</v>
      </c>
      <c r="T605" s="12">
        <v>46236.012476446762</v>
      </c>
      <c r="U605" s="12">
        <v>46237.012476446762</v>
      </c>
      <c r="V605" s="14">
        <v>5</v>
      </c>
      <c r="W605" s="14">
        <v>1</v>
      </c>
      <c r="X605" s="14">
        <v>1</v>
      </c>
      <c r="Y605" s="14">
        <v>1.0000000000000001E-5</v>
      </c>
      <c r="Z605" s="10" t="str">
        <f>IF(AND(D605="TRADING",I605&lt;&gt;"",L605&lt;&gt;"",M605&lt;&gt;"",N605&lt;&gt;"",O605&lt;&gt;""),"Yes","No")</f>
        <v>Yes</v>
      </c>
      <c r="AA605" s="10" t="s">
        <v>56</v>
      </c>
    </row>
    <row r="606" spans="1:27">
      <c r="A606" s="10" t="s">
        <v>199</v>
      </c>
      <c r="B606" s="10" t="s">
        <v>200</v>
      </c>
      <c r="C606" s="10" t="s">
        <v>12</v>
      </c>
      <c r="D606" s="10" t="s">
        <v>55</v>
      </c>
      <c r="E606" s="11" t="b">
        <v>1</v>
      </c>
      <c r="F606" s="12">
        <v>45988</v>
      </c>
      <c r="G606" s="12">
        <v>45988.999999988424</v>
      </c>
      <c r="H606" s="13">
        <f>IF(F606="","",(Summary!$B$5-F606)/365.25)</f>
        <v>0.68175904536466791</v>
      </c>
      <c r="I606" s="14">
        <v>0.13519999999999999</v>
      </c>
      <c r="J606" s="15">
        <v>-5.3879999999999997E-2</v>
      </c>
      <c r="K606" s="16">
        <v>1392529.1</v>
      </c>
      <c r="L606" s="16">
        <v>192963.81549000001</v>
      </c>
      <c r="M606" s="17">
        <v>5001</v>
      </c>
      <c r="N606" s="14">
        <v>0.13489999999999999</v>
      </c>
      <c r="O606" s="14">
        <v>0.1351</v>
      </c>
      <c r="P606" s="18">
        <f>IF(OR(N606="",O606="",N606=0,O606=0),"",(O606-N606)/((O606+N606)/2))</f>
        <v>1.4814814814815239E-3</v>
      </c>
      <c r="Q606" s="14">
        <v>0.13857075999999999</v>
      </c>
      <c r="R606" s="14">
        <v>0.1434</v>
      </c>
      <c r="S606" s="14">
        <v>0.1348</v>
      </c>
      <c r="T606" s="12">
        <v>46236.012416041667</v>
      </c>
      <c r="U606" s="12">
        <v>46237.012416041667</v>
      </c>
      <c r="V606" s="14">
        <v>5</v>
      </c>
      <c r="W606" s="14">
        <v>0.1</v>
      </c>
      <c r="X606" s="14">
        <v>0.1</v>
      </c>
      <c r="Y606" s="14">
        <v>1E-4</v>
      </c>
      <c r="Z606" s="10" t="str">
        <f>IF(AND(D606="TRADING",I606&lt;&gt;"",L606&lt;&gt;"",M606&lt;&gt;"",N606&lt;&gt;"",O606&lt;&gt;""),"Yes","No")</f>
        <v>Yes</v>
      </c>
      <c r="AA606" s="10" t="s">
        <v>56</v>
      </c>
    </row>
    <row r="607" spans="1:27">
      <c r="A607" s="10" t="s">
        <v>57</v>
      </c>
      <c r="B607" s="10" t="s">
        <v>58</v>
      </c>
      <c r="C607" s="10" t="s">
        <v>10</v>
      </c>
      <c r="D607" s="10" t="s">
        <v>55</v>
      </c>
      <c r="E607" s="11" t="b">
        <v>1</v>
      </c>
      <c r="F607" s="12">
        <v>45995</v>
      </c>
      <c r="G607" s="12">
        <v>45995.999999988424</v>
      </c>
      <c r="H607" s="13">
        <f>IF(F607="","",(Summary!$B$5-F607)/365.25)</f>
        <v>0.66259408985474322</v>
      </c>
      <c r="I607" s="14">
        <v>63377.33</v>
      </c>
      <c r="J607" s="15">
        <v>8.9600000000000009E-3</v>
      </c>
      <c r="K607" s="16">
        <v>3.6168100000000001</v>
      </c>
      <c r="L607" s="16">
        <v>229351.93703550001</v>
      </c>
      <c r="M607" s="17">
        <v>2050</v>
      </c>
      <c r="N607" s="14">
        <v>63357.01</v>
      </c>
      <c r="O607" s="14">
        <v>63383.56</v>
      </c>
      <c r="P607" s="18">
        <f>IF(OR(N607="",O607="",N607=0,O607=0),"",(O607-N607)/((O607+N607)/2))</f>
        <v>4.1896608165791952E-4</v>
      </c>
      <c r="Q607" s="14">
        <v>63412.768996849998</v>
      </c>
      <c r="R607" s="14">
        <v>63752.94</v>
      </c>
      <c r="S607" s="14">
        <v>62772.01</v>
      </c>
      <c r="T607" s="12">
        <v>46236.012479930556</v>
      </c>
      <c r="U607" s="12">
        <v>46237.012479930556</v>
      </c>
      <c r="V607" s="14">
        <v>5</v>
      </c>
      <c r="W607" s="14">
        <v>1.0000000000000001E-5</v>
      </c>
      <c r="X607" s="14">
        <v>1.0000000000000001E-5</v>
      </c>
      <c r="Y607" s="14">
        <v>0.01</v>
      </c>
      <c r="Z607" s="10" t="str">
        <f>IF(AND(D607="TRADING",I607&lt;&gt;"",L607&lt;&gt;"",M607&lt;&gt;"",N607&lt;&gt;"",O607&lt;&gt;""),"Yes","No")</f>
        <v>Yes</v>
      </c>
      <c r="AA607" s="10" t="s">
        <v>56</v>
      </c>
    </row>
    <row r="608" spans="1:27">
      <c r="A608" s="10" t="s">
        <v>716</v>
      </c>
      <c r="B608" s="10" t="s">
        <v>717</v>
      </c>
      <c r="C608" s="10" t="s">
        <v>12</v>
      </c>
      <c r="D608" s="10" t="s">
        <v>55</v>
      </c>
      <c r="E608" s="11" t="b">
        <v>1</v>
      </c>
      <c r="F608" s="12">
        <v>46015</v>
      </c>
      <c r="G608" s="12">
        <v>46015.999999988424</v>
      </c>
      <c r="H608" s="13">
        <f>IF(F608="","",(Summary!$B$5-F608)/365.25)</f>
        <v>0.60783707411210119</v>
      </c>
      <c r="I608" s="14">
        <v>1.1443999999999999E-2</v>
      </c>
      <c r="J608" s="15">
        <v>-8.9999999999999992E-5</v>
      </c>
      <c r="K608" s="16">
        <v>10275403</v>
      </c>
      <c r="L608" s="16">
        <v>117597.343725</v>
      </c>
      <c r="M608" s="17">
        <v>2939</v>
      </c>
      <c r="N608" s="14">
        <v>1.1443999999999999E-2</v>
      </c>
      <c r="O608" s="14">
        <v>1.1446E-2</v>
      </c>
      <c r="P608" s="18">
        <f>IF(OR(N608="",O608="",N608=0,O608=0),"",(O608-N608)/((O608+N608)/2))</f>
        <v>1.747487986020328E-4</v>
      </c>
      <c r="Q608" s="14">
        <v>1.144455E-2</v>
      </c>
      <c r="R608" s="14">
        <v>1.1446E-2</v>
      </c>
      <c r="S608" s="14">
        <v>1.1443E-2</v>
      </c>
      <c r="T608" s="12">
        <v>46236.004661284722</v>
      </c>
      <c r="U608" s="12">
        <v>46237.004661284722</v>
      </c>
      <c r="V608" s="14">
        <v>5</v>
      </c>
      <c r="W608" s="14">
        <v>1</v>
      </c>
      <c r="X608" s="14">
        <v>1</v>
      </c>
      <c r="Y608" s="14">
        <v>9.9999999999999995E-7</v>
      </c>
      <c r="Z608" s="10" t="str">
        <f>IF(AND(D608="TRADING",I608&lt;&gt;"",L608&lt;&gt;"",M608&lt;&gt;"",N608&lt;&gt;"",O608&lt;&gt;""),"Yes","No")</f>
        <v>Yes</v>
      </c>
      <c r="AA608" s="10" t="s">
        <v>56</v>
      </c>
    </row>
    <row r="609" spans="1:27">
      <c r="A609" s="10" t="s">
        <v>312</v>
      </c>
      <c r="B609" s="10" t="s">
        <v>313</v>
      </c>
      <c r="C609" s="10" t="s">
        <v>12</v>
      </c>
      <c r="D609" s="10" t="s">
        <v>55</v>
      </c>
      <c r="E609" s="11" t="b">
        <v>1</v>
      </c>
      <c r="F609" s="12">
        <v>46028</v>
      </c>
      <c r="G609" s="12">
        <v>46028.999999988424</v>
      </c>
      <c r="H609" s="13">
        <f>IF(F609="","",(Summary!$B$5-F609)/365.25)</f>
        <v>0.57224501387938387</v>
      </c>
      <c r="I609" s="14">
        <v>7.0000000000000007E-2</v>
      </c>
      <c r="J609" s="15">
        <v>-1.4079999999999999E-2</v>
      </c>
      <c r="K609" s="16">
        <v>788446.4</v>
      </c>
      <c r="L609" s="16">
        <v>55238.903530000003</v>
      </c>
      <c r="M609" s="17">
        <v>1188</v>
      </c>
      <c r="N609" s="14">
        <v>6.9900000000000004E-2</v>
      </c>
      <c r="O609" s="14">
        <v>7.0000000000000007E-2</v>
      </c>
      <c r="P609" s="18">
        <f>IF(OR(N609="",O609="",N609=0,O609=0),"",(O609-N609)/((O609+N609)/2))</f>
        <v>1.429592566118697E-3</v>
      </c>
      <c r="Q609" s="14">
        <v>7.0060440000000002E-2</v>
      </c>
      <c r="R609" s="14">
        <v>7.0999999999999994E-2</v>
      </c>
      <c r="S609" s="14">
        <v>6.9099999999999995E-2</v>
      </c>
      <c r="T609" s="12">
        <v>46236.012052939812</v>
      </c>
      <c r="U609" s="12">
        <v>46237.012052939812</v>
      </c>
      <c r="V609" s="14">
        <v>5</v>
      </c>
      <c r="W609" s="14">
        <v>0.1</v>
      </c>
      <c r="X609" s="14">
        <v>0.1</v>
      </c>
      <c r="Y609" s="14">
        <v>1E-4</v>
      </c>
      <c r="Z609" s="10" t="str">
        <f>IF(AND(D609="TRADING",I609&lt;&gt;"",L609&lt;&gt;"",M609&lt;&gt;"",N609&lt;&gt;"",O609&lt;&gt;""),"Yes","No")</f>
        <v>Yes</v>
      </c>
      <c r="AA609" s="10" t="s">
        <v>56</v>
      </c>
    </row>
    <row r="610" spans="1:27">
      <c r="A610" s="10" t="s">
        <v>1417</v>
      </c>
      <c r="B610" s="10" t="s">
        <v>1418</v>
      </c>
      <c r="C610" s="10" t="s">
        <v>12</v>
      </c>
      <c r="D610" s="10" t="s">
        <v>55</v>
      </c>
      <c r="E610" s="11" t="b">
        <v>1</v>
      </c>
      <c r="F610" s="12">
        <v>46029</v>
      </c>
      <c r="G610" s="12">
        <v>46029.999999988424</v>
      </c>
      <c r="H610" s="13">
        <f>IF(F610="","",(Summary!$B$5-F610)/365.25)</f>
        <v>0.5695071630922518</v>
      </c>
      <c r="I610" s="14">
        <v>4.5100000000000001E-2</v>
      </c>
      <c r="J610" s="15">
        <v>-2.1690000000000001E-2</v>
      </c>
      <c r="K610" s="16">
        <v>3195344.7</v>
      </c>
      <c r="L610" s="16">
        <v>145906.10372000001</v>
      </c>
      <c r="M610" s="17">
        <v>4294</v>
      </c>
      <c r="N610" s="14">
        <v>4.5100000000000001E-2</v>
      </c>
      <c r="O610" s="14">
        <v>4.53E-2</v>
      </c>
      <c r="P610" s="18">
        <f>IF(OR(N610="",O610="",N610=0,O610=0),"",(O610-N610)/((O610+N610)/2))</f>
        <v>4.42477876106192E-3</v>
      </c>
      <c r="Q610" s="14">
        <v>4.5662090000000002E-2</v>
      </c>
      <c r="R610" s="14">
        <v>4.6899999999999997E-2</v>
      </c>
      <c r="S610" s="14">
        <v>4.48E-2</v>
      </c>
      <c r="T610" s="12">
        <v>46236.012399976855</v>
      </c>
      <c r="U610" s="12">
        <v>46237.012399976855</v>
      </c>
      <c r="V610" s="14">
        <v>5</v>
      </c>
      <c r="W610" s="14">
        <v>0.1</v>
      </c>
      <c r="X610" s="14">
        <v>0.1</v>
      </c>
      <c r="Y610" s="14">
        <v>1E-4</v>
      </c>
      <c r="Z610" s="10" t="str">
        <f>IF(AND(D610="TRADING",I610&lt;&gt;"",L610&lt;&gt;"",M610&lt;&gt;"",N610&lt;&gt;"",O610&lt;&gt;""),"Yes","No")</f>
        <v>Yes</v>
      </c>
      <c r="AA610" s="10" t="s">
        <v>56</v>
      </c>
    </row>
    <row r="611" spans="1:27">
      <c r="A611" s="10" t="s">
        <v>1425</v>
      </c>
      <c r="B611" s="10" t="s">
        <v>1426</v>
      </c>
      <c r="C611" s="10" t="s">
        <v>12</v>
      </c>
      <c r="D611" s="10" t="s">
        <v>55</v>
      </c>
      <c r="E611" s="11" t="b">
        <v>1</v>
      </c>
      <c r="F611" s="12">
        <v>46029</v>
      </c>
      <c r="G611" s="12">
        <v>46029.999999988424</v>
      </c>
      <c r="H611" s="13">
        <f>IF(F611="","",(Summary!$B$5-F611)/365.25)</f>
        <v>0.5695071630922518</v>
      </c>
      <c r="I611" s="14">
        <v>0.5645</v>
      </c>
      <c r="J611" s="15">
        <v>-8.8489999999999999E-2</v>
      </c>
      <c r="K611" s="16">
        <v>4284531.5999999996</v>
      </c>
      <c r="L611" s="16">
        <v>2538247.4748800001</v>
      </c>
      <c r="M611" s="17">
        <v>25635</v>
      </c>
      <c r="N611" s="14">
        <v>0.56430000000000002</v>
      </c>
      <c r="O611" s="14">
        <v>0.5645</v>
      </c>
      <c r="P611" s="18">
        <f>IF(OR(N611="",O611="",N611=0,O611=0),"",(O611-N611)/((O611+N611)/2))</f>
        <v>3.543586109142062E-4</v>
      </c>
      <c r="Q611" s="14">
        <v>0.59242123000000002</v>
      </c>
      <c r="R611" s="14">
        <v>0.62839999999999996</v>
      </c>
      <c r="S611" s="14">
        <v>0.56340000000000001</v>
      </c>
      <c r="T611" s="12">
        <v>46236.012469861111</v>
      </c>
      <c r="U611" s="12">
        <v>46237.012469861111</v>
      </c>
      <c r="V611" s="14">
        <v>1</v>
      </c>
      <c r="W611" s="14">
        <v>0.1</v>
      </c>
      <c r="X611" s="14">
        <v>0.1</v>
      </c>
      <c r="Y611" s="14">
        <v>1E-4</v>
      </c>
      <c r="Z611" s="10" t="str">
        <f>IF(AND(D611="TRADING",I611&lt;&gt;"",L611&lt;&gt;"",M611&lt;&gt;"",N611&lt;&gt;"",O611&lt;&gt;""),"Yes","No")</f>
        <v>Yes</v>
      </c>
      <c r="AA611" s="10" t="s">
        <v>56</v>
      </c>
    </row>
    <row r="612" spans="1:27">
      <c r="A612" s="10" t="s">
        <v>1302</v>
      </c>
      <c r="B612" s="10" t="s">
        <v>67</v>
      </c>
      <c r="C612" s="10" t="s">
        <v>12</v>
      </c>
      <c r="D612" s="10" t="s">
        <v>55</v>
      </c>
      <c r="E612" s="11" t="b">
        <v>1</v>
      </c>
      <c r="F612" s="12">
        <v>46035</v>
      </c>
      <c r="G612" s="12">
        <v>46035.999999988424</v>
      </c>
      <c r="H612" s="13">
        <f>IF(F612="","",(Summary!$B$5-F612)/365.25)</f>
        <v>0.55308005836945917</v>
      </c>
      <c r="I612" s="14">
        <v>1.0006999999999999</v>
      </c>
      <c r="J612" s="15">
        <v>2.0000000000000001E-4</v>
      </c>
      <c r="K612" s="16">
        <v>9711857</v>
      </c>
      <c r="L612" s="16">
        <v>9717876.1132999994</v>
      </c>
      <c r="M612" s="17">
        <v>10740</v>
      </c>
      <c r="N612" s="14">
        <v>1.0006999999999999</v>
      </c>
      <c r="O612" s="14">
        <v>1.0007999999999999</v>
      </c>
      <c r="P612" s="18">
        <f>IF(OR(N612="",O612="",N612=0,O612=0),"",(O612-N612)/((O612+N612)/2))</f>
        <v>9.9925056207833109E-5</v>
      </c>
      <c r="Q612" s="14">
        <v>1.0006197699999999</v>
      </c>
      <c r="R612" s="14">
        <v>1.0007999999999999</v>
      </c>
      <c r="S612" s="14">
        <v>1.0004999999999999</v>
      </c>
      <c r="T612" s="12">
        <v>46236.012393263889</v>
      </c>
      <c r="U612" s="12">
        <v>46237.012393263889</v>
      </c>
      <c r="V612" s="14">
        <v>5</v>
      </c>
      <c r="W612" s="14">
        <v>1</v>
      </c>
      <c r="X612" s="14">
        <v>1</v>
      </c>
      <c r="Y612" s="14">
        <v>1E-4</v>
      </c>
      <c r="Z612" s="10" t="str">
        <f>IF(AND(D612="TRADING",I612&lt;&gt;"",L612&lt;&gt;"",M612&lt;&gt;"",N612&lt;&gt;"",O612&lt;&gt;""),"Yes","No")</f>
        <v>Yes</v>
      </c>
      <c r="AA612" s="10" t="s">
        <v>56</v>
      </c>
    </row>
    <row r="613" spans="1:27">
      <c r="A613" s="10" t="s">
        <v>544</v>
      </c>
      <c r="B613" s="10" t="s">
        <v>545</v>
      </c>
      <c r="C613" s="10" t="s">
        <v>12</v>
      </c>
      <c r="D613" s="10" t="s">
        <v>55</v>
      </c>
      <c r="E613" s="11" t="b">
        <v>1</v>
      </c>
      <c r="F613" s="12">
        <v>46037</v>
      </c>
      <c r="G613" s="12">
        <v>46037.999999988424</v>
      </c>
      <c r="H613" s="13">
        <f>IF(F613="","",(Summary!$B$5-F613)/365.25)</f>
        <v>0.54760435679519492</v>
      </c>
      <c r="I613" s="14">
        <v>8.3599999999999994E-3</v>
      </c>
      <c r="J613" s="15">
        <v>-1.4150000000000001E-2</v>
      </c>
      <c r="K613" s="16">
        <v>98137321</v>
      </c>
      <c r="L613" s="16">
        <v>861341.16654999997</v>
      </c>
      <c r="M613" s="17">
        <v>16585</v>
      </c>
      <c r="N613" s="14">
        <v>8.3499999999999998E-3</v>
      </c>
      <c r="O613" s="14">
        <v>8.3599999999999994E-3</v>
      </c>
      <c r="P613" s="18">
        <f>IF(OR(N613="",O613="",N613=0,O613=0),"",(O613-N613)/((O613+N613)/2))</f>
        <v>1.1968880909634463E-3</v>
      </c>
      <c r="Q613" s="14">
        <v>8.7769000000000007E-3</v>
      </c>
      <c r="R613" s="14">
        <v>9.1400000000000006E-3</v>
      </c>
      <c r="S613" s="14">
        <v>8.3499999999999998E-3</v>
      </c>
      <c r="T613" s="12">
        <v>46236.012465428241</v>
      </c>
      <c r="U613" s="12">
        <v>46237.012465428241</v>
      </c>
      <c r="V613" s="14">
        <v>5</v>
      </c>
      <c r="W613" s="14">
        <v>1</v>
      </c>
      <c r="X613" s="14">
        <v>1</v>
      </c>
      <c r="Y613" s="14">
        <v>1.0000000000000001E-5</v>
      </c>
      <c r="Z613" s="10" t="str">
        <f>IF(AND(D613="TRADING",I613&lt;&gt;"",L613&lt;&gt;"",M613&lt;&gt;"",N613&lt;&gt;"",O613&lt;&gt;""),"Yes","No")</f>
        <v>Yes</v>
      </c>
      <c r="AA613" s="10" t="s">
        <v>56</v>
      </c>
    </row>
    <row r="614" spans="1:27">
      <c r="A614" s="10" t="s">
        <v>552</v>
      </c>
      <c r="B614" s="10" t="s">
        <v>553</v>
      </c>
      <c r="C614" s="10" t="s">
        <v>12</v>
      </c>
      <c r="D614" s="10" t="s">
        <v>55</v>
      </c>
      <c r="E614" s="11" t="b">
        <v>1</v>
      </c>
      <c r="F614" s="12">
        <v>46037</v>
      </c>
      <c r="G614" s="12">
        <v>46037.999999988424</v>
      </c>
      <c r="H614" s="13">
        <f>IF(F614="","",(Summary!$B$5-F614)/365.25)</f>
        <v>0.54760435679519492</v>
      </c>
      <c r="I614" s="14">
        <v>0.26029999999999998</v>
      </c>
      <c r="J614" s="15">
        <v>2.3189999999999999E-2</v>
      </c>
      <c r="K614" s="16">
        <v>476959</v>
      </c>
      <c r="L614" s="16">
        <v>123689.09531</v>
      </c>
      <c r="M614" s="17">
        <v>2157</v>
      </c>
      <c r="N614" s="14">
        <v>0.26029999999999998</v>
      </c>
      <c r="O614" s="14">
        <v>0.2606</v>
      </c>
      <c r="P614" s="18">
        <f>IF(OR(N614="",O614="",N614=0,O614=0),"",(O614-N614)/((O614+N614)/2))</f>
        <v>1.1518525628720388E-3</v>
      </c>
      <c r="Q614" s="14">
        <v>0.25932856999999998</v>
      </c>
      <c r="R614" s="14">
        <v>0.26629999999999998</v>
      </c>
      <c r="S614" s="14">
        <v>0.25419999999999998</v>
      </c>
      <c r="T614" s="12">
        <v>46236.012479594909</v>
      </c>
      <c r="U614" s="12">
        <v>46237.012479594909</v>
      </c>
      <c r="V614" s="14">
        <v>5</v>
      </c>
      <c r="W614" s="14">
        <v>0.1</v>
      </c>
      <c r="X614" s="14">
        <v>0.1</v>
      </c>
      <c r="Y614" s="14">
        <v>1E-4</v>
      </c>
      <c r="Z614" s="10" t="str">
        <f>IF(AND(D614="TRADING",I614&lt;&gt;"",L614&lt;&gt;"",M614&lt;&gt;"",N614&lt;&gt;"",O614&lt;&gt;""),"Yes","No")</f>
        <v>Yes</v>
      </c>
      <c r="AA614" s="10" t="s">
        <v>56</v>
      </c>
    </row>
    <row r="615" spans="1:27">
      <c r="A615" s="10" t="s">
        <v>1078</v>
      </c>
      <c r="B615" s="10" t="s">
        <v>1079</v>
      </c>
      <c r="C615" s="10" t="s">
        <v>12</v>
      </c>
      <c r="D615" s="10" t="s">
        <v>55</v>
      </c>
      <c r="E615" s="11" t="b">
        <v>1</v>
      </c>
      <c r="F615" s="12">
        <v>46044</v>
      </c>
      <c r="G615" s="12">
        <v>46044.999999988424</v>
      </c>
      <c r="H615" s="13">
        <f>IF(F615="","",(Summary!$B$5-F615)/365.25)</f>
        <v>0.52843940128527023</v>
      </c>
      <c r="I615" s="14">
        <v>1.0012000000000001</v>
      </c>
      <c r="J615" s="15">
        <v>1E-4</v>
      </c>
      <c r="K615" s="16">
        <v>5730713</v>
      </c>
      <c r="L615" s="16">
        <v>5736738.1448999997</v>
      </c>
      <c r="M615" s="17">
        <v>2729</v>
      </c>
      <c r="N615" s="14">
        <v>1.0011000000000001</v>
      </c>
      <c r="O615" s="14">
        <v>1.0012000000000001</v>
      </c>
      <c r="P615" s="18">
        <f>IF(OR(N615="",O615="",N615=0,O615=0),"",(O615-N615)/((O615+N615)/2))</f>
        <v>9.9885132098076194E-5</v>
      </c>
      <c r="Q615" s="14">
        <v>1.00105138</v>
      </c>
      <c r="R615" s="14">
        <v>1.0012000000000001</v>
      </c>
      <c r="S615" s="14">
        <v>1.0008999999999999</v>
      </c>
      <c r="T615" s="12">
        <v>46236.012480231482</v>
      </c>
      <c r="U615" s="12">
        <v>46237.012480231482</v>
      </c>
      <c r="V615" s="14">
        <v>5</v>
      </c>
      <c r="W615" s="14">
        <v>1</v>
      </c>
      <c r="X615" s="14">
        <v>1</v>
      </c>
      <c r="Y615" s="14">
        <v>1E-4</v>
      </c>
      <c r="Z615" s="10" t="str">
        <f>IF(AND(D615="TRADING",I615&lt;&gt;"",L615&lt;&gt;"",M615&lt;&gt;"",N615&lt;&gt;"",O615&lt;&gt;""),"Yes","No")</f>
        <v>Yes</v>
      </c>
      <c r="AA615" s="10" t="s">
        <v>56</v>
      </c>
    </row>
    <row r="616" spans="1:27">
      <c r="A616" s="10" t="s">
        <v>1114</v>
      </c>
      <c r="B616" s="10" t="s">
        <v>1115</v>
      </c>
      <c r="C616" s="10" t="s">
        <v>12</v>
      </c>
      <c r="D616" s="10" t="s">
        <v>55</v>
      </c>
      <c r="E616" s="11" t="b">
        <v>1</v>
      </c>
      <c r="F616" s="12">
        <v>46044</v>
      </c>
      <c r="G616" s="12">
        <v>46044.999999988424</v>
      </c>
      <c r="H616" s="13">
        <f>IF(F616="","",(Summary!$B$5-F616)/365.25)</f>
        <v>0.52843940128527023</v>
      </c>
      <c r="I616" s="14">
        <v>1.3599999999999999E-2</v>
      </c>
      <c r="J616" s="15">
        <v>2.9499999999999999E-3</v>
      </c>
      <c r="K616" s="16">
        <v>69022091</v>
      </c>
      <c r="L616" s="16">
        <v>944970.47592999996</v>
      </c>
      <c r="M616" s="17">
        <v>12057</v>
      </c>
      <c r="N616" s="14">
        <v>1.359E-2</v>
      </c>
      <c r="O616" s="14">
        <v>1.3599999999999999E-2</v>
      </c>
      <c r="P616" s="18">
        <f>IF(OR(N616="",O616="",N616=0,O616=0),"",(O616-N616)/((O616+N616)/2))</f>
        <v>7.3556454578886307E-4</v>
      </c>
      <c r="Q616" s="14">
        <v>1.3690839999999999E-2</v>
      </c>
      <c r="R616" s="14">
        <v>1.393E-2</v>
      </c>
      <c r="S616" s="14">
        <v>1.34E-2</v>
      </c>
      <c r="T616" s="12">
        <v>46236.012399537038</v>
      </c>
      <c r="U616" s="12">
        <v>46237.012399537038</v>
      </c>
      <c r="V616" s="14">
        <v>5</v>
      </c>
      <c r="W616" s="14">
        <v>1</v>
      </c>
      <c r="X616" s="14">
        <v>1</v>
      </c>
      <c r="Y616" s="14">
        <v>1.0000000000000001E-5</v>
      </c>
      <c r="Z616" s="10" t="str">
        <f>IF(AND(D616="TRADING",I616&lt;&gt;"",L616&lt;&gt;"",M616&lt;&gt;"",N616&lt;&gt;"",O616&lt;&gt;""),"Yes","No")</f>
        <v>Yes</v>
      </c>
      <c r="AA616" s="10" t="s">
        <v>56</v>
      </c>
    </row>
    <row r="617" spans="1:27">
      <c r="A617" s="10" t="s">
        <v>1405</v>
      </c>
      <c r="B617" s="10" t="s">
        <v>1406</v>
      </c>
      <c r="C617" s="10" t="s">
        <v>12</v>
      </c>
      <c r="D617" s="10" t="s">
        <v>55</v>
      </c>
      <c r="E617" s="11" t="b">
        <v>1</v>
      </c>
      <c r="F617" s="12">
        <v>46055</v>
      </c>
      <c r="G617" s="12">
        <v>46055.999999988424</v>
      </c>
      <c r="H617" s="13">
        <f>IF(F617="","",(Summary!$B$5-F617)/365.25)</f>
        <v>0.49832304262681715</v>
      </c>
      <c r="I617" s="14">
        <v>4.9730000000000003E-2</v>
      </c>
      <c r="J617" s="15">
        <v>-3.6610000000000004E-2</v>
      </c>
      <c r="K617" s="16">
        <v>147019722</v>
      </c>
      <c r="L617" s="16">
        <v>7619987.0079500005</v>
      </c>
      <c r="M617" s="17">
        <v>109970</v>
      </c>
      <c r="N617" s="14">
        <v>4.972E-2</v>
      </c>
      <c r="O617" s="14">
        <v>4.9730000000000003E-2</v>
      </c>
      <c r="P617" s="18">
        <f>IF(OR(N617="",O617="",N617=0,O617=0),"",(O617-N617)/((O617+N617)/2))</f>
        <v>2.0110608345908618E-4</v>
      </c>
      <c r="Q617" s="14">
        <v>5.1829689999999998E-2</v>
      </c>
      <c r="R617" s="14">
        <v>5.4719999999999998E-2</v>
      </c>
      <c r="S617" s="14">
        <v>4.8989999999999999E-2</v>
      </c>
      <c r="T617" s="12">
        <v>46236.012480937497</v>
      </c>
      <c r="U617" s="12">
        <v>46237.012480937497</v>
      </c>
      <c r="V617" s="14">
        <v>5</v>
      </c>
      <c r="W617" s="14">
        <v>1</v>
      </c>
      <c r="X617" s="14">
        <v>1</v>
      </c>
      <c r="Y617" s="14">
        <v>1.0000000000000001E-5</v>
      </c>
      <c r="Z617" s="10" t="str">
        <f>IF(AND(D617="TRADING",I617&lt;&gt;"",L617&lt;&gt;"",M617&lt;&gt;"",N617&lt;&gt;"",O617&lt;&gt;""),"Yes","No")</f>
        <v>Yes</v>
      </c>
      <c r="AA617" s="10" t="s">
        <v>56</v>
      </c>
    </row>
    <row r="618" spans="1:27">
      <c r="A618" s="10" t="s">
        <v>497</v>
      </c>
      <c r="B618" s="10" t="s">
        <v>498</v>
      </c>
      <c r="C618" s="10" t="s">
        <v>12</v>
      </c>
      <c r="D618" s="10" t="s">
        <v>55</v>
      </c>
      <c r="E618" s="11" t="b">
        <v>1</v>
      </c>
      <c r="F618" s="12">
        <v>46065</v>
      </c>
      <c r="G618" s="12">
        <v>46065.999999988424</v>
      </c>
      <c r="H618" s="13">
        <f>IF(F618="","",(Summary!$B$5-F618)/365.25)</f>
        <v>0.47094453475549614</v>
      </c>
      <c r="I618" s="14">
        <v>6.4119999999999996E-2</v>
      </c>
      <c r="J618" s="15">
        <v>-3.5790000000000002E-2</v>
      </c>
      <c r="K618" s="16">
        <v>43595442</v>
      </c>
      <c r="L618" s="16">
        <v>3011645.1620100001</v>
      </c>
      <c r="M618" s="17">
        <v>105423</v>
      </c>
      <c r="N618" s="14">
        <v>6.4119999999999996E-2</v>
      </c>
      <c r="O618" s="14">
        <v>6.4130000000000006E-2</v>
      </c>
      <c r="P618" s="18">
        <f>IF(OR(N618="",O618="",N618=0,O618=0),"",(O618-N618)/((O618+N618)/2))</f>
        <v>1.5594541910346981E-4</v>
      </c>
      <c r="Q618" s="14">
        <v>6.9081649999999994E-2</v>
      </c>
      <c r="R618" s="14">
        <v>7.3580000000000007E-2</v>
      </c>
      <c r="S618" s="14">
        <v>6.3869999999999996E-2</v>
      </c>
      <c r="T618" s="12">
        <v>46236.012422280095</v>
      </c>
      <c r="U618" s="12">
        <v>46237.012422280095</v>
      </c>
      <c r="V618" s="14">
        <v>5</v>
      </c>
      <c r="W618" s="14">
        <v>1</v>
      </c>
      <c r="X618" s="14">
        <v>1</v>
      </c>
      <c r="Y618" s="14">
        <v>1.0000000000000001E-5</v>
      </c>
      <c r="Z618" s="10" t="str">
        <f>IF(AND(D618="TRADING",I618&lt;&gt;"",L618&lt;&gt;"",M618&lt;&gt;"",N618&lt;&gt;"",O618&lt;&gt;""),"Yes","No")</f>
        <v>Yes</v>
      </c>
      <c r="AA618" s="10" t="s">
        <v>56</v>
      </c>
    </row>
    <row r="619" spans="1:27">
      <c r="A619" s="10" t="s">
        <v>53</v>
      </c>
      <c r="B619" s="10" t="s">
        <v>54</v>
      </c>
      <c r="C619" s="10" t="s">
        <v>10</v>
      </c>
      <c r="D619" s="10" t="s">
        <v>55</v>
      </c>
      <c r="E619" s="11" t="b">
        <v>1</v>
      </c>
      <c r="F619" s="12">
        <v>46084</v>
      </c>
      <c r="G619" s="12">
        <v>46084.999999988424</v>
      </c>
      <c r="H619" s="13">
        <f>IF(F619="","",(Summary!$B$5-F619)/365.25)</f>
        <v>0.41892536979998618</v>
      </c>
      <c r="I619" s="14">
        <v>585.72</v>
      </c>
      <c r="J619" s="15">
        <v>1.5180000000000001E-2</v>
      </c>
      <c r="K619" s="16">
        <v>22.626000000000001</v>
      </c>
      <c r="L619" s="16">
        <v>13253.294159999999</v>
      </c>
      <c r="M619" s="17">
        <v>96</v>
      </c>
      <c r="N619" s="14">
        <v>585.73</v>
      </c>
      <c r="O619" s="14">
        <v>585.91</v>
      </c>
      <c r="P619" s="18">
        <f>IF(OR(N619="",O619="",N619=0,O619=0),"",(O619-N619)/((O619+N619)/2))</f>
        <v>3.0726161619601584E-4</v>
      </c>
      <c r="Q619" s="14">
        <v>585.75506761999998</v>
      </c>
      <c r="R619" s="14">
        <v>590.64</v>
      </c>
      <c r="S619" s="14">
        <v>576.96</v>
      </c>
      <c r="T619" s="12">
        <v>46236.012420231484</v>
      </c>
      <c r="U619" s="12">
        <v>46237.012420231484</v>
      </c>
      <c r="V619" s="14">
        <v>5</v>
      </c>
      <c r="W619" s="14">
        <v>1E-3</v>
      </c>
      <c r="X619" s="14">
        <v>1E-3</v>
      </c>
      <c r="Y619" s="14">
        <v>0.01</v>
      </c>
      <c r="Z619" s="10" t="str">
        <f>IF(AND(D619="TRADING",I619&lt;&gt;"",L619&lt;&gt;"",M619&lt;&gt;"",N619&lt;&gt;"",O619&lt;&gt;""),"Yes","No")</f>
        <v>Yes</v>
      </c>
      <c r="AA619" s="10" t="s">
        <v>56</v>
      </c>
    </row>
    <row r="620" spans="1:27">
      <c r="A620" s="10" t="s">
        <v>59</v>
      </c>
      <c r="B620" s="10" t="s">
        <v>60</v>
      </c>
      <c r="C620" s="10" t="s">
        <v>10</v>
      </c>
      <c r="D620" s="10" t="s">
        <v>55</v>
      </c>
      <c r="E620" s="11" t="b">
        <v>1</v>
      </c>
      <c r="F620" s="12">
        <v>46084</v>
      </c>
      <c r="G620" s="12">
        <v>46084.999999988424</v>
      </c>
      <c r="H620" s="13">
        <f>IF(F620="","",(Summary!$B$5-F620)/365.25)</f>
        <v>0.41892536979998618</v>
      </c>
      <c r="I620" s="14">
        <v>1881.62</v>
      </c>
      <c r="J620" s="15">
        <v>1.8870000000000001E-2</v>
      </c>
      <c r="K620" s="16">
        <v>21.516400000000001</v>
      </c>
      <c r="L620" s="16">
        <v>40267.317864999997</v>
      </c>
      <c r="M620" s="17">
        <v>153</v>
      </c>
      <c r="N620" s="14">
        <v>1877.5</v>
      </c>
      <c r="O620" s="14">
        <v>1879.02</v>
      </c>
      <c r="P620" s="18">
        <f>IF(OR(N620="",O620="",N620=0,O620=0),"",(O620-N620)/((O620+N620)/2))</f>
        <v>8.0925963391648755E-4</v>
      </c>
      <c r="Q620" s="14">
        <v>1871.4709647100001</v>
      </c>
      <c r="R620" s="14">
        <v>1894.85</v>
      </c>
      <c r="S620" s="14">
        <v>1844.33</v>
      </c>
      <c r="T620" s="12">
        <v>46236.012480648147</v>
      </c>
      <c r="U620" s="12">
        <v>46237.012480648147</v>
      </c>
      <c r="V620" s="14">
        <v>5</v>
      </c>
      <c r="W620" s="14">
        <v>1E-4</v>
      </c>
      <c r="X620" s="14">
        <v>1E-4</v>
      </c>
      <c r="Y620" s="14">
        <v>0.01</v>
      </c>
      <c r="Z620" s="10" t="str">
        <f>IF(AND(D620="TRADING",I620&lt;&gt;"",L620&lt;&gt;"",M620&lt;&gt;"",N620&lt;&gt;"",O620&lt;&gt;""),"Yes","No")</f>
        <v>Yes</v>
      </c>
      <c r="AA620" s="10" t="s">
        <v>56</v>
      </c>
    </row>
    <row r="621" spans="1:27">
      <c r="A621" s="10" t="s">
        <v>61</v>
      </c>
      <c r="B621" s="10" t="s">
        <v>62</v>
      </c>
      <c r="C621" s="10" t="s">
        <v>10</v>
      </c>
      <c r="D621" s="10" t="s">
        <v>55</v>
      </c>
      <c r="E621" s="11" t="b">
        <v>1</v>
      </c>
      <c r="F621" s="12">
        <v>46084</v>
      </c>
      <c r="G621" s="12">
        <v>46084.999999988424</v>
      </c>
      <c r="H621" s="13">
        <f>IF(F621="","",(Summary!$B$5-F621)/365.25)</f>
        <v>0.41892536979998618</v>
      </c>
      <c r="I621" s="14">
        <v>73.510000000000005</v>
      </c>
      <c r="J621" s="15">
        <v>1.9699999999999999E-2</v>
      </c>
      <c r="K621" s="16">
        <v>245.107</v>
      </c>
      <c r="L621" s="16">
        <v>17989.78471</v>
      </c>
      <c r="M621" s="17">
        <v>140</v>
      </c>
      <c r="N621" s="14">
        <v>73.37</v>
      </c>
      <c r="O621" s="14">
        <v>73.44</v>
      </c>
      <c r="P621" s="18">
        <f>IF(OR(N621="",O621="",N621=0,O621=0),"",(O621-N621)/((O621+N621)/2))</f>
        <v>9.5361351406570642E-4</v>
      </c>
      <c r="Q621" s="14">
        <v>73.395638270000006</v>
      </c>
      <c r="R621" s="14">
        <v>74.23</v>
      </c>
      <c r="S621" s="14">
        <v>72.040000000000006</v>
      </c>
      <c r="T621" s="12">
        <v>46236.012477673612</v>
      </c>
      <c r="U621" s="12">
        <v>46237.012477673612</v>
      </c>
      <c r="V621" s="14">
        <v>5</v>
      </c>
      <c r="W621" s="14">
        <v>1E-3</v>
      </c>
      <c r="X621" s="14">
        <v>1E-3</v>
      </c>
      <c r="Y621" s="14">
        <v>0.01</v>
      </c>
      <c r="Z621" s="10" t="str">
        <f>IF(AND(D621="TRADING",I621&lt;&gt;"",L621&lt;&gt;"",M621&lt;&gt;"",N621&lt;&gt;"",O621&lt;&gt;""),"Yes","No")</f>
        <v>Yes</v>
      </c>
      <c r="AA621" s="10" t="s">
        <v>56</v>
      </c>
    </row>
    <row r="622" spans="1:27">
      <c r="A622" s="10" t="s">
        <v>786</v>
      </c>
      <c r="B622" s="10" t="s">
        <v>787</v>
      </c>
      <c r="C622" s="10" t="s">
        <v>12</v>
      </c>
      <c r="D622" s="10" t="s">
        <v>55</v>
      </c>
      <c r="E622" s="11" t="b">
        <v>1</v>
      </c>
      <c r="F622" s="12">
        <v>46085</v>
      </c>
      <c r="G622" s="12">
        <v>46085.999999988424</v>
      </c>
      <c r="H622" s="13">
        <f>IF(F622="","",(Summary!$B$5-F622)/365.25)</f>
        <v>0.41618751901285411</v>
      </c>
      <c r="I622" s="14">
        <v>6.0099999999999997E-3</v>
      </c>
      <c r="J622" s="15">
        <v>0.16248000000000001</v>
      </c>
      <c r="K622" s="16">
        <v>1646233995</v>
      </c>
      <c r="L622" s="16">
        <v>10198072.16251</v>
      </c>
      <c r="M622" s="17">
        <v>94716</v>
      </c>
      <c r="N622" s="14">
        <v>6.0099999999999997E-3</v>
      </c>
      <c r="O622" s="14">
        <v>6.0200000000000002E-3</v>
      </c>
      <c r="P622" s="18">
        <f>IF(OR(N622="",O622="",N622=0,O622=0),"",(O622-N622)/((O622+N622)/2))</f>
        <v>1.6625103906900184E-3</v>
      </c>
      <c r="Q622" s="14">
        <v>6.1947900000000004E-3</v>
      </c>
      <c r="R622" s="14">
        <v>6.79E-3</v>
      </c>
      <c r="S622" s="14">
        <v>5.1599999999999997E-3</v>
      </c>
      <c r="T622" s="12">
        <v>46236.012436944446</v>
      </c>
      <c r="U622" s="12">
        <v>46237.012436944446</v>
      </c>
      <c r="V622" s="14">
        <v>5</v>
      </c>
      <c r="W622" s="14">
        <v>1</v>
      </c>
      <c r="X622" s="14">
        <v>1</v>
      </c>
      <c r="Y622" s="14">
        <v>1.0000000000000001E-5</v>
      </c>
      <c r="Z622" s="10" t="str">
        <f>IF(AND(D622="TRADING",I622&lt;&gt;"",L622&lt;&gt;"",M622&lt;&gt;"",N622&lt;&gt;"",O622&lt;&gt;""),"Yes","No")</f>
        <v>Yes</v>
      </c>
      <c r="AA622" s="10" t="s">
        <v>56</v>
      </c>
    </row>
    <row r="623" spans="1:27">
      <c r="A623" s="10" t="s">
        <v>1082</v>
      </c>
      <c r="B623" s="10" t="s">
        <v>1083</v>
      </c>
      <c r="C623" s="10" t="s">
        <v>12</v>
      </c>
      <c r="D623" s="10" t="s">
        <v>55</v>
      </c>
      <c r="E623" s="11" t="b">
        <v>1</v>
      </c>
      <c r="F623" s="12">
        <v>46085</v>
      </c>
      <c r="G623" s="12">
        <v>46085.999999988424</v>
      </c>
      <c r="H623" s="13">
        <f>IF(F623="","",(Summary!$B$5-F623)/365.25)</f>
        <v>0.41618751901285411</v>
      </c>
      <c r="I623" s="14">
        <v>1.1520000000000001E-2</v>
      </c>
      <c r="J623" s="15">
        <v>0</v>
      </c>
      <c r="K623" s="16">
        <v>39983320</v>
      </c>
      <c r="L623" s="16">
        <v>469251.60012999998</v>
      </c>
      <c r="M623" s="17">
        <v>7728</v>
      </c>
      <c r="N623" s="14">
        <v>1.1509999999999999E-2</v>
      </c>
      <c r="O623" s="14">
        <v>1.1520000000000001E-2</v>
      </c>
      <c r="P623" s="18">
        <f>IF(OR(N623="",O623="",N623=0,O623=0),"",(O623-N623)/((O623+N623)/2))</f>
        <v>8.6843247937484378E-4</v>
      </c>
      <c r="Q623" s="14">
        <v>1.1736180000000001E-2</v>
      </c>
      <c r="R623" s="14">
        <v>1.2030000000000001E-2</v>
      </c>
      <c r="S623" s="14">
        <v>1.1429999999999999E-2</v>
      </c>
      <c r="T623" s="12">
        <v>46236.011842719905</v>
      </c>
      <c r="U623" s="12">
        <v>46237.011842719905</v>
      </c>
      <c r="V623" s="14">
        <v>5</v>
      </c>
      <c r="W623" s="14">
        <v>1</v>
      </c>
      <c r="X623" s="14">
        <v>1</v>
      </c>
      <c r="Y623" s="14">
        <v>1.0000000000000001E-5</v>
      </c>
      <c r="Z623" s="10" t="str">
        <f>IF(AND(D623="TRADING",I623&lt;&gt;"",L623&lt;&gt;"",M623&lt;&gt;"",N623&lt;&gt;"",O623&lt;&gt;""),"Yes","No")</f>
        <v>Yes</v>
      </c>
      <c r="AA623" s="10" t="s">
        <v>56</v>
      </c>
    </row>
    <row r="624" spans="1:27">
      <c r="A624" s="10" t="s">
        <v>936</v>
      </c>
      <c r="B624" s="10" t="s">
        <v>937</v>
      </c>
      <c r="C624" s="10" t="s">
        <v>12</v>
      </c>
      <c r="D624" s="10" t="s">
        <v>55</v>
      </c>
      <c r="E624" s="11" t="b">
        <v>1</v>
      </c>
      <c r="F624" s="12">
        <v>46086</v>
      </c>
      <c r="G624" s="12">
        <v>46086.999999988424</v>
      </c>
      <c r="H624" s="13">
        <f>IF(F624="","",(Summary!$B$5-F624)/365.25)</f>
        <v>0.41344966822572199</v>
      </c>
      <c r="I624" s="14">
        <v>4.8300000000000003E-2</v>
      </c>
      <c r="J624" s="15">
        <v>2.3310000000000001E-2</v>
      </c>
      <c r="K624" s="16">
        <v>9767858.5</v>
      </c>
      <c r="L624" s="16">
        <v>471949.81487</v>
      </c>
      <c r="M624" s="17">
        <v>7446</v>
      </c>
      <c r="N624" s="14">
        <v>4.8300000000000003E-2</v>
      </c>
      <c r="O624" s="14">
        <v>4.8399999999999999E-2</v>
      </c>
      <c r="P624" s="18">
        <f>IF(OR(N624="",O624="",N624=0,O624=0),"",(O624-N624)/((O624+N624)/2))</f>
        <v>2.0682523267837832E-3</v>
      </c>
      <c r="Q624" s="14">
        <v>4.8316610000000003E-2</v>
      </c>
      <c r="R624" s="14">
        <v>4.9399999999999999E-2</v>
      </c>
      <c r="S624" s="14">
        <v>4.6600000000000003E-2</v>
      </c>
      <c r="T624" s="12">
        <v>46236.012467731482</v>
      </c>
      <c r="U624" s="12">
        <v>46237.012467731482</v>
      </c>
      <c r="V624" s="14">
        <v>5</v>
      </c>
      <c r="W624" s="14">
        <v>0.1</v>
      </c>
      <c r="X624" s="14">
        <v>0.1</v>
      </c>
      <c r="Y624" s="14">
        <v>1E-4</v>
      </c>
      <c r="Z624" s="10" t="str">
        <f>IF(AND(D624="TRADING",I624&lt;&gt;"",L624&lt;&gt;"",M624&lt;&gt;"",N624&lt;&gt;"",O624&lt;&gt;""),"Yes","No")</f>
        <v>Yes</v>
      </c>
      <c r="AA624" s="10" t="s">
        <v>56</v>
      </c>
    </row>
    <row r="625" spans="1:27">
      <c r="A625" s="10" t="s">
        <v>882</v>
      </c>
      <c r="B625" s="10" t="s">
        <v>883</v>
      </c>
      <c r="C625" s="10" t="s">
        <v>12</v>
      </c>
      <c r="D625" s="10" t="s">
        <v>55</v>
      </c>
      <c r="E625" s="11" t="b">
        <v>1</v>
      </c>
      <c r="F625" s="12">
        <v>46092</v>
      </c>
      <c r="G625" s="12">
        <v>46092.999999988424</v>
      </c>
      <c r="H625" s="13">
        <f>IF(F625="","",(Summary!$B$5-F625)/365.25)</f>
        <v>0.39702256350292942</v>
      </c>
      <c r="I625" s="14">
        <v>1.9189999999999999E-2</v>
      </c>
      <c r="J625" s="15">
        <v>3.117E-2</v>
      </c>
      <c r="K625" s="16">
        <v>96637610</v>
      </c>
      <c r="L625" s="16">
        <v>1858805.5078700001</v>
      </c>
      <c r="M625" s="17">
        <v>30116</v>
      </c>
      <c r="N625" s="14">
        <v>1.9179999999999999E-2</v>
      </c>
      <c r="O625" s="14">
        <v>1.9189999999999999E-2</v>
      </c>
      <c r="P625" s="18">
        <f>IF(OR(N625="",O625="",N625=0,O625=0),"",(O625-N625)/((O625+N625)/2))</f>
        <v>5.2124055251496441E-4</v>
      </c>
      <c r="Q625" s="14">
        <v>1.92348E-2</v>
      </c>
      <c r="R625" s="14">
        <v>2.0140000000000002E-2</v>
      </c>
      <c r="S625" s="14">
        <v>1.8370000000000001E-2</v>
      </c>
      <c r="T625" s="12">
        <v>46236.012482418984</v>
      </c>
      <c r="U625" s="12">
        <v>46237.012482418984</v>
      </c>
      <c r="V625" s="14">
        <v>5</v>
      </c>
      <c r="W625" s="14">
        <v>1</v>
      </c>
      <c r="X625" s="14">
        <v>1</v>
      </c>
      <c r="Y625" s="14">
        <v>1.0000000000000001E-5</v>
      </c>
      <c r="Z625" s="10" t="str">
        <f>IF(AND(D625="TRADING",I625&lt;&gt;"",L625&lt;&gt;"",M625&lt;&gt;"",N625&lt;&gt;"",O625&lt;&gt;""),"Yes","No")</f>
        <v>Yes</v>
      </c>
      <c r="AA625" s="10" t="s">
        <v>56</v>
      </c>
    </row>
    <row r="626" spans="1:27">
      <c r="A626" s="10" t="s">
        <v>351</v>
      </c>
      <c r="B626" s="10" t="s">
        <v>352</v>
      </c>
      <c r="C626" s="10" t="s">
        <v>12</v>
      </c>
      <c r="D626" s="10" t="s">
        <v>55</v>
      </c>
      <c r="E626" s="11" t="b">
        <v>1</v>
      </c>
      <c r="F626" s="12">
        <v>46097</v>
      </c>
      <c r="G626" s="12">
        <v>46097.999999988424</v>
      </c>
      <c r="H626" s="13">
        <f>IF(F626="","",(Summary!$B$5-F626)/365.25)</f>
        <v>0.38333330956726891</v>
      </c>
      <c r="I626" s="14">
        <v>0.17560000000000001</v>
      </c>
      <c r="J626" s="15">
        <v>1.3859999999999999E-2</v>
      </c>
      <c r="K626" s="16">
        <v>2486469.2000000002</v>
      </c>
      <c r="L626" s="16">
        <v>440556.37407999998</v>
      </c>
      <c r="M626" s="17">
        <v>6235</v>
      </c>
      <c r="N626" s="14">
        <v>0.17549999999999999</v>
      </c>
      <c r="O626" s="14">
        <v>0.17560000000000001</v>
      </c>
      <c r="P626" s="18">
        <f>IF(OR(N626="",O626="",N626=0,O626=0),"",(O626-N626)/((O626+N626)/2))</f>
        <v>5.6963827969249076E-4</v>
      </c>
      <c r="Q626" s="14">
        <v>0.17718150999999999</v>
      </c>
      <c r="R626" s="14">
        <v>0.1812</v>
      </c>
      <c r="S626" s="14">
        <v>0.1724</v>
      </c>
      <c r="T626" s="12">
        <v>46236.012478368059</v>
      </c>
      <c r="U626" s="12">
        <v>46237.012478368059</v>
      </c>
      <c r="V626" s="14">
        <v>5</v>
      </c>
      <c r="W626" s="14">
        <v>0.1</v>
      </c>
      <c r="X626" s="14">
        <v>0.1</v>
      </c>
      <c r="Y626" s="14">
        <v>1E-4</v>
      </c>
      <c r="Z626" s="10" t="str">
        <f>IF(AND(D626="TRADING",I626&lt;&gt;"",L626&lt;&gt;"",M626&lt;&gt;"",N626&lt;&gt;"",O626&lt;&gt;""),"Yes","No")</f>
        <v>Yes</v>
      </c>
      <c r="AA626" s="10" t="s">
        <v>56</v>
      </c>
    </row>
    <row r="627" spans="1:27">
      <c r="A627" s="10" t="s">
        <v>704</v>
      </c>
      <c r="B627" s="10" t="s">
        <v>705</v>
      </c>
      <c r="C627" s="10" t="s">
        <v>12</v>
      </c>
      <c r="D627" s="10" t="s">
        <v>55</v>
      </c>
      <c r="E627" s="11" t="b">
        <v>1</v>
      </c>
      <c r="F627" s="12">
        <v>46099</v>
      </c>
      <c r="G627" s="12">
        <v>46099.999999988424</v>
      </c>
      <c r="H627" s="13">
        <f>IF(F627="","",(Summary!$B$5-F627)/365.25)</f>
        <v>0.37785760799300466</v>
      </c>
      <c r="I627" s="14">
        <v>4.3200000000000001E-3</v>
      </c>
      <c r="J627" s="15">
        <v>0</v>
      </c>
      <c r="K627" s="16">
        <v>31630687</v>
      </c>
      <c r="L627" s="16">
        <v>136854.82576000001</v>
      </c>
      <c r="M627" s="17">
        <v>1349</v>
      </c>
      <c r="N627" s="14">
        <v>4.3099999999999996E-3</v>
      </c>
      <c r="O627" s="14">
        <v>4.3200000000000001E-3</v>
      </c>
      <c r="P627" s="18">
        <f>IF(OR(N627="",O627="",N627=0,O627=0),"",(O627-N627)/((O627+N627)/2))</f>
        <v>2.3174971031287282E-3</v>
      </c>
      <c r="Q627" s="14">
        <v>4.3266499999999996E-3</v>
      </c>
      <c r="R627" s="14">
        <v>4.3600000000000002E-3</v>
      </c>
      <c r="S627" s="14">
        <v>4.2900000000000004E-3</v>
      </c>
      <c r="T627" s="12">
        <v>46236.012017291665</v>
      </c>
      <c r="U627" s="12">
        <v>46237.012017291665</v>
      </c>
      <c r="V627" s="14">
        <v>5</v>
      </c>
      <c r="W627" s="14">
        <v>1</v>
      </c>
      <c r="X627" s="14">
        <v>1</v>
      </c>
      <c r="Y627" s="14">
        <v>1.0000000000000001E-5</v>
      </c>
      <c r="Z627" s="10" t="str">
        <f>IF(AND(D627="TRADING",I627&lt;&gt;"",L627&lt;&gt;"",M627&lt;&gt;"",N627&lt;&gt;"",O627&lt;&gt;""),"Yes","No")</f>
        <v>Yes</v>
      </c>
      <c r="AA627" s="10" t="s">
        <v>56</v>
      </c>
    </row>
    <row r="628" spans="1:27">
      <c r="A628" s="10" t="s">
        <v>1367</v>
      </c>
      <c r="B628" s="10" t="s">
        <v>1368</v>
      </c>
      <c r="C628" s="10" t="s">
        <v>12</v>
      </c>
      <c r="D628" s="10" t="s">
        <v>55</v>
      </c>
      <c r="E628" s="11" t="b">
        <v>1</v>
      </c>
      <c r="F628" s="12">
        <v>46107</v>
      </c>
      <c r="G628" s="12">
        <v>46107.999999988424</v>
      </c>
      <c r="H628" s="13">
        <f>IF(F628="","",(Summary!$B$5-F628)/365.25)</f>
        <v>0.3559548016959479</v>
      </c>
      <c r="I628" s="14">
        <v>4056.91</v>
      </c>
      <c r="J628" s="15">
        <v>3.2000000000000002E-3</v>
      </c>
      <c r="K628" s="16">
        <v>6726.3597</v>
      </c>
      <c r="L628" s="16">
        <v>27240462.654130999</v>
      </c>
      <c r="M628" s="17">
        <v>45506</v>
      </c>
      <c r="N628" s="14">
        <v>4056.91</v>
      </c>
      <c r="O628" s="14">
        <v>4056.92</v>
      </c>
      <c r="P628" s="18">
        <f>IF(OR(N628="",O628="",N628=0,O628=0),"",(O628-N628)/((O628+N628)/2))</f>
        <v>2.4649271676183204E-6</v>
      </c>
      <c r="Q628" s="14">
        <v>4049.8076030799998</v>
      </c>
      <c r="R628" s="14">
        <v>4068.26</v>
      </c>
      <c r="S628" s="14">
        <v>4043.96</v>
      </c>
      <c r="T628" s="12">
        <v>46236.012483229169</v>
      </c>
      <c r="U628" s="12">
        <v>46237.012483229169</v>
      </c>
      <c r="V628" s="14">
        <v>5</v>
      </c>
      <c r="W628" s="14">
        <v>1E-4</v>
      </c>
      <c r="X628" s="14">
        <v>1E-4</v>
      </c>
      <c r="Y628" s="14">
        <v>0.01</v>
      </c>
      <c r="Z628" s="10" t="str">
        <f>IF(AND(D628="TRADING",I628&lt;&gt;"",L628&lt;&gt;"",M628&lt;&gt;"",N628&lt;&gt;"",O628&lt;&gt;""),"Yes","No")</f>
        <v>Yes</v>
      </c>
      <c r="AA628" s="10" t="s">
        <v>56</v>
      </c>
    </row>
    <row r="629" spans="1:27">
      <c r="A629" s="10" t="s">
        <v>1292</v>
      </c>
      <c r="B629" s="10" t="s">
        <v>1293</v>
      </c>
      <c r="C629" s="10" t="s">
        <v>12</v>
      </c>
      <c r="D629" s="10" t="s">
        <v>55</v>
      </c>
      <c r="E629" s="11" t="b">
        <v>1</v>
      </c>
      <c r="F629" s="12">
        <v>46121</v>
      </c>
      <c r="G629" s="12">
        <v>46121.999999988424</v>
      </c>
      <c r="H629" s="13">
        <f>IF(F629="","",(Summary!$B$5-F629)/365.25)</f>
        <v>0.31762489067609845</v>
      </c>
      <c r="I629" s="14">
        <v>1.0007999999999999</v>
      </c>
      <c r="J629" s="15">
        <v>1E-4</v>
      </c>
      <c r="K629" s="16">
        <v>118824</v>
      </c>
      <c r="L629" s="16">
        <v>118920.9402</v>
      </c>
      <c r="M629" s="17">
        <v>964</v>
      </c>
      <c r="N629" s="14">
        <v>1.0007999999999999</v>
      </c>
      <c r="O629" s="14">
        <v>1.0008999999999999</v>
      </c>
      <c r="P629" s="18">
        <f>IF(OR(N629="",O629="",N629=0,O629=0),"",(O629-N629)/((O629+N629)/2))</f>
        <v>9.9915072188628672E-5</v>
      </c>
      <c r="Q629" s="14">
        <v>1.0008158300000001</v>
      </c>
      <c r="R629" s="14">
        <v>1.0008999999999999</v>
      </c>
      <c r="S629" s="14">
        <v>1.0006999999999999</v>
      </c>
      <c r="T629" s="12">
        <v>46236.011806076385</v>
      </c>
      <c r="U629" s="12">
        <v>46237.011806076385</v>
      </c>
      <c r="V629" s="14">
        <v>5</v>
      </c>
      <c r="W629" s="14">
        <v>1</v>
      </c>
      <c r="X629" s="14">
        <v>1</v>
      </c>
      <c r="Y629" s="14">
        <v>1E-4</v>
      </c>
      <c r="Z629" s="10" t="str">
        <f>IF(AND(D629="TRADING",I629&lt;&gt;"",L629&lt;&gt;"",M629&lt;&gt;"",N629&lt;&gt;"",O629&lt;&gt;""),"Yes","No")</f>
        <v>Yes</v>
      </c>
      <c r="AA629" s="10" t="s">
        <v>56</v>
      </c>
    </row>
    <row r="630" spans="1:27">
      <c r="A630" s="10" t="s">
        <v>359</v>
      </c>
      <c r="B630" s="10" t="s">
        <v>360</v>
      </c>
      <c r="C630" s="10" t="s">
        <v>12</v>
      </c>
      <c r="D630" s="10" t="s">
        <v>55</v>
      </c>
      <c r="E630" s="11" t="b">
        <v>1</v>
      </c>
      <c r="F630" s="12">
        <v>46133</v>
      </c>
      <c r="G630" s="12">
        <v>46133.999999988424</v>
      </c>
      <c r="H630" s="13">
        <f>IF(F630="","",(Summary!$B$5-F630)/365.25)</f>
        <v>0.28477068123051325</v>
      </c>
      <c r="I630" s="14">
        <v>2.513E-2</v>
      </c>
      <c r="J630" s="15">
        <v>-1.0240000000000001E-2</v>
      </c>
      <c r="K630" s="16">
        <v>12915106</v>
      </c>
      <c r="L630" s="16">
        <v>327965.7255</v>
      </c>
      <c r="M630" s="17">
        <v>5643</v>
      </c>
      <c r="N630" s="14">
        <v>2.512E-2</v>
      </c>
      <c r="O630" s="14">
        <v>2.513E-2</v>
      </c>
      <c r="P630" s="18">
        <f>IF(OR(N630="",O630="",N630=0,O630=0),"",(O630-N630)/((O630+N630)/2))</f>
        <v>3.9800995024874E-4</v>
      </c>
      <c r="Q630" s="14">
        <v>2.539396E-2</v>
      </c>
      <c r="R630" s="14">
        <v>2.58E-2</v>
      </c>
      <c r="S630" s="14">
        <v>2.495E-2</v>
      </c>
      <c r="T630" s="12">
        <v>46236.012370046294</v>
      </c>
      <c r="U630" s="12">
        <v>46237.012370046294</v>
      </c>
      <c r="V630" s="14">
        <v>5</v>
      </c>
      <c r="W630" s="14">
        <v>1</v>
      </c>
      <c r="X630" s="14">
        <v>1</v>
      </c>
      <c r="Y630" s="14">
        <v>1.0000000000000001E-5</v>
      </c>
      <c r="Z630" s="10" t="str">
        <f>IF(AND(D630="TRADING",I630&lt;&gt;"",L630&lt;&gt;"",M630&lt;&gt;"",N630&lt;&gt;"",O630&lt;&gt;""),"Yes","No")</f>
        <v>Yes</v>
      </c>
      <c r="AA630" s="10" t="s">
        <v>56</v>
      </c>
    </row>
    <row r="631" spans="1:27">
      <c r="A631" s="10" t="s">
        <v>806</v>
      </c>
      <c r="B631" s="10" t="s">
        <v>807</v>
      </c>
      <c r="C631" s="10" t="s">
        <v>12</v>
      </c>
      <c r="D631" s="10" t="s">
        <v>55</v>
      </c>
      <c r="E631" s="11" t="b">
        <v>1</v>
      </c>
      <c r="F631" s="12">
        <v>46142</v>
      </c>
      <c r="G631" s="12">
        <v>46142.999999988424</v>
      </c>
      <c r="H631" s="13">
        <f>IF(F631="","",(Summary!$B$5-F631)/365.25)</f>
        <v>0.26013002414632436</v>
      </c>
      <c r="I631" s="14">
        <v>3.6260000000000001E-2</v>
      </c>
      <c r="J631" s="15">
        <v>-1.091E-2</v>
      </c>
      <c r="K631" s="16">
        <v>27755774.399999999</v>
      </c>
      <c r="L631" s="16">
        <v>1036686.479372</v>
      </c>
      <c r="M631" s="17">
        <v>22307</v>
      </c>
      <c r="N631" s="14">
        <v>3.6249999999999998E-2</v>
      </c>
      <c r="O631" s="14">
        <v>3.6269999999999997E-2</v>
      </c>
      <c r="P631" s="18">
        <f>IF(OR(N631="",O631="",N631=0,O631=0),"",(O631-N631)/((O631+N631)/2))</f>
        <v>5.5157198014338621E-4</v>
      </c>
      <c r="Q631" s="14">
        <v>3.7350300000000003E-2</v>
      </c>
      <c r="R631" s="14">
        <v>3.8420000000000003E-2</v>
      </c>
      <c r="S631" s="14">
        <v>3.6170000000000001E-2</v>
      </c>
      <c r="T631" s="12">
        <v>46236.012482685182</v>
      </c>
      <c r="U631" s="12">
        <v>46237.012482685182</v>
      </c>
      <c r="V631" s="14">
        <v>5</v>
      </c>
      <c r="W631" s="14">
        <v>0.1</v>
      </c>
      <c r="X631" s="14">
        <v>0.1</v>
      </c>
      <c r="Y631" s="14">
        <v>1.0000000000000001E-5</v>
      </c>
      <c r="Z631" s="10" t="str">
        <f>IF(AND(D631="TRADING",I631&lt;&gt;"",L631&lt;&gt;"",M631&lt;&gt;"",N631&lt;&gt;"",O631&lt;&gt;""),"Yes","No")</f>
        <v>Yes</v>
      </c>
      <c r="AA631" s="10" t="s">
        <v>56</v>
      </c>
    </row>
    <row r="632" spans="1:27">
      <c r="A632" s="10" t="s">
        <v>119</v>
      </c>
      <c r="B632" s="10" t="s">
        <v>120</v>
      </c>
      <c r="C632" s="10" t="s">
        <v>12</v>
      </c>
      <c r="D632" s="10" t="s">
        <v>55</v>
      </c>
      <c r="E632" s="11" t="b">
        <v>1</v>
      </c>
      <c r="F632" s="12">
        <v>46156</v>
      </c>
      <c r="G632" s="12">
        <v>46156.999999988424</v>
      </c>
      <c r="H632" s="13">
        <f>IF(F632="","",(Summary!$B$5-F632)/365.25)</f>
        <v>0.22180011312647491</v>
      </c>
      <c r="I632" s="14">
        <v>2.2839999999999999E-2</v>
      </c>
      <c r="J632" s="15">
        <v>-1.2110000000000001E-2</v>
      </c>
      <c r="K632" s="16">
        <v>19419194</v>
      </c>
      <c r="L632" s="16">
        <v>443770.03243999998</v>
      </c>
      <c r="M632" s="17">
        <v>10504</v>
      </c>
      <c r="N632" s="14">
        <v>2.283E-2</v>
      </c>
      <c r="O632" s="14">
        <v>2.2839999999999999E-2</v>
      </c>
      <c r="P632" s="18">
        <f>IF(OR(N632="",O632="",N632=0,O632=0),"",(O632-N632)/((O632+N632)/2))</f>
        <v>4.3792423910661668E-4</v>
      </c>
      <c r="Q632" s="14">
        <v>2.2852129999999998E-2</v>
      </c>
      <c r="R632" s="14">
        <v>2.3310000000000001E-2</v>
      </c>
      <c r="S632" s="14">
        <v>2.2550000000000001E-2</v>
      </c>
      <c r="T632" s="12">
        <v>46236.012479699071</v>
      </c>
      <c r="U632" s="12">
        <v>46237.012479699071</v>
      </c>
      <c r="V632" s="14">
        <v>5</v>
      </c>
      <c r="W632" s="14">
        <v>1</v>
      </c>
      <c r="X632" s="14">
        <v>1</v>
      </c>
      <c r="Y632" s="14">
        <v>1.0000000000000001E-5</v>
      </c>
      <c r="Z632" s="10" t="str">
        <f>IF(AND(D632="TRADING",I632&lt;&gt;"",L632&lt;&gt;"",M632&lt;&gt;"",N632&lt;&gt;"",O632&lt;&gt;""),"Yes","No")</f>
        <v>Yes</v>
      </c>
      <c r="AA632" s="10" t="s">
        <v>56</v>
      </c>
    </row>
    <row r="633" spans="1:27">
      <c r="A633" s="10" t="s">
        <v>574</v>
      </c>
      <c r="B633" s="10" t="s">
        <v>575</v>
      </c>
      <c r="C633" s="10" t="s">
        <v>12</v>
      </c>
      <c r="D633" s="10" t="s">
        <v>55</v>
      </c>
      <c r="E633" s="11" t="b">
        <v>1</v>
      </c>
      <c r="F633" s="12">
        <v>46164</v>
      </c>
      <c r="G633" s="12">
        <v>46164.999999988424</v>
      </c>
      <c r="H633" s="13">
        <f>IF(F633="","",(Summary!$B$5-F633)/365.25)</f>
        <v>0.19989730682941811</v>
      </c>
      <c r="I633" s="14">
        <v>0.32650000000000001</v>
      </c>
      <c r="J633" s="15">
        <v>7.0899999999999999E-3</v>
      </c>
      <c r="K633" s="16">
        <v>484292.7</v>
      </c>
      <c r="L633" s="16">
        <v>159029.86371999999</v>
      </c>
      <c r="M633" s="17">
        <v>2970</v>
      </c>
      <c r="N633" s="14">
        <v>0.32650000000000001</v>
      </c>
      <c r="O633" s="14">
        <v>0.32690000000000002</v>
      </c>
      <c r="P633" s="18">
        <f>IF(OR(N633="",O633="",N633=0,O633=0),"",(O633-N633)/((O633+N633)/2))</f>
        <v>1.2243648607285322E-3</v>
      </c>
      <c r="Q633" s="14">
        <v>0.32837550999999998</v>
      </c>
      <c r="R633" s="14">
        <v>0.33539999999999998</v>
      </c>
      <c r="S633" s="14">
        <v>0.32200000000000001</v>
      </c>
      <c r="T633" s="12">
        <v>46236.012462662038</v>
      </c>
      <c r="U633" s="12">
        <v>46237.012462662038</v>
      </c>
      <c r="V633" s="14">
        <v>5</v>
      </c>
      <c r="W633" s="14">
        <v>0.1</v>
      </c>
      <c r="X633" s="14">
        <v>0.1</v>
      </c>
      <c r="Y633" s="14">
        <v>1E-4</v>
      </c>
      <c r="Z633" s="10" t="str">
        <f>IF(AND(D633="TRADING",I633&lt;&gt;"",L633&lt;&gt;"",M633&lt;&gt;"",N633&lt;&gt;"",O633&lt;&gt;""),"Yes","No")</f>
        <v>Yes</v>
      </c>
      <c r="AA633" s="10" t="s">
        <v>56</v>
      </c>
    </row>
    <row r="634" spans="1:27">
      <c r="A634" s="10" t="s">
        <v>934</v>
      </c>
      <c r="B634" s="10" t="s">
        <v>935</v>
      </c>
      <c r="C634" s="10" t="s">
        <v>12</v>
      </c>
      <c r="D634" s="10" t="s">
        <v>55</v>
      </c>
      <c r="E634" s="11" t="b">
        <v>1</v>
      </c>
      <c r="F634" s="12">
        <v>46164</v>
      </c>
      <c r="G634" s="12">
        <v>46164.999999988424</v>
      </c>
      <c r="H634" s="13">
        <f>IF(F634="","",(Summary!$B$5-F634)/365.25)</f>
        <v>0.19989730682941811</v>
      </c>
      <c r="I634" s="14">
        <v>9.0399999999999994E-2</v>
      </c>
      <c r="J634" s="15">
        <v>-6.3210000000000002E-2</v>
      </c>
      <c r="K634" s="16">
        <v>5999798.7000000002</v>
      </c>
      <c r="L634" s="16">
        <v>558452.02153999999</v>
      </c>
      <c r="M634" s="17">
        <v>4368</v>
      </c>
      <c r="N634" s="14">
        <v>9.0300000000000005E-2</v>
      </c>
      <c r="O634" s="14">
        <v>9.0399999999999994E-2</v>
      </c>
      <c r="P634" s="18">
        <f>IF(OR(N634="",O634="",N634=0,O634=0),"",(O634-N634)/((O634+N634)/2))</f>
        <v>1.1068068622024237E-3</v>
      </c>
      <c r="Q634" s="14">
        <v>9.3078460000000002E-2</v>
      </c>
      <c r="R634" s="14">
        <v>9.6500000000000002E-2</v>
      </c>
      <c r="S634" s="14">
        <v>8.9700000000000002E-2</v>
      </c>
      <c r="T634" s="12">
        <v>46236.011756631946</v>
      </c>
      <c r="U634" s="12">
        <v>46237.011756631946</v>
      </c>
      <c r="V634" s="14">
        <v>5</v>
      </c>
      <c r="W634" s="14">
        <v>0.1</v>
      </c>
      <c r="X634" s="14">
        <v>0.1</v>
      </c>
      <c r="Y634" s="14">
        <v>1E-4</v>
      </c>
      <c r="Z634" s="10" t="str">
        <f>IF(AND(D634="TRADING",I634&lt;&gt;"",L634&lt;&gt;"",M634&lt;&gt;"",N634&lt;&gt;"",O634&lt;&gt;""),"Yes","No")</f>
        <v>Yes</v>
      </c>
      <c r="AA634" s="10" t="s">
        <v>56</v>
      </c>
    </row>
    <row r="635" spans="1:27">
      <c r="A635" s="10" t="s">
        <v>387</v>
      </c>
      <c r="B635" s="10" t="s">
        <v>388</v>
      </c>
      <c r="C635" s="10" t="s">
        <v>12</v>
      </c>
      <c r="D635" s="10" t="s">
        <v>55</v>
      </c>
      <c r="E635" s="11" t="b">
        <v>1</v>
      </c>
      <c r="F635" s="12">
        <v>46184</v>
      </c>
      <c r="G635" s="12">
        <v>46184.999999988424</v>
      </c>
      <c r="H635" s="13">
        <f>IF(F635="","",(Summary!$B$5-F635)/365.25)</f>
        <v>0.14514029108677606</v>
      </c>
      <c r="I635" s="14">
        <v>62.27</v>
      </c>
      <c r="J635" s="15">
        <v>2.418E-2</v>
      </c>
      <c r="K635" s="16">
        <v>36298.92</v>
      </c>
      <c r="L635" s="16">
        <v>2222513.7798000001</v>
      </c>
      <c r="M635" s="17">
        <v>13224</v>
      </c>
      <c r="N635" s="14">
        <v>62.26</v>
      </c>
      <c r="O635" s="14">
        <v>62.29</v>
      </c>
      <c r="P635" s="18">
        <f>IF(OR(N635="",O635="",N635=0,O635=0),"",(O635-N635)/((O635+N635)/2))</f>
        <v>4.8173424327581111E-4</v>
      </c>
      <c r="Q635" s="14">
        <v>61.22809659</v>
      </c>
      <c r="R635" s="14">
        <v>62.45</v>
      </c>
      <c r="S635" s="14">
        <v>60.46</v>
      </c>
      <c r="T635" s="12">
        <v>46236.01247962963</v>
      </c>
      <c r="U635" s="12">
        <v>46237.01247962963</v>
      </c>
      <c r="V635" s="14">
        <v>5</v>
      </c>
      <c r="W635" s="14">
        <v>0.01</v>
      </c>
      <c r="X635" s="14">
        <v>0.01</v>
      </c>
      <c r="Y635" s="14">
        <v>0.01</v>
      </c>
      <c r="Z635" s="10" t="str">
        <f>IF(AND(D635="TRADING",I635&lt;&gt;"",L635&lt;&gt;"",M635&lt;&gt;"",N635&lt;&gt;"",O635&lt;&gt;""),"Yes","No")</f>
        <v>Yes</v>
      </c>
      <c r="AA635" s="10" t="s">
        <v>56</v>
      </c>
    </row>
    <row r="636" spans="1:27">
      <c r="A636" s="10" t="s">
        <v>854</v>
      </c>
      <c r="B636" s="10" t="s">
        <v>855</v>
      </c>
      <c r="C636" s="10" t="s">
        <v>12</v>
      </c>
      <c r="D636" s="10" t="s">
        <v>55</v>
      </c>
      <c r="E636" s="11" t="b">
        <v>1</v>
      </c>
      <c r="F636" s="12">
        <v>46184</v>
      </c>
      <c r="G636" s="12">
        <v>46184.999999988424</v>
      </c>
      <c r="H636" s="13">
        <f>IF(F636="","",(Summary!$B$5-F636)/365.25)</f>
        <v>0.14514029108677606</v>
      </c>
      <c r="I636" s="14">
        <v>847.08</v>
      </c>
      <c r="J636" s="15">
        <v>2.8170000000000001E-2</v>
      </c>
      <c r="K636" s="16">
        <v>11803.376</v>
      </c>
      <c r="L636" s="16">
        <v>9979986.69142</v>
      </c>
      <c r="M636" s="17">
        <v>106379</v>
      </c>
      <c r="N636" s="14">
        <v>846.68</v>
      </c>
      <c r="O636" s="14">
        <v>846.89</v>
      </c>
      <c r="P636" s="18">
        <f>IF(OR(N636="",O636="",N636=0,O636=0),"",(O636-N636)/((O636+N636)/2))</f>
        <v>2.4799683508805231E-4</v>
      </c>
      <c r="Q636" s="14">
        <v>845.51967940999998</v>
      </c>
      <c r="R636" s="14">
        <v>864.93</v>
      </c>
      <c r="S636" s="14">
        <v>821.7</v>
      </c>
      <c r="T636" s="12">
        <v>46236.012483217593</v>
      </c>
      <c r="U636" s="12">
        <v>46237.012483217593</v>
      </c>
      <c r="V636" s="14">
        <v>5</v>
      </c>
      <c r="W636" s="14">
        <v>1E-3</v>
      </c>
      <c r="X636" s="14">
        <v>1E-3</v>
      </c>
      <c r="Y636" s="14">
        <v>0.01</v>
      </c>
      <c r="Z636" s="10" t="str">
        <f>IF(AND(D636="TRADING",I636&lt;&gt;"",L636&lt;&gt;"",M636&lt;&gt;"",N636&lt;&gt;"",O636&lt;&gt;""),"Yes","No")</f>
        <v>Yes</v>
      </c>
      <c r="AA636" s="10" t="s">
        <v>56</v>
      </c>
    </row>
    <row r="637" spans="1:27">
      <c r="A637" s="10" t="s">
        <v>904</v>
      </c>
      <c r="B637" s="10" t="s">
        <v>905</v>
      </c>
      <c r="C637" s="10" t="s">
        <v>12</v>
      </c>
      <c r="D637" s="10" t="s">
        <v>55</v>
      </c>
      <c r="E637" s="11" t="b">
        <v>1</v>
      </c>
      <c r="F637" s="12">
        <v>46184</v>
      </c>
      <c r="G637" s="12">
        <v>46184.999999988424</v>
      </c>
      <c r="H637" s="13">
        <f>IF(F637="","",(Summary!$B$5-F637)/365.25)</f>
        <v>0.14514029108677606</v>
      </c>
      <c r="I637" s="14">
        <v>201.82</v>
      </c>
      <c r="J637" s="15">
        <v>1.2490000000000001E-2</v>
      </c>
      <c r="K637" s="16">
        <v>8006.098</v>
      </c>
      <c r="L637" s="16">
        <v>1604179.9262900001</v>
      </c>
      <c r="M637" s="17">
        <v>11266</v>
      </c>
      <c r="N637" s="14">
        <v>201.68</v>
      </c>
      <c r="O637" s="14">
        <v>201.82</v>
      </c>
      <c r="P637" s="18">
        <f>IF(OR(N637="",O637="",N637=0,O637=0),"",(O637-N637)/((O637+N637)/2))</f>
        <v>6.9392812887229913E-4</v>
      </c>
      <c r="Q637" s="14">
        <v>200.36975894</v>
      </c>
      <c r="R637" s="14">
        <v>201.9</v>
      </c>
      <c r="S637" s="14">
        <v>198.23</v>
      </c>
      <c r="T637" s="12">
        <v>46236.012460972219</v>
      </c>
      <c r="U637" s="12">
        <v>46237.012460972219</v>
      </c>
      <c r="V637" s="14">
        <v>5</v>
      </c>
      <c r="W637" s="14">
        <v>1E-3</v>
      </c>
      <c r="X637" s="14">
        <v>1E-3</v>
      </c>
      <c r="Y637" s="14">
        <v>0.01</v>
      </c>
      <c r="Z637" s="10" t="str">
        <f>IF(AND(D637="TRADING",I637&lt;&gt;"",L637&lt;&gt;"",M637&lt;&gt;"",N637&lt;&gt;"",O637&lt;&gt;""),"Yes","No")</f>
        <v>Yes</v>
      </c>
      <c r="AA637" s="10" t="s">
        <v>56</v>
      </c>
    </row>
    <row r="638" spans="1:27">
      <c r="A638" s="10" t="s">
        <v>1136</v>
      </c>
      <c r="B638" s="10" t="s">
        <v>1137</v>
      </c>
      <c r="C638" s="10" t="s">
        <v>12</v>
      </c>
      <c r="D638" s="10" t="s">
        <v>55</v>
      </c>
      <c r="E638" s="11" t="b">
        <v>1</v>
      </c>
      <c r="F638" s="12">
        <v>46184</v>
      </c>
      <c r="G638" s="12">
        <v>46184.999999988424</v>
      </c>
      <c r="H638" s="13">
        <f>IF(F638="","",(Summary!$B$5-F638)/365.25)</f>
        <v>0.14514029108677606</v>
      </c>
      <c r="I638" s="14">
        <v>1248.29</v>
      </c>
      <c r="J638" s="15">
        <v>2.2679999999999999E-2</v>
      </c>
      <c r="K638" s="16">
        <v>5381.5749999999998</v>
      </c>
      <c r="L638" s="16">
        <v>6672468.7511029998</v>
      </c>
      <c r="M638" s="17">
        <v>74482</v>
      </c>
      <c r="N638" s="14">
        <v>1248.3</v>
      </c>
      <c r="O638" s="14">
        <v>1248.72</v>
      </c>
      <c r="P638" s="18">
        <f>IF(OR(N638="",O638="",N638=0,O638=0),"",(O638-N638)/((O638+N638)/2))</f>
        <v>3.3640098998011453E-4</v>
      </c>
      <c r="Q638" s="14">
        <v>1239.8728534100001</v>
      </c>
      <c r="R638" s="14">
        <v>1259.0999999999999</v>
      </c>
      <c r="S638" s="14">
        <v>1213.9100000000001</v>
      </c>
      <c r="T638" s="12">
        <v>46236.012482418984</v>
      </c>
      <c r="U638" s="12">
        <v>46237.012482418984</v>
      </c>
      <c r="V638" s="14">
        <v>5</v>
      </c>
      <c r="W638" s="14">
        <v>1E-4</v>
      </c>
      <c r="X638" s="14">
        <v>1E-4</v>
      </c>
      <c r="Y638" s="14">
        <v>0.01</v>
      </c>
      <c r="Z638" s="10" t="str">
        <f>IF(AND(D638="TRADING",I638&lt;&gt;"",L638&lt;&gt;"",M638&lt;&gt;"",N638&lt;&gt;"",O638&lt;&gt;""),"Yes","No")</f>
        <v>Yes</v>
      </c>
      <c r="AA638" s="10" t="s">
        <v>56</v>
      </c>
    </row>
    <row r="639" spans="1:27">
      <c r="A639" s="10" t="s">
        <v>1253</v>
      </c>
      <c r="B639" s="10" t="s">
        <v>1254</v>
      </c>
      <c r="C639" s="10" t="s">
        <v>12</v>
      </c>
      <c r="D639" s="10" t="s">
        <v>55</v>
      </c>
      <c r="E639" s="11" t="b">
        <v>1</v>
      </c>
      <c r="F639" s="12">
        <v>46184</v>
      </c>
      <c r="G639" s="12">
        <v>46184.999999988424</v>
      </c>
      <c r="H639" s="13">
        <f>IF(F639="","",(Summary!$B$5-F639)/365.25)</f>
        <v>0.14514029108677606</v>
      </c>
      <c r="I639" s="14">
        <v>313.77999999999997</v>
      </c>
      <c r="J639" s="15">
        <v>1.583E-2</v>
      </c>
      <c r="K639" s="16">
        <v>1769.6849999999999</v>
      </c>
      <c r="L639" s="16">
        <v>553381.37110999995</v>
      </c>
      <c r="M639" s="17">
        <v>9007</v>
      </c>
      <c r="N639" s="14">
        <v>313.70999999999998</v>
      </c>
      <c r="O639" s="14">
        <v>313.81</v>
      </c>
      <c r="P639" s="18">
        <f>IF(OR(N639="",O639="",N639=0,O639=0),"",(O639-N639)/((O639+N639)/2))</f>
        <v>3.1871494135652327E-4</v>
      </c>
      <c r="Q639" s="14">
        <v>312.70049252000001</v>
      </c>
      <c r="R639" s="14">
        <v>315.33999999999997</v>
      </c>
      <c r="S639" s="14">
        <v>308.89</v>
      </c>
      <c r="T639" s="12">
        <v>46236.012472453702</v>
      </c>
      <c r="U639" s="12">
        <v>46237.012472453702</v>
      </c>
      <c r="V639" s="14">
        <v>5</v>
      </c>
      <c r="W639" s="14">
        <v>1E-3</v>
      </c>
      <c r="X639" s="14">
        <v>1E-3</v>
      </c>
      <c r="Y639" s="14">
        <v>0.01</v>
      </c>
      <c r="Z639" s="10" t="str">
        <f>IF(AND(D639="TRADING",I639&lt;&gt;"",L639&lt;&gt;"",M639&lt;&gt;"",N639&lt;&gt;"",O639&lt;&gt;""),"Yes","No")</f>
        <v>Yes</v>
      </c>
      <c r="AA639" s="10" t="s">
        <v>56</v>
      </c>
    </row>
    <row r="640" spans="1:27">
      <c r="A640" s="10" t="s">
        <v>1155</v>
      </c>
      <c r="B640" s="10" t="s">
        <v>1156</v>
      </c>
      <c r="C640" s="10" t="s">
        <v>12</v>
      </c>
      <c r="D640" s="10" t="s">
        <v>55</v>
      </c>
      <c r="E640" s="11" t="b">
        <v>1</v>
      </c>
      <c r="F640" s="12">
        <v>46185</v>
      </c>
      <c r="G640" s="12">
        <v>46185.999999988424</v>
      </c>
      <c r="H640" s="13">
        <f>IF(F640="","",(Summary!$B$5-F640)/365.25)</f>
        <v>0.14240244029964397</v>
      </c>
      <c r="I640" s="14">
        <v>108.83</v>
      </c>
      <c r="J640" s="15">
        <v>2.3E-3</v>
      </c>
      <c r="K640" s="16">
        <v>43181.661</v>
      </c>
      <c r="L640" s="16">
        <v>4700426.4678499997</v>
      </c>
      <c r="M640" s="17">
        <v>23450</v>
      </c>
      <c r="N640" s="14">
        <v>108.8</v>
      </c>
      <c r="O640" s="14">
        <v>108.81</v>
      </c>
      <c r="P640" s="18">
        <f>IF(OR(N640="",O640="",N640=0,O640=0),"",(O640-N640)/((O640+N640)/2))</f>
        <v>9.1907541013787195E-5</v>
      </c>
      <c r="Q640" s="14">
        <v>108.85237758</v>
      </c>
      <c r="R640" s="14">
        <v>109.61</v>
      </c>
      <c r="S640" s="14">
        <v>108.19</v>
      </c>
      <c r="T640" s="12">
        <v>46236.0124818287</v>
      </c>
      <c r="U640" s="12">
        <v>46237.0124818287</v>
      </c>
      <c r="V640" s="14">
        <v>5</v>
      </c>
      <c r="W640" s="14">
        <v>1E-3</v>
      </c>
      <c r="X640" s="14">
        <v>1E-3</v>
      </c>
      <c r="Y640" s="14">
        <v>0.01</v>
      </c>
      <c r="Z640" s="10" t="str">
        <f>IF(AND(D640="TRADING",I640&lt;&gt;"",L640&lt;&gt;"",M640&lt;&gt;"",N640&lt;&gt;"",O640&lt;&gt;""),"Yes","No")</f>
        <v>Yes</v>
      </c>
      <c r="AA640" s="10" t="s">
        <v>56</v>
      </c>
    </row>
    <row r="641" spans="1:27">
      <c r="A641" s="10" t="s">
        <v>1066</v>
      </c>
      <c r="B641" s="10" t="s">
        <v>1067</v>
      </c>
      <c r="C641" s="10" t="s">
        <v>12</v>
      </c>
      <c r="D641" s="10" t="s">
        <v>55</v>
      </c>
      <c r="E641" s="11" t="b">
        <v>1</v>
      </c>
      <c r="F641" s="12">
        <v>46191</v>
      </c>
      <c r="G641" s="12">
        <v>46191.999999988424</v>
      </c>
      <c r="H641" s="13">
        <f>IF(F641="","",(Summary!$B$5-F641)/365.25)</f>
        <v>0.12597533557685137</v>
      </c>
      <c r="I641" s="14">
        <v>0.41949999999999998</v>
      </c>
      <c r="J641" s="15">
        <v>-5.5820000000000002E-2</v>
      </c>
      <c r="K641" s="16">
        <v>5313437.7</v>
      </c>
      <c r="L641" s="16">
        <v>2267814.9652399998</v>
      </c>
      <c r="M641" s="17">
        <v>42704</v>
      </c>
      <c r="N641" s="14">
        <v>0.4194</v>
      </c>
      <c r="O641" s="14">
        <v>0.41949999999999998</v>
      </c>
      <c r="P641" s="18">
        <f>IF(OR(N641="",O641="",N641=0,O641=0),"",(O641-N641)/((O641+N641)/2))</f>
        <v>2.3840743831204909E-4</v>
      </c>
      <c r="Q641" s="14">
        <v>0.42680748000000002</v>
      </c>
      <c r="R641" s="14">
        <v>0.44619999999999999</v>
      </c>
      <c r="S641" s="14">
        <v>0.40770000000000001</v>
      </c>
      <c r="T641" s="12">
        <v>46236.012483599538</v>
      </c>
      <c r="U641" s="12">
        <v>46237.012483599538</v>
      </c>
      <c r="V641" s="14">
        <v>5</v>
      </c>
      <c r="W641" s="14">
        <v>0.1</v>
      </c>
      <c r="X641" s="14">
        <v>0.1</v>
      </c>
      <c r="Y641" s="14">
        <v>1E-4</v>
      </c>
      <c r="Z641" s="10" t="str">
        <f>IF(AND(D641="TRADING",I641&lt;&gt;"",L641&lt;&gt;"",M641&lt;&gt;"",N641&lt;&gt;"",O641&lt;&gt;""),"Yes","No")</f>
        <v>Yes</v>
      </c>
      <c r="AA641" s="10" t="s">
        <v>56</v>
      </c>
    </row>
    <row r="642" spans="1:27">
      <c r="A642" s="10" t="s">
        <v>149</v>
      </c>
      <c r="B642" s="10" t="s">
        <v>150</v>
      </c>
      <c r="C642" s="10" t="s">
        <v>12</v>
      </c>
      <c r="D642" s="10" t="s">
        <v>55</v>
      </c>
      <c r="E642" s="11" t="b">
        <v>1</v>
      </c>
      <c r="F642" s="12">
        <v>46196</v>
      </c>
      <c r="G642" s="12">
        <v>46196.999999988424</v>
      </c>
      <c r="H642" s="13">
        <f>IF(F642="","",(Summary!$B$5-F642)/365.25)</f>
        <v>0.11228608164119086</v>
      </c>
      <c r="I642" s="14">
        <v>485.9</v>
      </c>
      <c r="J642" s="15">
        <v>2.3060000000000001E-2</v>
      </c>
      <c r="K642" s="16">
        <v>1704.8530000000001</v>
      </c>
      <c r="L642" s="16">
        <v>826745.57487000001</v>
      </c>
      <c r="M642" s="17">
        <v>11615</v>
      </c>
      <c r="N642" s="14">
        <v>485.91</v>
      </c>
      <c r="O642" s="14">
        <v>486.26</v>
      </c>
      <c r="P642" s="18">
        <f>IF(OR(N642="",O642="",N642=0,O642=0),"",(O642-N642)/((O642+N642)/2))</f>
        <v>7.2003867636311731E-4</v>
      </c>
      <c r="Q642" s="14">
        <v>484.93657510000003</v>
      </c>
      <c r="R642" s="14">
        <v>494.35</v>
      </c>
      <c r="S642" s="14">
        <v>474.84</v>
      </c>
      <c r="T642" s="12">
        <v>46236.01247908565</v>
      </c>
      <c r="U642" s="12">
        <v>46237.01247908565</v>
      </c>
      <c r="V642" s="14">
        <v>5</v>
      </c>
      <c r="W642" s="14">
        <v>1E-3</v>
      </c>
      <c r="X642" s="14">
        <v>1E-3</v>
      </c>
      <c r="Y642" s="14">
        <v>0.01</v>
      </c>
      <c r="Z642" s="10" t="str">
        <f>IF(AND(D642="TRADING",I642&lt;&gt;"",L642&lt;&gt;"",M642&lt;&gt;"",N642&lt;&gt;"",O642&lt;&gt;""),"Yes","No")</f>
        <v>Yes</v>
      </c>
      <c r="AA642" s="10" t="s">
        <v>56</v>
      </c>
    </row>
    <row r="643" spans="1:27">
      <c r="A643" s="10" t="s">
        <v>514</v>
      </c>
      <c r="B643" s="10" t="s">
        <v>515</v>
      </c>
      <c r="C643" s="10" t="s">
        <v>12</v>
      </c>
      <c r="D643" s="10" t="s">
        <v>55</v>
      </c>
      <c r="E643" s="11" t="b">
        <v>1</v>
      </c>
      <c r="F643" s="12">
        <v>46196</v>
      </c>
      <c r="G643" s="12">
        <v>46196.999999988424</v>
      </c>
      <c r="H643" s="13">
        <f>IF(F643="","",(Summary!$B$5-F643)/365.25)</f>
        <v>0.11228608164119086</v>
      </c>
      <c r="I643" s="14">
        <v>161.44</v>
      </c>
      <c r="J643" s="15">
        <v>2.1770000000000001E-2</v>
      </c>
      <c r="K643" s="16">
        <v>20756.425999999999</v>
      </c>
      <c r="L643" s="16">
        <v>3343975.1683299998</v>
      </c>
      <c r="M643" s="17">
        <v>64810</v>
      </c>
      <c r="N643" s="14">
        <v>161.22</v>
      </c>
      <c r="O643" s="14">
        <v>161.32</v>
      </c>
      <c r="P643" s="18">
        <f>IF(OR(N643="",O643="",N643=0,O643=0),"",(O643-N643)/((O643+N643)/2))</f>
        <v>6.2007812984432521E-4</v>
      </c>
      <c r="Q643" s="14">
        <v>161.10553755000001</v>
      </c>
      <c r="R643" s="14">
        <v>164</v>
      </c>
      <c r="S643" s="14">
        <v>157.4</v>
      </c>
      <c r="T643" s="12">
        <v>46236.012484178238</v>
      </c>
      <c r="U643" s="12">
        <v>46237.012484178238</v>
      </c>
      <c r="V643" s="14">
        <v>5</v>
      </c>
      <c r="W643" s="14">
        <v>1E-3</v>
      </c>
      <c r="X643" s="14">
        <v>1E-3</v>
      </c>
      <c r="Y643" s="14">
        <v>0.01</v>
      </c>
      <c r="Z643" s="10" t="str">
        <f>IF(AND(D643="TRADING",I643&lt;&gt;"",L643&lt;&gt;"",M643&lt;&gt;"",N643&lt;&gt;"",O643&lt;&gt;""),"Yes","No")</f>
        <v>Yes</v>
      </c>
      <c r="AA643" s="10" t="s">
        <v>56</v>
      </c>
    </row>
    <row r="644" spans="1:27">
      <c r="A644" s="10" t="s">
        <v>672</v>
      </c>
      <c r="B644" s="10" t="s">
        <v>673</v>
      </c>
      <c r="C644" s="10" t="s">
        <v>12</v>
      </c>
      <c r="D644" s="10" t="s">
        <v>55</v>
      </c>
      <c r="E644" s="11" t="b">
        <v>1</v>
      </c>
      <c r="F644" s="12">
        <v>46196</v>
      </c>
      <c r="G644" s="12">
        <v>46196.999999988424</v>
      </c>
      <c r="H644" s="13">
        <f>IF(F644="","",(Summary!$B$5-F644)/365.25)</f>
        <v>0.11228608164119086</v>
      </c>
      <c r="I644" s="14">
        <v>92.3</v>
      </c>
      <c r="J644" s="15">
        <v>2.0339999999999997E-2</v>
      </c>
      <c r="K644" s="16">
        <v>7899.61</v>
      </c>
      <c r="L644" s="16">
        <v>729669.41489000001</v>
      </c>
      <c r="M644" s="17">
        <v>11225</v>
      </c>
      <c r="N644" s="14">
        <v>92.29</v>
      </c>
      <c r="O644" s="14">
        <v>92.3</v>
      </c>
      <c r="P644" s="18">
        <f>IF(OR(N644="",O644="",N644=0,O644=0),"",(O644-N644)/((O644+N644)/2))</f>
        <v>1.0834823121502687E-4</v>
      </c>
      <c r="Q644" s="14">
        <v>92.367777000000004</v>
      </c>
      <c r="R644" s="14">
        <v>94.28</v>
      </c>
      <c r="S644" s="14">
        <v>90.13</v>
      </c>
      <c r="T644" s="12">
        <v>46236.012480844911</v>
      </c>
      <c r="U644" s="12">
        <v>46237.012480844911</v>
      </c>
      <c r="V644" s="14">
        <v>5</v>
      </c>
      <c r="W644" s="14">
        <v>1E-3</v>
      </c>
      <c r="X644" s="14">
        <v>1E-3</v>
      </c>
      <c r="Y644" s="14">
        <v>0.01</v>
      </c>
      <c r="Z644" s="10" t="str">
        <f>IF(AND(D644="TRADING",I644&lt;&gt;"",L644&lt;&gt;"",M644&lt;&gt;"",N644&lt;&gt;"",O644&lt;&gt;""),"Yes","No")</f>
        <v>Yes</v>
      </c>
      <c r="AA644" s="10" t="s">
        <v>56</v>
      </c>
    </row>
    <row r="645" spans="1:27">
      <c r="A645" s="10" t="s">
        <v>848</v>
      </c>
      <c r="B645" s="10" t="s">
        <v>849</v>
      </c>
      <c r="C645" s="10" t="s">
        <v>12</v>
      </c>
      <c r="D645" s="10" t="s">
        <v>55</v>
      </c>
      <c r="E645" s="11" t="b">
        <v>1</v>
      </c>
      <c r="F645" s="12">
        <v>46196</v>
      </c>
      <c r="G645" s="12">
        <v>46196.999999988424</v>
      </c>
      <c r="H645" s="13">
        <f>IF(F645="","",(Summary!$B$5-F645)/365.25)</f>
        <v>0.11228608164119086</v>
      </c>
      <c r="I645" s="14">
        <v>94.23</v>
      </c>
      <c r="J645" s="15">
        <v>1.1699999999999999E-2</v>
      </c>
      <c r="K645" s="16">
        <v>5458.6869999999999</v>
      </c>
      <c r="L645" s="16">
        <v>514409.18004000001</v>
      </c>
      <c r="M645" s="17">
        <v>7170</v>
      </c>
      <c r="N645" s="14">
        <v>94.23</v>
      </c>
      <c r="O645" s="14">
        <v>94.3</v>
      </c>
      <c r="P645" s="18">
        <f>IF(OR(N645="",O645="",N645=0,O645=0),"",(O645-N645)/((O645+N645)/2))</f>
        <v>7.4258738662274625E-4</v>
      </c>
      <c r="Q645" s="14">
        <v>94.236797240000001</v>
      </c>
      <c r="R645" s="14">
        <v>94.86</v>
      </c>
      <c r="S645" s="14">
        <v>93.03</v>
      </c>
      <c r="T645" s="12">
        <v>46236.01247908565</v>
      </c>
      <c r="U645" s="12">
        <v>46237.01247908565</v>
      </c>
      <c r="V645" s="14">
        <v>5</v>
      </c>
      <c r="W645" s="14">
        <v>1E-3</v>
      </c>
      <c r="X645" s="14">
        <v>1E-3</v>
      </c>
      <c r="Y645" s="14">
        <v>0.01</v>
      </c>
      <c r="Z645" s="10" t="str">
        <f>IF(AND(D645="TRADING",I645&lt;&gt;"",L645&lt;&gt;"",M645&lt;&gt;"",N645&lt;&gt;"",O645&lt;&gt;""),"Yes","No")</f>
        <v>Yes</v>
      </c>
      <c r="AA645" s="10" t="s">
        <v>56</v>
      </c>
    </row>
    <row r="646" spans="1:27">
      <c r="A646" s="10" t="s">
        <v>754</v>
      </c>
      <c r="B646" s="10" t="s">
        <v>755</v>
      </c>
      <c r="C646" s="10" t="s">
        <v>12</v>
      </c>
      <c r="D646" s="10" t="s">
        <v>55</v>
      </c>
      <c r="E646" s="11" t="b">
        <v>1</v>
      </c>
      <c r="F646" s="12">
        <v>46203</v>
      </c>
      <c r="G646" s="12">
        <v>46203.999999988424</v>
      </c>
      <c r="H646" s="13">
        <f>IF(F646="","",(Summary!$B$5-F646)/365.25)</f>
        <v>9.3121126131266149E-2</v>
      </c>
      <c r="I646" s="14">
        <v>735.98</v>
      </c>
      <c r="J646" s="15">
        <v>2.878E-2</v>
      </c>
      <c r="K646" s="16">
        <v>271.40100000000001</v>
      </c>
      <c r="L646" s="16">
        <v>197636.25206</v>
      </c>
      <c r="M646" s="17">
        <v>8168</v>
      </c>
      <c r="N646" s="14">
        <v>734.45</v>
      </c>
      <c r="O646" s="14">
        <v>735.88</v>
      </c>
      <c r="P646" s="18">
        <f>IF(OR(N646="",O646="",N646=0,O646=0),"",(O646-N646)/((O646+N646)/2))</f>
        <v>1.9451415668590725E-3</v>
      </c>
      <c r="Q646" s="14">
        <v>728.20753077999996</v>
      </c>
      <c r="R646" s="14">
        <v>740.73</v>
      </c>
      <c r="S646" s="14">
        <v>713.11</v>
      </c>
      <c r="T646" s="12">
        <v>46236.012484259256</v>
      </c>
      <c r="U646" s="12">
        <v>46237.012484259256</v>
      </c>
      <c r="V646" s="14">
        <v>5</v>
      </c>
      <c r="W646" s="14">
        <v>1E-3</v>
      </c>
      <c r="X646" s="14">
        <v>1E-3</v>
      </c>
      <c r="Y646" s="14">
        <v>0.01</v>
      </c>
      <c r="Z646" s="10" t="str">
        <f>IF(AND(D646="TRADING",I646&lt;&gt;"",L646&lt;&gt;"",M646&lt;&gt;"",N646&lt;&gt;"",O646&lt;&gt;""),"Yes","No")</f>
        <v>Yes</v>
      </c>
      <c r="AA646" s="10" t="s">
        <v>56</v>
      </c>
    </row>
    <row r="647" spans="1:27">
      <c r="A647" s="10" t="s">
        <v>810</v>
      </c>
      <c r="B647" s="10" t="s">
        <v>811</v>
      </c>
      <c r="C647" s="10" t="s">
        <v>12</v>
      </c>
      <c r="D647" s="10" t="s">
        <v>55</v>
      </c>
      <c r="E647" s="11" t="b">
        <v>1</v>
      </c>
      <c r="F647" s="12">
        <v>46203</v>
      </c>
      <c r="G647" s="12">
        <v>46203.999999988424</v>
      </c>
      <c r="H647" s="13">
        <f>IF(F647="","",(Summary!$B$5-F647)/365.25)</f>
        <v>9.3121126131266149E-2</v>
      </c>
      <c r="I647" s="14">
        <v>563.14</v>
      </c>
      <c r="J647" s="15">
        <v>1.6629999999999999E-2</v>
      </c>
      <c r="K647" s="16">
        <v>167.696</v>
      </c>
      <c r="L647" s="16">
        <v>93534.759090000007</v>
      </c>
      <c r="M647" s="17">
        <v>2749</v>
      </c>
      <c r="N647" s="14">
        <v>563.04999999999995</v>
      </c>
      <c r="O647" s="14">
        <v>563.14</v>
      </c>
      <c r="P647" s="18">
        <f>IF(OR(N647="",O647="",N647=0,O647=0),"",(O647-N647)/((O647+N647)/2))</f>
        <v>1.5983093438945794E-4</v>
      </c>
      <c r="Q647" s="14">
        <v>557.76380528000004</v>
      </c>
      <c r="R647" s="14">
        <v>563.14</v>
      </c>
      <c r="S647" s="14">
        <v>553.92999999999995</v>
      </c>
      <c r="T647" s="12">
        <v>46236.012482303238</v>
      </c>
      <c r="U647" s="12">
        <v>46237.012482303238</v>
      </c>
      <c r="V647" s="14">
        <v>5</v>
      </c>
      <c r="W647" s="14">
        <v>1E-3</v>
      </c>
      <c r="X647" s="14">
        <v>1E-3</v>
      </c>
      <c r="Y647" s="14">
        <v>0.01</v>
      </c>
      <c r="Z647" s="10" t="str">
        <f>IF(AND(D647="TRADING",I647&lt;&gt;"",L647&lt;&gt;"",M647&lt;&gt;"",N647&lt;&gt;"",O647&lt;&gt;""),"Yes","No")</f>
        <v>Yes</v>
      </c>
      <c r="AA647" s="10" t="s">
        <v>56</v>
      </c>
    </row>
    <row r="648" spans="1:27">
      <c r="A648" s="10" t="s">
        <v>846</v>
      </c>
      <c r="B648" s="10" t="s">
        <v>847</v>
      </c>
      <c r="C648" s="10" t="s">
        <v>12</v>
      </c>
      <c r="D648" s="10" t="s">
        <v>55</v>
      </c>
      <c r="E648" s="11" t="b">
        <v>1</v>
      </c>
      <c r="F648" s="12">
        <v>46203</v>
      </c>
      <c r="G648" s="12">
        <v>46203.999999988424</v>
      </c>
      <c r="H648" s="13">
        <f>IF(F648="","",(Summary!$B$5-F648)/365.25)</f>
        <v>9.3121126131266149E-2</v>
      </c>
      <c r="I648" s="14">
        <v>468.17</v>
      </c>
      <c r="J648" s="15">
        <v>1.5180000000000001E-2</v>
      </c>
      <c r="K648" s="16">
        <v>561.22</v>
      </c>
      <c r="L648" s="16">
        <v>259805.11144000001</v>
      </c>
      <c r="M648" s="17">
        <v>3350</v>
      </c>
      <c r="N648" s="14">
        <v>468.23</v>
      </c>
      <c r="O648" s="14">
        <v>468.48</v>
      </c>
      <c r="P648" s="18">
        <f>IF(OR(N648="",O648="",N648=0,O648=0),"",(O648-N648)/((O648+N648)/2))</f>
        <v>5.3378313458807953E-4</v>
      </c>
      <c r="Q648" s="14">
        <v>462.92917473</v>
      </c>
      <c r="R648" s="14">
        <v>468.92</v>
      </c>
      <c r="S648" s="14">
        <v>459.92</v>
      </c>
      <c r="T648" s="12">
        <v>46236.012436701392</v>
      </c>
      <c r="U648" s="12">
        <v>46237.012436701392</v>
      </c>
      <c r="V648" s="14">
        <v>5</v>
      </c>
      <c r="W648" s="14">
        <v>1E-3</v>
      </c>
      <c r="X648" s="14">
        <v>1E-3</v>
      </c>
      <c r="Y648" s="14">
        <v>0.01</v>
      </c>
      <c r="Z648" s="10" t="str">
        <f>IF(AND(D648="TRADING",I648&lt;&gt;"",L648&lt;&gt;"",M648&lt;&gt;"",N648&lt;&gt;"",O648&lt;&gt;""),"Yes","No")</f>
        <v>Yes</v>
      </c>
      <c r="AA648" s="10" t="s">
        <v>56</v>
      </c>
    </row>
    <row r="649" spans="1:27">
      <c r="A649" s="10" t="s">
        <v>982</v>
      </c>
      <c r="B649" s="10" t="s">
        <v>983</v>
      </c>
      <c r="C649" s="10" t="s">
        <v>12</v>
      </c>
      <c r="D649" s="10" t="s">
        <v>55</v>
      </c>
      <c r="E649" s="11" t="b">
        <v>1</v>
      </c>
      <c r="F649" s="12">
        <v>46203</v>
      </c>
      <c r="G649" s="12">
        <v>46203.999999988424</v>
      </c>
      <c r="H649" s="13">
        <f>IF(F649="","",(Summary!$B$5-F649)/365.25)</f>
        <v>9.3121126131266149E-2</v>
      </c>
      <c r="I649" s="14">
        <v>125.21</v>
      </c>
      <c r="J649" s="15">
        <v>1.4590000000000001E-2</v>
      </c>
      <c r="K649" s="16">
        <v>546.75099999999998</v>
      </c>
      <c r="L649" s="16">
        <v>68023.644180000003</v>
      </c>
      <c r="M649" s="17">
        <v>2060</v>
      </c>
      <c r="N649" s="14">
        <v>125.21</v>
      </c>
      <c r="O649" s="14">
        <v>125.26</v>
      </c>
      <c r="P649" s="18">
        <f>IF(OR(N649="",O649="",N649=0,O649=0),"",(O649-N649)/((O649+N649)/2))</f>
        <v>3.9924941110720938E-4</v>
      </c>
      <c r="Q649" s="14">
        <v>124.41430226999999</v>
      </c>
      <c r="R649" s="14">
        <v>126.42</v>
      </c>
      <c r="S649" s="14">
        <v>123.35</v>
      </c>
      <c r="T649" s="12">
        <v>46236.012484317129</v>
      </c>
      <c r="U649" s="12">
        <v>46237.012484317129</v>
      </c>
      <c r="V649" s="14">
        <v>5</v>
      </c>
      <c r="W649" s="14">
        <v>1E-3</v>
      </c>
      <c r="X649" s="14">
        <v>1E-3</v>
      </c>
      <c r="Y649" s="14">
        <v>0.01</v>
      </c>
      <c r="Z649" s="10" t="str">
        <f>IF(AND(D649="TRADING",I649&lt;&gt;"",L649&lt;&gt;"",M649&lt;&gt;"",N649&lt;&gt;"",O649&lt;&gt;""),"Yes","No")</f>
        <v>Yes</v>
      </c>
      <c r="AA649" s="10" t="s">
        <v>56</v>
      </c>
    </row>
    <row r="650" spans="1:27">
      <c r="A650" s="10" t="s">
        <v>1034</v>
      </c>
      <c r="B650" s="10" t="s">
        <v>1035</v>
      </c>
      <c r="C650" s="10" t="s">
        <v>12</v>
      </c>
      <c r="D650" s="10" t="s">
        <v>55</v>
      </c>
      <c r="E650" s="11" t="b">
        <v>1</v>
      </c>
      <c r="F650" s="12">
        <v>46203</v>
      </c>
      <c r="G650" s="12">
        <v>46203.999999988424</v>
      </c>
      <c r="H650" s="13">
        <f>IF(F650="","",(Summary!$B$5-F650)/365.25)</f>
        <v>9.3121126131266149E-2</v>
      </c>
      <c r="I650" s="14">
        <v>692.5</v>
      </c>
      <c r="J650" s="15">
        <v>9.6699999999999998E-3</v>
      </c>
      <c r="K650" s="16">
        <v>8660.3919999999998</v>
      </c>
      <c r="L650" s="16">
        <v>5973234.0249699997</v>
      </c>
      <c r="M650" s="17">
        <v>29175</v>
      </c>
      <c r="N650" s="14">
        <v>692.53</v>
      </c>
      <c r="O650" s="14">
        <v>692.6</v>
      </c>
      <c r="P650" s="18">
        <f>IF(OR(N650="",O650="",N650=0,O650=0),"",(O650-N650)/((O650+N650)/2))</f>
        <v>1.010735454434602E-4</v>
      </c>
      <c r="Q650" s="14">
        <v>689.71866689000001</v>
      </c>
      <c r="R650" s="14">
        <v>693.49</v>
      </c>
      <c r="S650" s="14">
        <v>685.69</v>
      </c>
      <c r="T650" s="12">
        <v>46236.012484120372</v>
      </c>
      <c r="U650" s="12">
        <v>46237.012484120372</v>
      </c>
      <c r="V650" s="14">
        <v>5</v>
      </c>
      <c r="W650" s="14">
        <v>1E-3</v>
      </c>
      <c r="X650" s="14">
        <v>1E-3</v>
      </c>
      <c r="Y650" s="14">
        <v>0.01</v>
      </c>
      <c r="Z650" s="10" t="str">
        <f>IF(AND(D650="TRADING",I650&lt;&gt;"",L650&lt;&gt;"",M650&lt;&gt;"",N650&lt;&gt;"",O650&lt;&gt;""),"Yes","No")</f>
        <v>Yes</v>
      </c>
      <c r="AA650" s="10" t="s">
        <v>56</v>
      </c>
    </row>
    <row r="651" spans="1:27">
      <c r="A651" s="10" t="s">
        <v>600</v>
      </c>
      <c r="B651" s="10" t="s">
        <v>601</v>
      </c>
      <c r="C651" s="10" t="s">
        <v>12</v>
      </c>
      <c r="D651" s="10" t="s">
        <v>55</v>
      </c>
      <c r="E651" s="11" t="b">
        <v>1</v>
      </c>
      <c r="F651" s="12">
        <v>46205</v>
      </c>
      <c r="G651" s="12">
        <v>46205.999999988424</v>
      </c>
      <c r="H651" s="13">
        <f>IF(F651="","",(Summary!$B$5-F651)/365.25)</f>
        <v>8.7645424557001944E-2</v>
      </c>
      <c r="I651" s="14">
        <v>1.4159999999999999</v>
      </c>
      <c r="J651" s="15">
        <v>1.5780000000000002E-2</v>
      </c>
      <c r="K651" s="16">
        <v>2004882.8</v>
      </c>
      <c r="L651" s="16">
        <v>2828727.1107100002</v>
      </c>
      <c r="M651" s="17">
        <v>14814</v>
      </c>
      <c r="N651" s="14">
        <v>1.4159999999999999</v>
      </c>
      <c r="O651" s="14">
        <v>1.417</v>
      </c>
      <c r="P651" s="18">
        <f>IF(OR(N651="",O651="",N651=0,O651=0),"",(O651-N651)/((O651+N651)/2))</f>
        <v>7.0596540769510188E-4</v>
      </c>
      <c r="Q651" s="14">
        <v>1.41091894</v>
      </c>
      <c r="R651" s="14">
        <v>1.43</v>
      </c>
      <c r="S651" s="14">
        <v>1.391</v>
      </c>
      <c r="T651" s="12">
        <v>46236.012300509261</v>
      </c>
      <c r="U651" s="12">
        <v>46237.012300509261</v>
      </c>
      <c r="V651" s="14">
        <v>5</v>
      </c>
      <c r="W651" s="14">
        <v>0.01</v>
      </c>
      <c r="X651" s="14">
        <v>0.01</v>
      </c>
      <c r="Y651" s="14">
        <v>1E-3</v>
      </c>
      <c r="Z651" s="10" t="str">
        <f>IF(AND(D651="TRADING",I651&lt;&gt;"",L651&lt;&gt;"",M651&lt;&gt;"",N651&lt;&gt;"",O651&lt;&gt;""),"Yes","No")</f>
        <v>Yes</v>
      </c>
      <c r="AA651" s="10" t="s">
        <v>56</v>
      </c>
    </row>
    <row r="652" spans="1:27">
      <c r="A652" s="10" t="s">
        <v>343</v>
      </c>
      <c r="B652" s="10" t="s">
        <v>344</v>
      </c>
      <c r="C652" s="10" t="s">
        <v>12</v>
      </c>
      <c r="D652" s="10" t="s">
        <v>55</v>
      </c>
      <c r="E652" s="11" t="b">
        <v>1</v>
      </c>
      <c r="F652" s="12">
        <v>46210</v>
      </c>
      <c r="G652" s="12">
        <v>46210.999999988424</v>
      </c>
      <c r="H652" s="13">
        <f>IF(F652="","",(Summary!$B$5-F652)/365.25)</f>
        <v>7.3956170621341438E-2</v>
      </c>
      <c r="I652" s="14">
        <v>202.1</v>
      </c>
      <c r="J652" s="15">
        <v>3.2809999999999999E-2</v>
      </c>
      <c r="K652" s="16">
        <v>740.54399999999998</v>
      </c>
      <c r="L652" s="16">
        <v>146048.10092</v>
      </c>
      <c r="M652" s="17">
        <v>3014</v>
      </c>
      <c r="N652" s="14">
        <v>202.2</v>
      </c>
      <c r="O652" s="14">
        <v>202.66</v>
      </c>
      <c r="P652" s="18">
        <f>IF(OR(N652="",O652="",N652=0,O652=0),"",(O652-N652)/((O652+N652)/2))</f>
        <v>2.2723904559601243E-3</v>
      </c>
      <c r="Q652" s="14">
        <v>197.21731715999999</v>
      </c>
      <c r="R652" s="14">
        <v>202.62</v>
      </c>
      <c r="S652" s="14">
        <v>193.64</v>
      </c>
      <c r="T652" s="12">
        <v>46236.01247908565</v>
      </c>
      <c r="U652" s="12">
        <v>46237.01247908565</v>
      </c>
      <c r="V652" s="14">
        <v>5</v>
      </c>
      <c r="W652" s="14">
        <v>1E-3</v>
      </c>
      <c r="X652" s="14">
        <v>1E-3</v>
      </c>
      <c r="Y652" s="14">
        <v>0.01</v>
      </c>
      <c r="Z652" s="10" t="str">
        <f>IF(AND(D652="TRADING",I652&lt;&gt;"",L652&lt;&gt;"",M652&lt;&gt;"",N652&lt;&gt;"",O652&lt;&gt;""),"Yes","No")</f>
        <v>Yes</v>
      </c>
      <c r="AA652" s="10" t="s">
        <v>56</v>
      </c>
    </row>
    <row r="653" spans="1:27">
      <c r="A653" s="10" t="s">
        <v>373</v>
      </c>
      <c r="B653" s="10" t="s">
        <v>374</v>
      </c>
      <c r="C653" s="10" t="s">
        <v>12</v>
      </c>
      <c r="D653" s="10" t="s">
        <v>55</v>
      </c>
      <c r="E653" s="11" t="b">
        <v>1</v>
      </c>
      <c r="F653" s="12">
        <v>46210</v>
      </c>
      <c r="G653" s="12">
        <v>46210.999999988424</v>
      </c>
      <c r="H653" s="13">
        <f>IF(F653="","",(Summary!$B$5-F653)/365.25)</f>
        <v>7.3956170621341438E-2</v>
      </c>
      <c r="I653" s="14">
        <v>148.18</v>
      </c>
      <c r="J653" s="15">
        <v>1.898E-2</v>
      </c>
      <c r="K653" s="16">
        <v>2070.777</v>
      </c>
      <c r="L653" s="16">
        <v>303487.41869000002</v>
      </c>
      <c r="M653" s="17">
        <v>3160</v>
      </c>
      <c r="N653" s="14">
        <v>147.97</v>
      </c>
      <c r="O653" s="14">
        <v>148.25</v>
      </c>
      <c r="P653" s="18">
        <f>IF(OR(N653="",O653="",N653=0,O653=0),"",(O653-N653)/((O653+N653)/2))</f>
        <v>1.8904868003510979E-3</v>
      </c>
      <c r="Q653" s="14">
        <v>146.55726748000001</v>
      </c>
      <c r="R653" s="14">
        <v>148.68</v>
      </c>
      <c r="S653" s="14">
        <v>144.59</v>
      </c>
      <c r="T653" s="12">
        <v>46236.012432766205</v>
      </c>
      <c r="U653" s="12">
        <v>46237.012432766205</v>
      </c>
      <c r="V653" s="14">
        <v>5</v>
      </c>
      <c r="W653" s="14">
        <v>1E-3</v>
      </c>
      <c r="X653" s="14">
        <v>1E-3</v>
      </c>
      <c r="Y653" s="14">
        <v>0.01</v>
      </c>
      <c r="Z653" s="10" t="str">
        <f>IF(AND(D653="TRADING",I653&lt;&gt;"",L653&lt;&gt;"",M653&lt;&gt;"",N653&lt;&gt;"",O653&lt;&gt;""),"Yes","No")</f>
        <v>Yes</v>
      </c>
      <c r="AA653" s="10" t="s">
        <v>56</v>
      </c>
    </row>
    <row r="654" spans="1:27">
      <c r="A654" s="10" t="s">
        <v>449</v>
      </c>
      <c r="B654" s="10" t="s">
        <v>450</v>
      </c>
      <c r="C654" s="10" t="s">
        <v>12</v>
      </c>
      <c r="D654" s="10" t="s">
        <v>55</v>
      </c>
      <c r="E654" s="11" t="b">
        <v>1</v>
      </c>
      <c r="F654" s="12">
        <v>46210</v>
      </c>
      <c r="G654" s="12">
        <v>46210.999999988424</v>
      </c>
      <c r="H654" s="13">
        <f>IF(F654="","",(Summary!$B$5-F654)/365.25)</f>
        <v>7.3956170621341438E-2</v>
      </c>
      <c r="I654" s="14">
        <v>51.77</v>
      </c>
      <c r="J654" s="15">
        <v>3.2709999999999996E-2</v>
      </c>
      <c r="K654" s="16">
        <v>38260.730000000003</v>
      </c>
      <c r="L654" s="16">
        <v>1962021.4099000001</v>
      </c>
      <c r="M654" s="17">
        <v>31077</v>
      </c>
      <c r="N654" s="14">
        <v>51.81</v>
      </c>
      <c r="O654" s="14">
        <v>51.82</v>
      </c>
      <c r="P654" s="18">
        <f>IF(OR(N654="",O654="",N654=0,O654=0),"",(O654-N654)/((O654+N654)/2))</f>
        <v>1.929943066679149E-4</v>
      </c>
      <c r="Q654" s="14">
        <v>51.280292090000003</v>
      </c>
      <c r="R654" s="14">
        <v>52.78</v>
      </c>
      <c r="S654" s="14">
        <v>50.04</v>
      </c>
      <c r="T654" s="12">
        <v>46236.012483356484</v>
      </c>
      <c r="U654" s="12">
        <v>46237.012483356484</v>
      </c>
      <c r="V654" s="14">
        <v>5</v>
      </c>
      <c r="W654" s="14">
        <v>0.01</v>
      </c>
      <c r="X654" s="14">
        <v>0.01</v>
      </c>
      <c r="Y654" s="14">
        <v>0.01</v>
      </c>
      <c r="Z654" s="10" t="str">
        <f>IF(AND(D654="TRADING",I654&lt;&gt;"",L654&lt;&gt;"",M654&lt;&gt;"",N654&lt;&gt;"",O654&lt;&gt;""),"Yes","No")</f>
        <v>Yes</v>
      </c>
      <c r="AA654" s="10" t="s">
        <v>56</v>
      </c>
    </row>
    <row r="655" spans="1:27">
      <c r="A655" s="10" t="s">
        <v>586</v>
      </c>
      <c r="B655" s="10" t="s">
        <v>587</v>
      </c>
      <c r="C655" s="10" t="s">
        <v>12</v>
      </c>
      <c r="D655" s="10" t="s">
        <v>55</v>
      </c>
      <c r="E655" s="11" t="b">
        <v>1</v>
      </c>
      <c r="F655" s="12">
        <v>46210</v>
      </c>
      <c r="G655" s="12">
        <v>46210.999999988424</v>
      </c>
      <c r="H655" s="13">
        <f>IF(F655="","",(Summary!$B$5-F655)/365.25)</f>
        <v>7.3956170621341438E-2</v>
      </c>
      <c r="I655" s="14">
        <v>141.34</v>
      </c>
      <c r="J655" s="15">
        <v>2.1389999999999999E-2</v>
      </c>
      <c r="K655" s="16">
        <v>824.79700000000003</v>
      </c>
      <c r="L655" s="16">
        <v>115525.96187</v>
      </c>
      <c r="M655" s="17">
        <v>2793</v>
      </c>
      <c r="N655" s="14">
        <v>141.34</v>
      </c>
      <c r="O655" s="14">
        <v>141.38999999999999</v>
      </c>
      <c r="P655" s="18">
        <f>IF(OR(N655="",O655="",N655=0,O655=0),"",(O655-N655)/((O655+N655)/2))</f>
        <v>3.5369433735353833E-4</v>
      </c>
      <c r="Q655" s="14">
        <v>140.06593364</v>
      </c>
      <c r="R655" s="14">
        <v>141.69999999999999</v>
      </c>
      <c r="S655" s="14">
        <v>138.34</v>
      </c>
      <c r="T655" s="12">
        <v>46236.012455925927</v>
      </c>
      <c r="U655" s="12">
        <v>46237.012455925927</v>
      </c>
      <c r="V655" s="14">
        <v>5</v>
      </c>
      <c r="W655" s="14">
        <v>1E-3</v>
      </c>
      <c r="X655" s="14">
        <v>1E-3</v>
      </c>
      <c r="Y655" s="14">
        <v>0.01</v>
      </c>
      <c r="Z655" s="10" t="str">
        <f>IF(AND(D655="TRADING",I655&lt;&gt;"",L655&lt;&gt;"",M655&lt;&gt;"",N655&lt;&gt;"",O655&lt;&gt;""),"Yes","No")</f>
        <v>Yes</v>
      </c>
      <c r="AA655" s="10" t="s">
        <v>56</v>
      </c>
    </row>
    <row r="656" spans="1:27">
      <c r="A656" s="10" t="s">
        <v>596</v>
      </c>
      <c r="B656" s="10" t="s">
        <v>597</v>
      </c>
      <c r="C656" s="10" t="s">
        <v>12</v>
      </c>
      <c r="D656" s="10" t="s">
        <v>55</v>
      </c>
      <c r="E656" s="11" t="b">
        <v>1</v>
      </c>
      <c r="F656" s="12">
        <v>46210</v>
      </c>
      <c r="G656" s="12">
        <v>46210.999999988424</v>
      </c>
      <c r="H656" s="13">
        <f>IF(F656="","",(Summary!$B$5-F656)/365.25)</f>
        <v>7.3956170621341438E-2</v>
      </c>
      <c r="I656" s="14">
        <v>360.84</v>
      </c>
      <c r="J656" s="15">
        <v>2.4620000000000003E-2</v>
      </c>
      <c r="K656" s="16">
        <v>1261.4469999999999</v>
      </c>
      <c r="L656" s="16">
        <v>448471.98031999997</v>
      </c>
      <c r="M656" s="17">
        <v>4691</v>
      </c>
      <c r="N656" s="14">
        <v>360.47</v>
      </c>
      <c r="O656" s="14">
        <v>360.88</v>
      </c>
      <c r="P656" s="18">
        <f>IF(OR(N656="",O656="",N656=0,O656=0),"",(O656-N656)/((O656+N656)/2))</f>
        <v>1.1367574686351096E-3</v>
      </c>
      <c r="Q656" s="14">
        <v>355.52185730000002</v>
      </c>
      <c r="R656" s="14">
        <v>361.26</v>
      </c>
      <c r="S656" s="14">
        <v>352.17</v>
      </c>
      <c r="T656" s="12">
        <v>46236.01247908565</v>
      </c>
      <c r="U656" s="12">
        <v>46237.01247908565</v>
      </c>
      <c r="V656" s="14">
        <v>5</v>
      </c>
      <c r="W656" s="14">
        <v>1E-3</v>
      </c>
      <c r="X656" s="14">
        <v>1E-3</v>
      </c>
      <c r="Y656" s="14">
        <v>0.01</v>
      </c>
      <c r="Z656" s="10" t="str">
        <f>IF(AND(D656="TRADING",I656&lt;&gt;"",L656&lt;&gt;"",M656&lt;&gt;"",N656&lt;&gt;"",O656&lt;&gt;""),"Yes","No")</f>
        <v>Yes</v>
      </c>
      <c r="AA656" s="10" t="s">
        <v>56</v>
      </c>
    </row>
    <row r="657" spans="1:27">
      <c r="A657" s="10" t="s">
        <v>864</v>
      </c>
      <c r="B657" s="10" t="s">
        <v>865</v>
      </c>
      <c r="C657" s="10" t="s">
        <v>12</v>
      </c>
      <c r="D657" s="10" t="s">
        <v>55</v>
      </c>
      <c r="E657" s="11" t="b">
        <v>1</v>
      </c>
      <c r="F657" s="12">
        <v>46210</v>
      </c>
      <c r="G657" s="12">
        <v>46210.999999988424</v>
      </c>
      <c r="H657" s="13">
        <f>IF(F657="","",(Summary!$B$5-F657)/365.25)</f>
        <v>7.3956170621341438E-2</v>
      </c>
      <c r="I657" s="14">
        <v>198.31</v>
      </c>
      <c r="J657" s="15">
        <v>5.6809999999999999E-2</v>
      </c>
      <c r="K657" s="16">
        <v>17145.647000000001</v>
      </c>
      <c r="L657" s="16">
        <v>3368322.5937000001</v>
      </c>
      <c r="M657" s="17">
        <v>55317</v>
      </c>
      <c r="N657" s="14">
        <v>198.06</v>
      </c>
      <c r="O657" s="14">
        <v>198.26</v>
      </c>
      <c r="P657" s="18">
        <f>IF(OR(N657="",O657="",N657=0,O657=0),"",(O657-N657)/((O657+N657)/2))</f>
        <v>1.0092854259183923E-3</v>
      </c>
      <c r="Q657" s="14">
        <v>196.45351346000001</v>
      </c>
      <c r="R657" s="14">
        <v>219.35</v>
      </c>
      <c r="S657" s="14">
        <v>187.65</v>
      </c>
      <c r="T657" s="12">
        <v>46236.01247076389</v>
      </c>
      <c r="U657" s="12">
        <v>46237.01247076389</v>
      </c>
      <c r="V657" s="14">
        <v>5</v>
      </c>
      <c r="W657" s="14">
        <v>1E-3</v>
      </c>
      <c r="X657" s="14">
        <v>1E-3</v>
      </c>
      <c r="Y657" s="14">
        <v>0.01</v>
      </c>
      <c r="Z657" s="10" t="str">
        <f>IF(AND(D657="TRADING",I657&lt;&gt;"",L657&lt;&gt;"",M657&lt;&gt;"",N657&lt;&gt;"",O657&lt;&gt;""),"Yes","No")</f>
        <v>Yes</v>
      </c>
      <c r="AA657" s="10" t="s">
        <v>56</v>
      </c>
    </row>
    <row r="658" spans="1:27">
      <c r="A658" s="10" t="s">
        <v>1024</v>
      </c>
      <c r="B658" s="10" t="s">
        <v>1025</v>
      </c>
      <c r="C658" s="10" t="s">
        <v>12</v>
      </c>
      <c r="D658" s="10" t="s">
        <v>55</v>
      </c>
      <c r="E658" s="11" t="b">
        <v>1</v>
      </c>
      <c r="F658" s="12">
        <v>46210</v>
      </c>
      <c r="G658" s="12">
        <v>46210.999999988424</v>
      </c>
      <c r="H658" s="13">
        <f>IF(F658="","",(Summary!$B$5-F658)/365.25)</f>
        <v>7.3956170621341438E-2</v>
      </c>
      <c r="I658" s="14">
        <v>149.09</v>
      </c>
      <c r="J658" s="15">
        <v>-3.4000000000000002E-4</v>
      </c>
      <c r="K658" s="16">
        <v>337.86599999999999</v>
      </c>
      <c r="L658" s="16">
        <v>50687.889819999997</v>
      </c>
      <c r="M658" s="17">
        <v>1136</v>
      </c>
      <c r="N658" s="14">
        <v>148.69</v>
      </c>
      <c r="O658" s="14">
        <v>149.15</v>
      </c>
      <c r="P658" s="18">
        <f>IF(OR(N658="",O658="",N658=0,O658=0),"",(O658-N658)/((O658+N658)/2))</f>
        <v>3.0889067955950033E-3</v>
      </c>
      <c r="Q658" s="14">
        <v>150.02364789999999</v>
      </c>
      <c r="R658" s="14">
        <v>151.22</v>
      </c>
      <c r="S658" s="14">
        <v>148.49</v>
      </c>
      <c r="T658" s="12">
        <v>46236.012480648147</v>
      </c>
      <c r="U658" s="12">
        <v>46237.012480648147</v>
      </c>
      <c r="V658" s="14">
        <v>5</v>
      </c>
      <c r="W658" s="14">
        <v>1E-3</v>
      </c>
      <c r="X658" s="14">
        <v>1E-3</v>
      </c>
      <c r="Y658" s="14">
        <v>0.01</v>
      </c>
      <c r="Z658" s="10" t="str">
        <f>IF(AND(D658="TRADING",I658&lt;&gt;"",L658&lt;&gt;"",M658&lt;&gt;"",N658&lt;&gt;"",O658&lt;&gt;""),"Yes","No")</f>
        <v>Yes</v>
      </c>
      <c r="AA658" s="10" t="s">
        <v>56</v>
      </c>
    </row>
    <row r="659" spans="1:27">
      <c r="A659" s="10" t="s">
        <v>1151</v>
      </c>
      <c r="B659" s="10" t="s">
        <v>1152</v>
      </c>
      <c r="C659" s="10" t="s">
        <v>12</v>
      </c>
      <c r="D659" s="10" t="s">
        <v>55</v>
      </c>
      <c r="E659" s="11" t="b">
        <v>1</v>
      </c>
      <c r="F659" s="12">
        <v>46210</v>
      </c>
      <c r="G659" s="12">
        <v>46210.999999988424</v>
      </c>
      <c r="H659" s="13">
        <f>IF(F659="","",(Summary!$B$5-F659)/365.25)</f>
        <v>7.3956170621341438E-2</v>
      </c>
      <c r="I659" s="14">
        <v>119.95</v>
      </c>
      <c r="J659" s="15">
        <v>5.8410000000000004E-2</v>
      </c>
      <c r="K659" s="16">
        <v>90719.453999999998</v>
      </c>
      <c r="L659" s="16">
        <v>10946696.26015</v>
      </c>
      <c r="M659" s="17">
        <v>88146</v>
      </c>
      <c r="N659" s="14">
        <v>119.94</v>
      </c>
      <c r="O659" s="14">
        <v>119.95</v>
      </c>
      <c r="P659" s="18">
        <f>IF(OR(N659="",O659="",N659=0,O659=0),"",(O659-N659)/((O659+N659)/2))</f>
        <v>8.3371545291634639E-5</v>
      </c>
      <c r="Q659" s="14">
        <v>120.66536754000001</v>
      </c>
      <c r="R659" s="14">
        <v>125.64</v>
      </c>
      <c r="S659" s="14">
        <v>113.21</v>
      </c>
      <c r="T659" s="12">
        <v>46236.012484560182</v>
      </c>
      <c r="U659" s="12">
        <v>46237.012484560182</v>
      </c>
      <c r="V659" s="14">
        <v>5</v>
      </c>
      <c r="W659" s="14">
        <v>1E-3</v>
      </c>
      <c r="X659" s="14">
        <v>1E-3</v>
      </c>
      <c r="Y659" s="14">
        <v>0.01</v>
      </c>
      <c r="Z659" s="10" t="str">
        <f>IF(AND(D659="TRADING",I659&lt;&gt;"",L659&lt;&gt;"",M659&lt;&gt;"",N659&lt;&gt;"",O659&lt;&gt;""),"Yes","No")</f>
        <v>Yes</v>
      </c>
      <c r="AA659" s="10" t="s">
        <v>56</v>
      </c>
    </row>
    <row r="660" spans="1:27">
      <c r="A660" s="10" t="s">
        <v>1161</v>
      </c>
      <c r="B660" s="10" t="s">
        <v>1162</v>
      </c>
      <c r="C660" s="10" t="s">
        <v>12</v>
      </c>
      <c r="D660" s="10" t="s">
        <v>55</v>
      </c>
      <c r="E660" s="11" t="b">
        <v>1</v>
      </c>
      <c r="F660" s="12">
        <v>46210</v>
      </c>
      <c r="G660" s="12">
        <v>46210.999999988424</v>
      </c>
      <c r="H660" s="13">
        <f>IF(F660="","",(Summary!$B$5-F660)/365.25)</f>
        <v>7.3956170621341438E-2</v>
      </c>
      <c r="I660" s="14">
        <v>750.95</v>
      </c>
      <c r="J660" s="15">
        <v>6.8000000000000005E-3</v>
      </c>
      <c r="K660" s="16">
        <v>179.542</v>
      </c>
      <c r="L660" s="16">
        <v>134462.52020999999</v>
      </c>
      <c r="M660" s="17">
        <v>2014</v>
      </c>
      <c r="N660" s="14">
        <v>750.81</v>
      </c>
      <c r="O660" s="14">
        <v>751.09</v>
      </c>
      <c r="P660" s="18">
        <f>IF(OR(N660="",O660="",N660=0,O660=0),"",(O660-N660)/((O660+N660)/2))</f>
        <v>3.7286104267938796E-4</v>
      </c>
      <c r="Q660" s="14">
        <v>748.91958545</v>
      </c>
      <c r="R660" s="14">
        <v>751.11</v>
      </c>
      <c r="S660" s="14">
        <v>745.88</v>
      </c>
      <c r="T660" s="12">
        <v>46236.012467488428</v>
      </c>
      <c r="U660" s="12">
        <v>46237.012467488428</v>
      </c>
      <c r="V660" s="14">
        <v>5</v>
      </c>
      <c r="W660" s="14">
        <v>1E-3</v>
      </c>
      <c r="X660" s="14">
        <v>1E-3</v>
      </c>
      <c r="Y660" s="14">
        <v>0.01</v>
      </c>
      <c r="Z660" s="10" t="str">
        <f>IF(AND(D660="TRADING",I660&lt;&gt;"",L660&lt;&gt;"",M660&lt;&gt;"",N660&lt;&gt;"",O660&lt;&gt;""),"Yes","No")</f>
        <v>Yes</v>
      </c>
      <c r="AA660" s="10" t="s">
        <v>56</v>
      </c>
    </row>
    <row r="661" spans="1:27">
      <c r="A661" s="10" t="s">
        <v>1343</v>
      </c>
      <c r="B661" s="10" t="s">
        <v>1344</v>
      </c>
      <c r="C661" s="10" t="s">
        <v>12</v>
      </c>
      <c r="D661" s="10" t="s">
        <v>55</v>
      </c>
      <c r="E661" s="11" t="b">
        <v>1</v>
      </c>
      <c r="F661" s="12">
        <v>46210</v>
      </c>
      <c r="G661" s="12">
        <v>46210.999999988424</v>
      </c>
      <c r="H661" s="13">
        <f>IF(F661="","",(Summary!$B$5-F661)/365.25)</f>
        <v>7.3956170621341438E-2</v>
      </c>
      <c r="I661" s="14">
        <v>555.76</v>
      </c>
      <c r="J661" s="15">
        <v>2.342E-2</v>
      </c>
      <c r="K661" s="16">
        <v>631.20299999999997</v>
      </c>
      <c r="L661" s="16">
        <v>347671.53087999998</v>
      </c>
      <c r="M661" s="17">
        <v>8926</v>
      </c>
      <c r="N661" s="14">
        <v>556.19000000000005</v>
      </c>
      <c r="O661" s="14">
        <v>557.37</v>
      </c>
      <c r="P661" s="18">
        <f>IF(OR(N661="",O661="",N661=0,O661=0),"",(O661-N661)/((O661+N661)/2))</f>
        <v>2.1193289988863644E-3</v>
      </c>
      <c r="Q661" s="14">
        <v>550.80779223000002</v>
      </c>
      <c r="R661" s="14">
        <v>557.05999999999995</v>
      </c>
      <c r="S661" s="14">
        <v>541.46</v>
      </c>
      <c r="T661" s="12">
        <v>46236.012437673613</v>
      </c>
      <c r="U661" s="12">
        <v>46237.012437673613</v>
      </c>
      <c r="V661" s="14">
        <v>5</v>
      </c>
      <c r="W661" s="14">
        <v>1E-3</v>
      </c>
      <c r="X661" s="14">
        <v>1E-3</v>
      </c>
      <c r="Y661" s="14">
        <v>0.01</v>
      </c>
      <c r="Z661" s="10" t="str">
        <f>IF(AND(D661="TRADING",I661&lt;&gt;"",L661&lt;&gt;"",M661&lt;&gt;"",N661&lt;&gt;"",O661&lt;&gt;""),"Yes","No")</f>
        <v>Yes</v>
      </c>
      <c r="AA661" s="10" t="s">
        <v>56</v>
      </c>
    </row>
    <row r="662" spans="1:27">
      <c r="A662" s="10" t="s">
        <v>1124</v>
      </c>
      <c r="B662" s="10" t="s">
        <v>1125</v>
      </c>
      <c r="C662" s="10" t="s">
        <v>12</v>
      </c>
      <c r="D662" s="10" t="s">
        <v>55</v>
      </c>
      <c r="E662" s="11" t="b">
        <v>1</v>
      </c>
      <c r="F662" s="12">
        <v>46216</v>
      </c>
      <c r="G662" s="12">
        <v>46216.999999988424</v>
      </c>
      <c r="H662" s="13">
        <f>IF(F662="","",(Summary!$B$5-F662)/365.25)</f>
        <v>5.7529065898548837E-2</v>
      </c>
      <c r="I662" s="14">
        <v>147.53</v>
      </c>
      <c r="J662" s="15">
        <v>1.2699999999999999E-2</v>
      </c>
      <c r="K662" s="16">
        <v>50183.152000000002</v>
      </c>
      <c r="L662" s="16">
        <v>7438034.8697699998</v>
      </c>
      <c r="M662" s="17">
        <v>77744</v>
      </c>
      <c r="N662" s="14">
        <v>147.53</v>
      </c>
      <c r="O662" s="14">
        <v>147.59</v>
      </c>
      <c r="P662" s="18">
        <f>IF(OR(N662="",O662="",N662=0,O662=0),"",(O662-N662)/((O662+N662)/2))</f>
        <v>4.0661425860668389E-4</v>
      </c>
      <c r="Q662" s="14">
        <v>148.21776978</v>
      </c>
      <c r="R662" s="14">
        <v>152.15</v>
      </c>
      <c r="S662" s="14">
        <v>145.02000000000001</v>
      </c>
      <c r="T662" s="12">
        <v>46236.012484363426</v>
      </c>
      <c r="U662" s="12">
        <v>46237.012484363426</v>
      </c>
      <c r="V662" s="14">
        <v>5</v>
      </c>
      <c r="W662" s="14">
        <v>1E-3</v>
      </c>
      <c r="X662" s="14">
        <v>1E-3</v>
      </c>
      <c r="Y662" s="14">
        <v>0.01</v>
      </c>
      <c r="Z662" s="10" t="str">
        <f>IF(AND(D662="TRADING",I662&lt;&gt;"",L662&lt;&gt;"",M662&lt;&gt;"",N662&lt;&gt;"",O662&lt;&gt;""),"Yes","No")</f>
        <v>Yes</v>
      </c>
      <c r="AA662" s="10" t="s">
        <v>56</v>
      </c>
    </row>
    <row r="663" spans="1:27">
      <c r="A663" s="10" t="s">
        <v>85</v>
      </c>
      <c r="B663" s="10" t="s">
        <v>86</v>
      </c>
      <c r="C663" s="10" t="s">
        <v>12</v>
      </c>
      <c r="D663" s="10" t="s">
        <v>55</v>
      </c>
      <c r="E663" s="11" t="b">
        <v>1</v>
      </c>
      <c r="F663" s="12">
        <v>46218</v>
      </c>
      <c r="G663" s="12">
        <v>46218.999999988424</v>
      </c>
      <c r="H663" s="13">
        <f>IF(F663="","",(Summary!$B$5-F663)/365.25)</f>
        <v>5.2053364324284632E-2</v>
      </c>
      <c r="I663" s="14">
        <v>97.71</v>
      </c>
      <c r="J663" s="15">
        <v>3.594E-2</v>
      </c>
      <c r="K663" s="16">
        <v>948.97199999999998</v>
      </c>
      <c r="L663" s="16">
        <v>91149.263389999993</v>
      </c>
      <c r="M663" s="17">
        <v>3056</v>
      </c>
      <c r="N663" s="14">
        <v>97.86</v>
      </c>
      <c r="O663" s="14">
        <v>98.05</v>
      </c>
      <c r="P663" s="18">
        <f>IF(OR(N663="",O663="",N663=0,O663=0),"",(O663-N663)/((O663+N663)/2))</f>
        <v>1.9396661732427923E-3</v>
      </c>
      <c r="Q663" s="14">
        <v>96.050529830000002</v>
      </c>
      <c r="R663" s="14">
        <v>98.85</v>
      </c>
      <c r="S663" s="14">
        <v>93.42</v>
      </c>
      <c r="T663" s="12">
        <v>46236.012481770835</v>
      </c>
      <c r="U663" s="12">
        <v>46237.012481770835</v>
      </c>
      <c r="V663" s="14">
        <v>5</v>
      </c>
      <c r="W663" s="14">
        <v>1E-3</v>
      </c>
      <c r="X663" s="14">
        <v>1E-3</v>
      </c>
      <c r="Y663" s="14">
        <v>0.01</v>
      </c>
      <c r="Z663" s="10" t="str">
        <f>IF(AND(D663="TRADING",I663&lt;&gt;"",L663&lt;&gt;"",M663&lt;&gt;"",N663&lt;&gt;"",O663&lt;&gt;""),"Yes","No")</f>
        <v>Yes</v>
      </c>
      <c r="AA663" s="10" t="s">
        <v>56</v>
      </c>
    </row>
    <row r="664" spans="1:27">
      <c r="A664" s="10" t="s">
        <v>179</v>
      </c>
      <c r="B664" s="10" t="s">
        <v>180</v>
      </c>
      <c r="C664" s="10" t="s">
        <v>12</v>
      </c>
      <c r="D664" s="10" t="s">
        <v>55</v>
      </c>
      <c r="E664" s="11" t="b">
        <v>1</v>
      </c>
      <c r="F664" s="12">
        <v>46218</v>
      </c>
      <c r="G664" s="12">
        <v>46218.999999988424</v>
      </c>
      <c r="H664" s="13">
        <f>IF(F664="","",(Summary!$B$5-F664)/365.25)</f>
        <v>5.2053364324284632E-2</v>
      </c>
      <c r="I664" s="14">
        <v>244.63</v>
      </c>
      <c r="J664" s="15">
        <v>3.4549999999999997E-2</v>
      </c>
      <c r="K664" s="16">
        <v>343.57100000000003</v>
      </c>
      <c r="L664" s="16">
        <v>82376.756309999997</v>
      </c>
      <c r="M664" s="17">
        <v>4868</v>
      </c>
      <c r="N664" s="14">
        <v>244.29</v>
      </c>
      <c r="O664" s="14">
        <v>245.1</v>
      </c>
      <c r="P664" s="18">
        <f>IF(OR(N664="",O664="",N664=0,O664=0),"",(O664-N664)/((O664+N664)/2))</f>
        <v>3.3102433641880803E-3</v>
      </c>
      <c r="Q664" s="14">
        <v>239.76632577000001</v>
      </c>
      <c r="R664" s="14">
        <v>245.11</v>
      </c>
      <c r="S664" s="14">
        <v>236.18</v>
      </c>
      <c r="T664" s="12">
        <v>46236.012483136576</v>
      </c>
      <c r="U664" s="12">
        <v>46237.012483136576</v>
      </c>
      <c r="V664" s="14">
        <v>5</v>
      </c>
      <c r="W664" s="14">
        <v>1E-3</v>
      </c>
      <c r="X664" s="14">
        <v>1E-3</v>
      </c>
      <c r="Y664" s="14">
        <v>0.01</v>
      </c>
      <c r="Z664" s="10" t="str">
        <f>IF(AND(D664="TRADING",I664&lt;&gt;"",L664&lt;&gt;"",M664&lt;&gt;"",N664&lt;&gt;"",O664&lt;&gt;""),"Yes","No")</f>
        <v>Yes</v>
      </c>
      <c r="AA664" s="10" t="s">
        <v>56</v>
      </c>
    </row>
    <row r="665" spans="1:27">
      <c r="A665" s="10" t="s">
        <v>215</v>
      </c>
      <c r="B665" s="10" t="s">
        <v>216</v>
      </c>
      <c r="C665" s="10" t="s">
        <v>12</v>
      </c>
      <c r="D665" s="10" t="s">
        <v>55</v>
      </c>
      <c r="E665" s="11" t="b">
        <v>1</v>
      </c>
      <c r="F665" s="12">
        <v>46218</v>
      </c>
      <c r="G665" s="12">
        <v>46218.999999988424</v>
      </c>
      <c r="H665" s="13">
        <f>IF(F665="","",(Summary!$B$5-F665)/365.25)</f>
        <v>5.2053364324284632E-2</v>
      </c>
      <c r="I665" s="14">
        <v>393.49</v>
      </c>
      <c r="J665" s="15">
        <v>1.141E-2</v>
      </c>
      <c r="K665" s="16">
        <v>101.45699999999999</v>
      </c>
      <c r="L665" s="16">
        <v>39874.809710000001</v>
      </c>
      <c r="M665" s="17">
        <v>690</v>
      </c>
      <c r="N665" s="14">
        <v>392.79</v>
      </c>
      <c r="O665" s="14">
        <v>393.56</v>
      </c>
      <c r="P665" s="18">
        <f>IF(OR(N665="",O665="",N665=0,O665=0),"",(O665-N665)/((O665+N665)/2))</f>
        <v>1.958415463851928E-3</v>
      </c>
      <c r="Q665" s="14">
        <v>393.02176990999999</v>
      </c>
      <c r="R665" s="14">
        <v>396.32</v>
      </c>
      <c r="S665" s="14">
        <v>388.92</v>
      </c>
      <c r="T665" s="12">
        <v>46236.012481319442</v>
      </c>
      <c r="U665" s="12">
        <v>46237.012481319442</v>
      </c>
      <c r="V665" s="14">
        <v>5</v>
      </c>
      <c r="W665" s="14">
        <v>1E-3</v>
      </c>
      <c r="X665" s="14">
        <v>1E-3</v>
      </c>
      <c r="Y665" s="14">
        <v>0.01</v>
      </c>
      <c r="Z665" s="10" t="str">
        <f>IF(AND(D665="TRADING",I665&lt;&gt;"",L665&lt;&gt;"",M665&lt;&gt;"",N665&lt;&gt;"",O665&lt;&gt;""),"Yes","No")</f>
        <v>Yes</v>
      </c>
      <c r="AA665" s="10" t="s">
        <v>56</v>
      </c>
    </row>
    <row r="666" spans="1:27">
      <c r="A666" s="10" t="s">
        <v>227</v>
      </c>
      <c r="B666" s="10" t="s">
        <v>228</v>
      </c>
      <c r="C666" s="10" t="s">
        <v>12</v>
      </c>
      <c r="D666" s="10" t="s">
        <v>55</v>
      </c>
      <c r="E666" s="11" t="b">
        <v>1</v>
      </c>
      <c r="F666" s="12">
        <v>46218</v>
      </c>
      <c r="G666" s="12">
        <v>46218.999999988424</v>
      </c>
      <c r="H666" s="13">
        <f>IF(F666="","",(Summary!$B$5-F666)/365.25)</f>
        <v>5.2053364324284632E-2</v>
      </c>
      <c r="I666" s="14">
        <v>123.81</v>
      </c>
      <c r="J666" s="15">
        <v>1.367E-2</v>
      </c>
      <c r="K666" s="16">
        <v>607.49800000000005</v>
      </c>
      <c r="L666" s="16">
        <v>74988.881599999993</v>
      </c>
      <c r="M666" s="17">
        <v>1934</v>
      </c>
      <c r="N666" s="14">
        <v>123.7</v>
      </c>
      <c r="O666" s="14">
        <v>123.91</v>
      </c>
      <c r="P666" s="18">
        <f>IF(OR(N666="",O666="",N666=0,O666=0),"",(O666-N666)/((O666+N666)/2))</f>
        <v>1.696215823270415E-3</v>
      </c>
      <c r="Q666" s="14">
        <v>123.43889461000001</v>
      </c>
      <c r="R666" s="14">
        <v>124.24</v>
      </c>
      <c r="S666" s="14">
        <v>121.93</v>
      </c>
      <c r="T666" s="12">
        <v>46236.01247908565</v>
      </c>
      <c r="U666" s="12">
        <v>46237.01247908565</v>
      </c>
      <c r="V666" s="14">
        <v>5</v>
      </c>
      <c r="W666" s="14">
        <v>1E-3</v>
      </c>
      <c r="X666" s="14">
        <v>1E-3</v>
      </c>
      <c r="Y666" s="14">
        <v>0.01</v>
      </c>
      <c r="Z666" s="10" t="str">
        <f>IF(AND(D666="TRADING",I666&lt;&gt;"",L666&lt;&gt;"",M666&lt;&gt;"",N666&lt;&gt;"",O666&lt;&gt;""),"Yes","No")</f>
        <v>Yes</v>
      </c>
      <c r="AA666" s="10" t="s">
        <v>56</v>
      </c>
    </row>
    <row r="667" spans="1:27">
      <c r="A667" s="10" t="s">
        <v>644</v>
      </c>
      <c r="B667" s="10" t="s">
        <v>645</v>
      </c>
      <c r="C667" s="10" t="s">
        <v>12</v>
      </c>
      <c r="D667" s="10" t="s">
        <v>55</v>
      </c>
      <c r="E667" s="11" t="b">
        <v>1</v>
      </c>
      <c r="F667" s="12">
        <v>46218</v>
      </c>
      <c r="G667" s="12">
        <v>46218.999999988424</v>
      </c>
      <c r="H667" s="13">
        <f>IF(F667="","",(Summary!$B$5-F667)/365.25)</f>
        <v>5.2053364324284632E-2</v>
      </c>
      <c r="I667" s="14">
        <v>87.85</v>
      </c>
      <c r="J667" s="15">
        <v>1.737E-2</v>
      </c>
      <c r="K667" s="16">
        <v>678.01400000000001</v>
      </c>
      <c r="L667" s="16">
        <v>59595.082190000001</v>
      </c>
      <c r="M667" s="17">
        <v>2162</v>
      </c>
      <c r="N667" s="14">
        <v>87.77</v>
      </c>
      <c r="O667" s="14">
        <v>87.93</v>
      </c>
      <c r="P667" s="18">
        <f>IF(OR(N667="",O667="",N667=0,O667=0),"",(O667-N667)/((O667+N667)/2))</f>
        <v>1.8212862834378009E-3</v>
      </c>
      <c r="Q667" s="14">
        <v>87.896536339999997</v>
      </c>
      <c r="R667" s="14">
        <v>88.99</v>
      </c>
      <c r="S667" s="14">
        <v>86.3</v>
      </c>
      <c r="T667" s="12">
        <v>46236.012458726851</v>
      </c>
      <c r="U667" s="12">
        <v>46237.012458726851</v>
      </c>
      <c r="V667" s="14">
        <v>5</v>
      </c>
      <c r="W667" s="14">
        <v>1E-3</v>
      </c>
      <c r="X667" s="14">
        <v>1E-3</v>
      </c>
      <c r="Y667" s="14">
        <v>0.01</v>
      </c>
      <c r="Z667" s="10" t="str">
        <f>IF(AND(D667="TRADING",I667&lt;&gt;"",L667&lt;&gt;"",M667&lt;&gt;"",N667&lt;&gt;"",O667&lt;&gt;""),"Yes","No")</f>
        <v>Yes</v>
      </c>
      <c r="AA667" s="10" t="s">
        <v>56</v>
      </c>
    </row>
    <row r="668" spans="1:27">
      <c r="A668" s="10" t="s">
        <v>654</v>
      </c>
      <c r="B668" s="10" t="s">
        <v>655</v>
      </c>
      <c r="C668" s="10" t="s">
        <v>12</v>
      </c>
      <c r="D668" s="10" t="s">
        <v>55</v>
      </c>
      <c r="E668" s="11" t="b">
        <v>1</v>
      </c>
      <c r="F668" s="12">
        <v>46218</v>
      </c>
      <c r="G668" s="12">
        <v>46218.999999988424</v>
      </c>
      <c r="H668" s="13">
        <f>IF(F668="","",(Summary!$B$5-F668)/365.25)</f>
        <v>5.2053364324284632E-2</v>
      </c>
      <c r="I668" s="14">
        <v>224.68</v>
      </c>
      <c r="J668" s="15">
        <v>7.5799999999999999E-3</v>
      </c>
      <c r="K668" s="16">
        <v>326.24200000000002</v>
      </c>
      <c r="L668" s="16">
        <v>73224.687940000003</v>
      </c>
      <c r="M668" s="17">
        <v>1664</v>
      </c>
      <c r="N668" s="14">
        <v>224.37</v>
      </c>
      <c r="O668" s="14">
        <v>225.06</v>
      </c>
      <c r="P668" s="18">
        <f>IF(OR(N668="",O668="",N668=0,O668=0),"",(O668-N668)/((O668+N668)/2))</f>
        <v>3.070556037647677E-3</v>
      </c>
      <c r="Q668" s="14">
        <v>224.44899167</v>
      </c>
      <c r="R668" s="14">
        <v>225.6</v>
      </c>
      <c r="S668" s="14">
        <v>222.94</v>
      </c>
      <c r="T668" s="12">
        <v>46236.012470856484</v>
      </c>
      <c r="U668" s="12">
        <v>46237.012470856484</v>
      </c>
      <c r="V668" s="14">
        <v>5</v>
      </c>
      <c r="W668" s="14">
        <v>1E-3</v>
      </c>
      <c r="X668" s="14">
        <v>1E-3</v>
      </c>
      <c r="Y668" s="14">
        <v>0.01</v>
      </c>
      <c r="Z668" s="10" t="str">
        <f>IF(AND(D668="TRADING",I668&lt;&gt;"",L668&lt;&gt;"",M668&lt;&gt;"",N668&lt;&gt;"",O668&lt;&gt;""),"Yes","No")</f>
        <v>Yes</v>
      </c>
      <c r="AA668" s="10" t="s">
        <v>56</v>
      </c>
    </row>
    <row r="669" spans="1:27">
      <c r="A669" s="10" t="s">
        <v>844</v>
      </c>
      <c r="B669" s="10" t="s">
        <v>845</v>
      </c>
      <c r="C669" s="10" t="s">
        <v>12</v>
      </c>
      <c r="D669" s="10" t="s">
        <v>55</v>
      </c>
      <c r="E669" s="11" t="b">
        <v>1</v>
      </c>
      <c r="F669" s="12">
        <v>46218</v>
      </c>
      <c r="G669" s="12">
        <v>46218.999999988424</v>
      </c>
      <c r="H669" s="13">
        <f>IF(F669="","",(Summary!$B$5-F669)/365.25)</f>
        <v>5.2053364324284632E-2</v>
      </c>
      <c r="I669" s="14">
        <v>194.04</v>
      </c>
      <c r="J669" s="15">
        <v>3.6539999999999996E-2</v>
      </c>
      <c r="K669" s="16">
        <v>1573.471</v>
      </c>
      <c r="L669" s="16">
        <v>302483.89103</v>
      </c>
      <c r="M669" s="17">
        <v>4934</v>
      </c>
      <c r="N669" s="14">
        <v>193.67</v>
      </c>
      <c r="O669" s="14">
        <v>194.12</v>
      </c>
      <c r="P669" s="18">
        <f>IF(OR(N669="",O669="",N669=0,O669=0),"",(O669-N669)/((O669+N669)/2))</f>
        <v>2.320843755641028E-3</v>
      </c>
      <c r="Q669" s="14">
        <v>192.23988940999999</v>
      </c>
      <c r="R669" s="14">
        <v>195.02</v>
      </c>
      <c r="S669" s="14">
        <v>187.2</v>
      </c>
      <c r="T669" s="12">
        <v>46236.012481817132</v>
      </c>
      <c r="U669" s="12">
        <v>46237.012481817132</v>
      </c>
      <c r="V669" s="14">
        <v>5</v>
      </c>
      <c r="W669" s="14">
        <v>1E-3</v>
      </c>
      <c r="X669" s="14">
        <v>1E-3</v>
      </c>
      <c r="Y669" s="14">
        <v>0.01</v>
      </c>
      <c r="Z669" s="10" t="str">
        <f>IF(AND(D669="TRADING",I669&lt;&gt;"",L669&lt;&gt;"",M669&lt;&gt;"",N669&lt;&gt;"",O669&lt;&gt;""),"Yes","No")</f>
        <v>Yes</v>
      </c>
      <c r="AA669" s="10" t="s">
        <v>56</v>
      </c>
    </row>
    <row r="670" spans="1:27">
      <c r="A670" s="10" t="s">
        <v>890</v>
      </c>
      <c r="B670" s="10" t="s">
        <v>891</v>
      </c>
      <c r="C670" s="10" t="s">
        <v>12</v>
      </c>
      <c r="D670" s="10" t="s">
        <v>55</v>
      </c>
      <c r="E670" s="11" t="b">
        <v>1</v>
      </c>
      <c r="F670" s="12">
        <v>46218</v>
      </c>
      <c r="G670" s="12">
        <v>46218.999999988424</v>
      </c>
      <c r="H670" s="13">
        <f>IF(F670="","",(Summary!$B$5-F670)/365.25)</f>
        <v>5.2053364324284632E-2</v>
      </c>
      <c r="I670" s="14">
        <v>9.1999999999999993</v>
      </c>
      <c r="J670" s="15">
        <v>1.883E-2</v>
      </c>
      <c r="K670" s="16">
        <v>8830.9599999999991</v>
      </c>
      <c r="L670" s="16">
        <v>80197.981599999999</v>
      </c>
      <c r="M670" s="17">
        <v>1309</v>
      </c>
      <c r="N670" s="14">
        <v>9.2100000000000009</v>
      </c>
      <c r="O670" s="14">
        <v>9.2200000000000006</v>
      </c>
      <c r="P670" s="18">
        <f>IF(OR(N670="",O670="",N670=0,O670=0),"",(O670-N670)/((O670+N670)/2))</f>
        <v>1.0851871947910783E-3</v>
      </c>
      <c r="Q670" s="14">
        <v>9.0814567799999999</v>
      </c>
      <c r="R670" s="14">
        <v>9.26</v>
      </c>
      <c r="S670" s="14">
        <v>9.01</v>
      </c>
      <c r="T670" s="12">
        <v>46236.012270717591</v>
      </c>
      <c r="U670" s="12">
        <v>46237.012270717591</v>
      </c>
      <c r="V670" s="14">
        <v>5</v>
      </c>
      <c r="W670" s="14">
        <v>0.01</v>
      </c>
      <c r="X670" s="14">
        <v>0.01</v>
      </c>
      <c r="Y670" s="14">
        <v>0.01</v>
      </c>
      <c r="Z670" s="10" t="str">
        <f>IF(AND(D670="TRADING",I670&lt;&gt;"",L670&lt;&gt;"",M670&lt;&gt;"",N670&lt;&gt;"",O670&lt;&gt;""),"Yes","No")</f>
        <v>Yes</v>
      </c>
      <c r="AA670" s="10" t="s">
        <v>56</v>
      </c>
    </row>
    <row r="671" spans="1:27">
      <c r="A671" s="10" t="s">
        <v>1074</v>
      </c>
      <c r="B671" s="10" t="s">
        <v>1075</v>
      </c>
      <c r="C671" s="10" t="s">
        <v>12</v>
      </c>
      <c r="D671" s="10" t="s">
        <v>55</v>
      </c>
      <c r="E671" s="11" t="b">
        <v>1</v>
      </c>
      <c r="F671" s="12">
        <v>46218</v>
      </c>
      <c r="G671" s="12">
        <v>46218.999999988424</v>
      </c>
      <c r="H671" s="13">
        <f>IF(F671="","",(Summary!$B$5-F671)/365.25)</f>
        <v>5.2053364324284632E-2</v>
      </c>
      <c r="I671" s="14">
        <v>66.13</v>
      </c>
      <c r="J671" s="15">
        <v>2.479E-2</v>
      </c>
      <c r="K671" s="16">
        <v>1193.58</v>
      </c>
      <c r="L671" s="16">
        <v>77524.933999999994</v>
      </c>
      <c r="M671" s="17">
        <v>1324</v>
      </c>
      <c r="N671" s="14">
        <v>65.97</v>
      </c>
      <c r="O671" s="14">
        <v>66.180000000000007</v>
      </c>
      <c r="P671" s="18">
        <f>IF(OR(N671="",O671="",N671=0,O671=0),"",(O671-N671)/((O671+N671)/2))</f>
        <v>3.1782065834280431E-3</v>
      </c>
      <c r="Q671" s="14">
        <v>64.951602739999998</v>
      </c>
      <c r="R671" s="14">
        <v>66.16</v>
      </c>
      <c r="S671" s="14">
        <v>64.28</v>
      </c>
      <c r="T671" s="12">
        <v>46236.01247908565</v>
      </c>
      <c r="U671" s="12">
        <v>46237.01247908565</v>
      </c>
      <c r="V671" s="14">
        <v>5</v>
      </c>
      <c r="W671" s="14">
        <v>0.01</v>
      </c>
      <c r="X671" s="14">
        <v>0.01</v>
      </c>
      <c r="Y671" s="14">
        <v>0.01</v>
      </c>
      <c r="Z671" s="10" t="str">
        <f>IF(AND(D671="TRADING",I671&lt;&gt;"",L671&lt;&gt;"",M671&lt;&gt;"",N671&lt;&gt;"",O671&lt;&gt;""),"Yes","No")</f>
        <v>Yes</v>
      </c>
      <c r="AA671" s="10" t="s">
        <v>56</v>
      </c>
    </row>
    <row r="672" spans="1:27">
      <c r="A672" s="10" t="s">
        <v>1255</v>
      </c>
      <c r="B672" s="10" t="s">
        <v>1256</v>
      </c>
      <c r="C672" s="10" t="s">
        <v>12</v>
      </c>
      <c r="D672" s="10" t="s">
        <v>55</v>
      </c>
      <c r="E672" s="11" t="b">
        <v>1</v>
      </c>
      <c r="F672" s="12">
        <v>46218</v>
      </c>
      <c r="G672" s="12">
        <v>46218.999999988424</v>
      </c>
      <c r="H672" s="13">
        <f>IF(F672="","",(Summary!$B$5-F672)/365.25)</f>
        <v>5.2053364324284632E-2</v>
      </c>
      <c r="I672" s="14">
        <v>411.58</v>
      </c>
      <c r="J672" s="15">
        <v>1.5969999999999998E-2</v>
      </c>
      <c r="K672" s="16">
        <v>305.86</v>
      </c>
      <c r="L672" s="16">
        <v>126201.4935</v>
      </c>
      <c r="M672" s="17">
        <v>3802</v>
      </c>
      <c r="N672" s="14">
        <v>411.24</v>
      </c>
      <c r="O672" s="14">
        <v>411.76</v>
      </c>
      <c r="P672" s="18">
        <f>IF(OR(N672="",O672="",N672=0,O672=0),"",(O672-N672)/((O672+N672)/2))</f>
        <v>1.263669501822556E-3</v>
      </c>
      <c r="Q672" s="14">
        <v>412.61195808999997</v>
      </c>
      <c r="R672" s="14">
        <v>417.93</v>
      </c>
      <c r="S672" s="14">
        <v>404.58</v>
      </c>
      <c r="T672" s="12">
        <v>46236.012484305553</v>
      </c>
      <c r="U672" s="12">
        <v>46237.012484305553</v>
      </c>
      <c r="V672" s="14">
        <v>5</v>
      </c>
      <c r="W672" s="14">
        <v>1E-3</v>
      </c>
      <c r="X672" s="14">
        <v>1E-3</v>
      </c>
      <c r="Y672" s="14">
        <v>0.01</v>
      </c>
      <c r="Z672" s="10" t="str">
        <f>IF(AND(D672="TRADING",I672&lt;&gt;"",L672&lt;&gt;"",M672&lt;&gt;"",N672&lt;&gt;"",O672&lt;&gt;""),"Yes","No")</f>
        <v>Yes</v>
      </c>
      <c r="AA672" s="10" t="s">
        <v>56</v>
      </c>
    </row>
    <row r="673" spans="1:27">
      <c r="A673" s="10" t="s">
        <v>109</v>
      </c>
      <c r="B673" s="10" t="s">
        <v>110</v>
      </c>
      <c r="C673" s="10" t="s">
        <v>12</v>
      </c>
      <c r="D673" s="10" t="s">
        <v>55</v>
      </c>
      <c r="E673" s="11" t="b">
        <v>1</v>
      </c>
      <c r="F673" s="12">
        <v>46220</v>
      </c>
      <c r="G673" s="12">
        <v>46220.999999988424</v>
      </c>
      <c r="H673" s="13">
        <f>IF(F673="","",(Summary!$B$5-F673)/365.25)</f>
        <v>4.6577662750020427E-2</v>
      </c>
      <c r="I673" s="14">
        <v>0.39829999999999999</v>
      </c>
      <c r="J673" s="15">
        <v>-9.7000000000000003E-3</v>
      </c>
      <c r="K673" s="16">
        <v>6273095.2000000002</v>
      </c>
      <c r="L673" s="16">
        <v>2504722.8972100001</v>
      </c>
      <c r="M673" s="17">
        <v>23176</v>
      </c>
      <c r="N673" s="14">
        <v>0.39829999999999999</v>
      </c>
      <c r="O673" s="14">
        <v>0.39839999999999998</v>
      </c>
      <c r="P673" s="18">
        <f>IF(OR(N673="",O673="",N673=0,O673=0),"",(O673-N673)/((O673+N673)/2))</f>
        <v>2.5103552152626834E-4</v>
      </c>
      <c r="Q673" s="14">
        <v>0.39928023000000001</v>
      </c>
      <c r="R673" s="14">
        <v>0.41060000000000002</v>
      </c>
      <c r="S673" s="14">
        <v>0.39</v>
      </c>
      <c r="T673" s="12">
        <v>46236.012391631943</v>
      </c>
      <c r="U673" s="12">
        <v>46237.012391631943</v>
      </c>
      <c r="V673" s="14">
        <v>5</v>
      </c>
      <c r="W673" s="14">
        <v>0.1</v>
      </c>
      <c r="X673" s="14">
        <v>0.1</v>
      </c>
      <c r="Y673" s="14">
        <v>1E-4</v>
      </c>
      <c r="Z673" s="10" t="str">
        <f>IF(AND(D673="TRADING",I673&lt;&gt;"",L673&lt;&gt;"",M673&lt;&gt;"",N673&lt;&gt;"",O673&lt;&gt;""),"Yes","No")</f>
        <v>Yes</v>
      </c>
      <c r="AA673" s="10" t="s">
        <v>56</v>
      </c>
    </row>
    <row r="674" spans="1:27">
      <c r="A674" s="10" t="s">
        <v>225</v>
      </c>
      <c r="B674" s="10" t="s">
        <v>226</v>
      </c>
      <c r="C674" s="10" t="s">
        <v>12</v>
      </c>
      <c r="D674" s="10" t="s">
        <v>55</v>
      </c>
      <c r="E674" s="11" t="b">
        <v>1</v>
      </c>
      <c r="F674" s="12">
        <v>46225</v>
      </c>
      <c r="G674" s="12">
        <v>46225.999999988424</v>
      </c>
      <c r="H674" s="13">
        <f>IF(F674="","",(Summary!$B$5-F674)/365.25)</f>
        <v>3.2888408814359921E-2</v>
      </c>
      <c r="I674" s="14">
        <v>63.14</v>
      </c>
      <c r="J674" s="15">
        <v>3.576E-2</v>
      </c>
      <c r="K674" s="16">
        <v>6978.11</v>
      </c>
      <c r="L674" s="16">
        <v>431589.13160000002</v>
      </c>
      <c r="M674" s="17">
        <v>4386</v>
      </c>
      <c r="N674" s="14">
        <v>62.95</v>
      </c>
      <c r="O674" s="14">
        <v>63.24</v>
      </c>
      <c r="P674" s="18">
        <f>IF(OR(N674="",O674="",N674=0,O674=0),"",(O674-N674)/((O674+N674)/2))</f>
        <v>4.5962437594103999E-3</v>
      </c>
      <c r="Q674" s="14">
        <v>61.849000889999999</v>
      </c>
      <c r="R674" s="14">
        <v>63.2</v>
      </c>
      <c r="S674" s="14">
        <v>60.4</v>
      </c>
      <c r="T674" s="12">
        <v>46236.012444340275</v>
      </c>
      <c r="U674" s="12">
        <v>46237.012444340275</v>
      </c>
      <c r="V674" s="14">
        <v>5</v>
      </c>
      <c r="W674" s="14">
        <v>0.01</v>
      </c>
      <c r="X674" s="14">
        <v>0.01</v>
      </c>
      <c r="Y674" s="14">
        <v>0.01</v>
      </c>
      <c r="Z674" s="10" t="str">
        <f>IF(AND(D674="TRADING",I674&lt;&gt;"",L674&lt;&gt;"",M674&lt;&gt;"",N674&lt;&gt;"",O674&lt;&gt;""),"Yes","No")</f>
        <v>Yes</v>
      </c>
      <c r="AA674" s="10" t="s">
        <v>56</v>
      </c>
    </row>
    <row r="675" spans="1:27">
      <c r="A675" s="10" t="s">
        <v>393</v>
      </c>
      <c r="B675" s="10" t="s">
        <v>394</v>
      </c>
      <c r="C675" s="10" t="s">
        <v>12</v>
      </c>
      <c r="D675" s="10" t="s">
        <v>55</v>
      </c>
      <c r="E675" s="11" t="b">
        <v>1</v>
      </c>
      <c r="F675" s="12">
        <v>46225</v>
      </c>
      <c r="G675" s="12">
        <v>46225.999999988424</v>
      </c>
      <c r="H675" s="13">
        <f>IF(F675="","",(Summary!$B$5-F675)/365.25)</f>
        <v>3.2888408814359921E-2</v>
      </c>
      <c r="I675" s="14">
        <v>73.760000000000005</v>
      </c>
      <c r="J675" s="15">
        <v>2.8730000000000002E-2</v>
      </c>
      <c r="K675" s="16">
        <v>550.89</v>
      </c>
      <c r="L675" s="16">
        <v>39972.764300000003</v>
      </c>
      <c r="M675" s="17">
        <v>1361</v>
      </c>
      <c r="N675" s="14">
        <v>73.72</v>
      </c>
      <c r="O675" s="14">
        <v>73.97</v>
      </c>
      <c r="P675" s="18">
        <f>IF(OR(N675="",O675="",N675=0,O675=0),"",(O675-N675)/((O675+N675)/2))</f>
        <v>3.3854695646286142E-3</v>
      </c>
      <c r="Q675" s="14">
        <v>72.560337450000006</v>
      </c>
      <c r="R675" s="14">
        <v>74.010000000000005</v>
      </c>
      <c r="S675" s="14">
        <v>71.2</v>
      </c>
      <c r="T675" s="12">
        <v>46236.012470983798</v>
      </c>
      <c r="U675" s="12">
        <v>46237.012470983798</v>
      </c>
      <c r="V675" s="14">
        <v>5</v>
      </c>
      <c r="W675" s="14">
        <v>0.01</v>
      </c>
      <c r="X675" s="14">
        <v>0.01</v>
      </c>
      <c r="Y675" s="14">
        <v>0.01</v>
      </c>
      <c r="Z675" s="10" t="str">
        <f>IF(AND(D675="TRADING",I675&lt;&gt;"",L675&lt;&gt;"",M675&lt;&gt;"",N675&lt;&gt;"",O675&lt;&gt;""),"Yes","No")</f>
        <v>Yes</v>
      </c>
      <c r="AA675" s="10" t="s">
        <v>56</v>
      </c>
    </row>
    <row r="676" spans="1:27">
      <c r="A676" s="10" t="s">
        <v>674</v>
      </c>
      <c r="B676" s="10" t="s">
        <v>675</v>
      </c>
      <c r="C676" s="10" t="s">
        <v>12</v>
      </c>
      <c r="D676" s="10" t="s">
        <v>55</v>
      </c>
      <c r="E676" s="11" t="b">
        <v>1</v>
      </c>
      <c r="F676" s="12">
        <v>46225</v>
      </c>
      <c r="G676" s="12">
        <v>46225.999999988424</v>
      </c>
      <c r="H676" s="13">
        <f>IF(F676="","",(Summary!$B$5-F676)/365.25)</f>
        <v>3.2888408814359921E-2</v>
      </c>
      <c r="I676" s="14">
        <v>20.28</v>
      </c>
      <c r="J676" s="15">
        <v>4.5899999999999996E-2</v>
      </c>
      <c r="K676" s="16">
        <v>3668.22</v>
      </c>
      <c r="L676" s="16">
        <v>74287.042300000001</v>
      </c>
      <c r="M676" s="17">
        <v>2773</v>
      </c>
      <c r="N676" s="14">
        <v>20.25</v>
      </c>
      <c r="O676" s="14">
        <v>20.3</v>
      </c>
      <c r="P676" s="18">
        <f>IF(OR(N676="",O676="",N676=0,O676=0),"",(O676-N676)/((O676+N676)/2))</f>
        <v>2.4660912453761141E-3</v>
      </c>
      <c r="Q676" s="14">
        <v>20.251523160000001</v>
      </c>
      <c r="R676" s="14">
        <v>20.96</v>
      </c>
      <c r="S676" s="14">
        <v>19.350000000000001</v>
      </c>
      <c r="T676" s="12">
        <v>46236.012484710649</v>
      </c>
      <c r="U676" s="12">
        <v>46237.012484710649</v>
      </c>
      <c r="V676" s="14">
        <v>5</v>
      </c>
      <c r="W676" s="14">
        <v>0.01</v>
      </c>
      <c r="X676" s="14">
        <v>0.01</v>
      </c>
      <c r="Y676" s="14">
        <v>0.01</v>
      </c>
      <c r="Z676" s="10" t="str">
        <f>IF(AND(D676="TRADING",I676&lt;&gt;"",L676&lt;&gt;"",M676&lt;&gt;"",N676&lt;&gt;"",O676&lt;&gt;""),"Yes","No")</f>
        <v>Yes</v>
      </c>
      <c r="AA676" s="10" t="s">
        <v>56</v>
      </c>
    </row>
    <row r="677" spans="1:27">
      <c r="A677" s="10" t="s">
        <v>728</v>
      </c>
      <c r="B677" s="10" t="s">
        <v>729</v>
      </c>
      <c r="C677" s="10" t="s">
        <v>12</v>
      </c>
      <c r="D677" s="10" t="s">
        <v>55</v>
      </c>
      <c r="E677" s="11" t="b">
        <v>1</v>
      </c>
      <c r="F677" s="12">
        <v>46225</v>
      </c>
      <c r="G677" s="12">
        <v>46225.999999988424</v>
      </c>
      <c r="H677" s="13">
        <f>IF(F677="","",(Summary!$B$5-F677)/365.25)</f>
        <v>3.2888408814359921E-2</v>
      </c>
      <c r="I677" s="14">
        <v>16.13</v>
      </c>
      <c r="J677" s="15">
        <v>6.2579999999999997E-2</v>
      </c>
      <c r="K677" s="16">
        <v>232717.4</v>
      </c>
      <c r="L677" s="16">
        <v>3714556.0981000001</v>
      </c>
      <c r="M677" s="17">
        <v>42386</v>
      </c>
      <c r="N677" s="14">
        <v>16.14</v>
      </c>
      <c r="O677" s="14">
        <v>16.16</v>
      </c>
      <c r="P677" s="18">
        <f>IF(OR(N677="",O677="",N677=0,O677=0),"",(O677-N677)/((O677+N677)/2))</f>
        <v>1.2383900928792306E-3</v>
      </c>
      <c r="Q677" s="14">
        <v>15.96166036</v>
      </c>
      <c r="R677" s="14">
        <v>16.68</v>
      </c>
      <c r="S677" s="14">
        <v>15.1</v>
      </c>
      <c r="T677" s="12">
        <v>46236.012484189814</v>
      </c>
      <c r="U677" s="12">
        <v>46237.012484189814</v>
      </c>
      <c r="V677" s="14">
        <v>5</v>
      </c>
      <c r="W677" s="14">
        <v>0.01</v>
      </c>
      <c r="X677" s="14">
        <v>0.01</v>
      </c>
      <c r="Y677" s="14">
        <v>0.01</v>
      </c>
      <c r="Z677" s="10" t="str">
        <f>IF(AND(D677="TRADING",I677&lt;&gt;"",L677&lt;&gt;"",M677&lt;&gt;"",N677&lt;&gt;"",O677&lt;&gt;""),"Yes","No")</f>
        <v>Yes</v>
      </c>
      <c r="AA677" s="10" t="s">
        <v>56</v>
      </c>
    </row>
    <row r="678" spans="1:27">
      <c r="A678" s="10" t="s">
        <v>858</v>
      </c>
      <c r="B678" s="10" t="s">
        <v>859</v>
      </c>
      <c r="C678" s="10" t="s">
        <v>12</v>
      </c>
      <c r="D678" s="10" t="s">
        <v>55</v>
      </c>
      <c r="E678" s="11" t="b">
        <v>1</v>
      </c>
      <c r="F678" s="12">
        <v>46225</v>
      </c>
      <c r="G678" s="12">
        <v>46225.999999988424</v>
      </c>
      <c r="H678" s="13">
        <f>IF(F678="","",(Summary!$B$5-F678)/365.25)</f>
        <v>3.2888408814359921E-2</v>
      </c>
      <c r="I678" s="14">
        <v>25.02</v>
      </c>
      <c r="J678" s="15">
        <v>5.126E-2</v>
      </c>
      <c r="K678" s="16">
        <v>53304.91</v>
      </c>
      <c r="L678" s="16">
        <v>1320814.4319</v>
      </c>
      <c r="M678" s="17">
        <v>18737</v>
      </c>
      <c r="N678" s="14">
        <v>24.98</v>
      </c>
      <c r="O678" s="14">
        <v>25.01</v>
      </c>
      <c r="P678" s="18">
        <f>IF(OR(N678="",O678="",N678=0,O678=0),"",(O678-N678)/((O678+N678)/2))</f>
        <v>1.2002400480096475E-3</v>
      </c>
      <c r="Q678" s="14">
        <v>24.77847598</v>
      </c>
      <c r="R678" s="14">
        <v>26.03</v>
      </c>
      <c r="S678" s="14">
        <v>23.6</v>
      </c>
      <c r="T678" s="12">
        <v>46236.012482627317</v>
      </c>
      <c r="U678" s="12">
        <v>46237.012482627317</v>
      </c>
      <c r="V678" s="14">
        <v>5</v>
      </c>
      <c r="W678" s="14">
        <v>0.01</v>
      </c>
      <c r="X678" s="14">
        <v>0.01</v>
      </c>
      <c r="Y678" s="14">
        <v>0.01</v>
      </c>
      <c r="Z678" s="10" t="str">
        <f>IF(AND(D678="TRADING",I678&lt;&gt;"",L678&lt;&gt;"",M678&lt;&gt;"",N678&lt;&gt;"",O678&lt;&gt;""),"Yes","No")</f>
        <v>Yes</v>
      </c>
      <c r="AA678" s="10" t="s">
        <v>56</v>
      </c>
    </row>
    <row r="679" spans="1:27">
      <c r="A679" s="10" t="s">
        <v>860</v>
      </c>
      <c r="B679" s="10" t="s">
        <v>861</v>
      </c>
      <c r="C679" s="10" t="s">
        <v>12</v>
      </c>
      <c r="D679" s="10" t="s">
        <v>55</v>
      </c>
      <c r="E679" s="11" t="b">
        <v>1</v>
      </c>
      <c r="F679" s="12">
        <v>46225</v>
      </c>
      <c r="G679" s="12">
        <v>46225.999999988424</v>
      </c>
      <c r="H679" s="13">
        <f>IF(F679="","",(Summary!$B$5-F679)/365.25)</f>
        <v>3.2888408814359921E-2</v>
      </c>
      <c r="I679" s="14">
        <v>21.78</v>
      </c>
      <c r="J679" s="15">
        <v>7.3959999999999998E-2</v>
      </c>
      <c r="K679" s="16">
        <v>8707.49</v>
      </c>
      <c r="L679" s="16">
        <v>186766.49720000001</v>
      </c>
      <c r="M679" s="17">
        <v>5874</v>
      </c>
      <c r="N679" s="14">
        <v>21.76</v>
      </c>
      <c r="O679" s="14">
        <v>21.79</v>
      </c>
      <c r="P679" s="18">
        <f>IF(OR(N679="",O679="",N679=0,O679=0),"",(O679-N679)/((O679+N679)/2))</f>
        <v>1.3777267508609684E-3</v>
      </c>
      <c r="Q679" s="14">
        <v>21.448947650000001</v>
      </c>
      <c r="R679" s="14">
        <v>22.07</v>
      </c>
      <c r="S679" s="14">
        <v>20.28</v>
      </c>
      <c r="T679" s="12">
        <v>46236.012461412036</v>
      </c>
      <c r="U679" s="12">
        <v>46237.012461412036</v>
      </c>
      <c r="V679" s="14">
        <v>5</v>
      </c>
      <c r="W679" s="14">
        <v>0.01</v>
      </c>
      <c r="X679" s="14">
        <v>0.01</v>
      </c>
      <c r="Y679" s="14">
        <v>0.01</v>
      </c>
      <c r="Z679" s="10" t="str">
        <f>IF(AND(D679="TRADING",I679&lt;&gt;"",L679&lt;&gt;"",M679&lt;&gt;"",N679&lt;&gt;"",O679&lt;&gt;""),"Yes","No")</f>
        <v>Yes</v>
      </c>
      <c r="AA679" s="10" t="s">
        <v>56</v>
      </c>
    </row>
    <row r="680" spans="1:27">
      <c r="A680" s="10" t="s">
        <v>942</v>
      </c>
      <c r="B680" s="10" t="s">
        <v>943</v>
      </c>
      <c r="C680" s="10" t="s">
        <v>12</v>
      </c>
      <c r="D680" s="10" t="s">
        <v>55</v>
      </c>
      <c r="E680" s="11" t="b">
        <v>1</v>
      </c>
      <c r="F680" s="12">
        <v>46225</v>
      </c>
      <c r="G680" s="12">
        <v>46225.999999988424</v>
      </c>
      <c r="H680" s="13">
        <f>IF(F680="","",(Summary!$B$5-F680)/365.25)</f>
        <v>3.2888408814359921E-2</v>
      </c>
      <c r="I680" s="14">
        <v>132.13</v>
      </c>
      <c r="J680" s="15">
        <v>2.0310000000000002E-2</v>
      </c>
      <c r="K680" s="16">
        <v>336.89400000000001</v>
      </c>
      <c r="L680" s="16">
        <v>44153.054120000001</v>
      </c>
      <c r="M680" s="17">
        <v>1591</v>
      </c>
      <c r="N680" s="14">
        <v>132.03</v>
      </c>
      <c r="O680" s="14">
        <v>132.25</v>
      </c>
      <c r="P680" s="18">
        <f>IF(OR(N680="",O680="",N680=0,O680=0),"",(O680-N680)/((O680+N680)/2))</f>
        <v>1.6649008627213477E-3</v>
      </c>
      <c r="Q680" s="14">
        <v>131.05918811000001</v>
      </c>
      <c r="R680" s="14">
        <v>132.41999999999999</v>
      </c>
      <c r="S680" s="14">
        <v>129.44999999999999</v>
      </c>
      <c r="T680" s="12">
        <v>46236.012467488428</v>
      </c>
      <c r="U680" s="12">
        <v>46237.012467488428</v>
      </c>
      <c r="V680" s="14">
        <v>5</v>
      </c>
      <c r="W680" s="14">
        <v>1E-3</v>
      </c>
      <c r="X680" s="14">
        <v>1E-3</v>
      </c>
      <c r="Y680" s="14">
        <v>0.01</v>
      </c>
      <c r="Z680" s="10" t="str">
        <f>IF(AND(D680="TRADING",I680&lt;&gt;"",L680&lt;&gt;"",M680&lt;&gt;"",N680&lt;&gt;"",O680&lt;&gt;""),"Yes","No")</f>
        <v>Yes</v>
      </c>
      <c r="AA680" s="10" t="s">
        <v>56</v>
      </c>
    </row>
    <row r="681" spans="1:27">
      <c r="A681" s="10" t="s">
        <v>1030</v>
      </c>
      <c r="B681" s="10" t="s">
        <v>1031</v>
      </c>
      <c r="C681" s="10" t="s">
        <v>12</v>
      </c>
      <c r="D681" s="10" t="s">
        <v>55</v>
      </c>
      <c r="E681" s="11" t="b">
        <v>1</v>
      </c>
      <c r="F681" s="12">
        <v>46225</v>
      </c>
      <c r="G681" s="12">
        <v>46225.999999988424</v>
      </c>
      <c r="H681" s="13">
        <f>IF(F681="","",(Summary!$B$5-F681)/365.25)</f>
        <v>3.2888408814359921E-2</v>
      </c>
      <c r="I681" s="14">
        <v>51.89</v>
      </c>
      <c r="J681" s="15">
        <v>-1.15E-3</v>
      </c>
      <c r="K681" s="16">
        <v>1211.23</v>
      </c>
      <c r="L681" s="16">
        <v>63104.967400000001</v>
      </c>
      <c r="M681" s="17">
        <v>562</v>
      </c>
      <c r="N681" s="14">
        <v>51.96</v>
      </c>
      <c r="O681" s="14">
        <v>52.03</v>
      </c>
      <c r="P681" s="18">
        <f>IF(OR(N681="",O681="",N681=0,O681=0),"",(O681-N681)/((O681+N681)/2))</f>
        <v>1.3462832964708199E-3</v>
      </c>
      <c r="Q681" s="14">
        <v>52.099904559999999</v>
      </c>
      <c r="R681" s="14">
        <v>52.34</v>
      </c>
      <c r="S681" s="14">
        <v>51.27</v>
      </c>
      <c r="T681" s="12">
        <v>46236.012450115741</v>
      </c>
      <c r="U681" s="12">
        <v>46237.012450115741</v>
      </c>
      <c r="V681" s="14">
        <v>5</v>
      </c>
      <c r="W681" s="14">
        <v>0.01</v>
      </c>
      <c r="X681" s="14">
        <v>0.01</v>
      </c>
      <c r="Y681" s="14">
        <v>0.01</v>
      </c>
      <c r="Z681" s="10" t="str">
        <f>IF(AND(D681="TRADING",I681&lt;&gt;"",L681&lt;&gt;"",M681&lt;&gt;"",N681&lt;&gt;"",O681&lt;&gt;""),"Yes","No")</f>
        <v>Yes</v>
      </c>
      <c r="AA681" s="10" t="s">
        <v>56</v>
      </c>
    </row>
    <row r="682" spans="1:27">
      <c r="A682" s="10" t="s">
        <v>1142</v>
      </c>
      <c r="B682" s="10" t="s">
        <v>1143</v>
      </c>
      <c r="C682" s="10" t="s">
        <v>12</v>
      </c>
      <c r="D682" s="10" t="s">
        <v>55</v>
      </c>
      <c r="E682" s="11" t="b">
        <v>1</v>
      </c>
      <c r="F682" s="12">
        <v>46225</v>
      </c>
      <c r="G682" s="12">
        <v>46225.999999988424</v>
      </c>
      <c r="H682" s="13">
        <f>IF(F682="","",(Summary!$B$5-F682)/365.25)</f>
        <v>3.2888408814359921E-2</v>
      </c>
      <c r="I682" s="14">
        <v>9.81</v>
      </c>
      <c r="J682" s="15">
        <v>4.4729999999999999E-2</v>
      </c>
      <c r="K682" s="16">
        <v>361635.01</v>
      </c>
      <c r="L682" s="16">
        <v>3462263.22</v>
      </c>
      <c r="M682" s="17">
        <v>26127</v>
      </c>
      <c r="N682" s="14">
        <v>9.7899999999999991</v>
      </c>
      <c r="O682" s="14">
        <v>9.81</v>
      </c>
      <c r="P682" s="18">
        <f>IF(OR(N682="",O682="",N682=0,O682=0),"",(O682-N682)/((O682+N682)/2))</f>
        <v>2.0408163265307499E-3</v>
      </c>
      <c r="Q682" s="14">
        <v>9.5739160299999995</v>
      </c>
      <c r="R682" s="14">
        <v>9.85</v>
      </c>
      <c r="S682" s="14">
        <v>9.15</v>
      </c>
      <c r="T682" s="12">
        <v>46236.012461689817</v>
      </c>
      <c r="U682" s="12">
        <v>46237.012461689817</v>
      </c>
      <c r="V682" s="14">
        <v>5</v>
      </c>
      <c r="W682" s="14">
        <v>0.01</v>
      </c>
      <c r="X682" s="14">
        <v>0.01</v>
      </c>
      <c r="Y682" s="14">
        <v>0.01</v>
      </c>
      <c r="Z682" s="10" t="str">
        <f>IF(AND(D682="TRADING",I682&lt;&gt;"",L682&lt;&gt;"",M682&lt;&gt;"",N682&lt;&gt;"",O682&lt;&gt;""),"Yes","No")</f>
        <v>Yes</v>
      </c>
      <c r="AA682" s="10" t="s">
        <v>56</v>
      </c>
    </row>
    <row r="683" spans="1:27">
      <c r="A683" s="10" t="s">
        <v>1237</v>
      </c>
      <c r="B683" s="10" t="s">
        <v>1238</v>
      </c>
      <c r="C683" s="10" t="s">
        <v>12</v>
      </c>
      <c r="D683" s="10" t="s">
        <v>55</v>
      </c>
      <c r="E683" s="11" t="b">
        <v>1</v>
      </c>
      <c r="F683" s="12">
        <v>46225</v>
      </c>
      <c r="G683" s="12">
        <v>46225.999999988424</v>
      </c>
      <c r="H683" s="13">
        <f>IF(F683="","",(Summary!$B$5-F683)/365.25)</f>
        <v>3.2888408814359921E-2</v>
      </c>
      <c r="I683" s="14">
        <v>66.13</v>
      </c>
      <c r="J683" s="15">
        <v>3.603E-2</v>
      </c>
      <c r="K683" s="16">
        <v>935.56</v>
      </c>
      <c r="L683" s="16">
        <v>61107.2814</v>
      </c>
      <c r="M683" s="17">
        <v>2320</v>
      </c>
      <c r="N683" s="14">
        <v>66</v>
      </c>
      <c r="O683" s="14">
        <v>66.02</v>
      </c>
      <c r="P683" s="18">
        <f>IF(OR(N683="",O683="",N683=0,O683=0),"",(O683-N683)/((O683+N683)/2))</f>
        <v>3.0298439630353015E-4</v>
      </c>
      <c r="Q683" s="14">
        <v>65.316261280000006</v>
      </c>
      <c r="R683" s="14">
        <v>66.14</v>
      </c>
      <c r="S683" s="14">
        <v>63.73</v>
      </c>
      <c r="T683" s="12">
        <v>46236.012484837964</v>
      </c>
      <c r="U683" s="12">
        <v>46237.012484837964</v>
      </c>
      <c r="V683" s="14">
        <v>5</v>
      </c>
      <c r="W683" s="14">
        <v>0.01</v>
      </c>
      <c r="X683" s="14">
        <v>0.01</v>
      </c>
      <c r="Y683" s="14">
        <v>0.01</v>
      </c>
      <c r="Z683" s="10" t="str">
        <f>IF(AND(D683="TRADING",I683&lt;&gt;"",L683&lt;&gt;"",M683&lt;&gt;"",N683&lt;&gt;"",O683&lt;&gt;""),"Yes","No")</f>
        <v>Yes</v>
      </c>
      <c r="AA683" s="10" t="s">
        <v>56</v>
      </c>
    </row>
    <row r="684" spans="1:27">
      <c r="A684" s="10" t="s">
        <v>87</v>
      </c>
      <c r="B684" s="10" t="s">
        <v>88</v>
      </c>
      <c r="C684" s="10" t="s">
        <v>12</v>
      </c>
      <c r="D684" s="10" t="s">
        <v>55</v>
      </c>
      <c r="E684" s="11" t="b">
        <v>1</v>
      </c>
      <c r="F684" s="12">
        <v>46232</v>
      </c>
      <c r="G684" s="12">
        <v>46232.999999988424</v>
      </c>
      <c r="H684" s="13">
        <f>IF(F684="","",(Summary!$B$5-F684)/365.25)</f>
        <v>1.3723453304435213E-2</v>
      </c>
      <c r="I684" s="14">
        <v>309.02</v>
      </c>
      <c r="J684" s="15">
        <v>3.1800000000000001E-3</v>
      </c>
      <c r="K684" s="16">
        <v>621.88699999999994</v>
      </c>
      <c r="L684" s="16">
        <v>192806.05567999999</v>
      </c>
      <c r="M684" s="17">
        <v>1570</v>
      </c>
      <c r="N684" s="14">
        <v>309.01</v>
      </c>
      <c r="O684" s="14">
        <v>309.37</v>
      </c>
      <c r="P684" s="18">
        <f>IF(OR(N684="",O684="",N684=0,O684=0),"",(O684-N684)/((O684+N684)/2))</f>
        <v>1.1643326110159244E-3</v>
      </c>
      <c r="Q684" s="14">
        <v>310.03390596999998</v>
      </c>
      <c r="R684" s="14">
        <v>311.83</v>
      </c>
      <c r="S684" s="14">
        <v>307.14999999999998</v>
      </c>
      <c r="T684" s="12">
        <v>46236.012473298608</v>
      </c>
      <c r="U684" s="12">
        <v>46237.012473298608</v>
      </c>
      <c r="V684" s="14">
        <v>5</v>
      </c>
      <c r="W684" s="14">
        <v>1E-3</v>
      </c>
      <c r="X684" s="14">
        <v>1E-3</v>
      </c>
      <c r="Y684" s="14">
        <v>0.01</v>
      </c>
      <c r="Z684" s="10" t="str">
        <f>IF(AND(D684="TRADING",I684&lt;&gt;"",L684&lt;&gt;"",M684&lt;&gt;"",N684&lt;&gt;"",O684&lt;&gt;""),"Yes","No")</f>
        <v>Yes</v>
      </c>
      <c r="AA684" s="10" t="s">
        <v>56</v>
      </c>
    </row>
    <row r="685" spans="1:27">
      <c r="A685" s="10" t="s">
        <v>145</v>
      </c>
      <c r="B685" s="10" t="s">
        <v>146</v>
      </c>
      <c r="C685" s="10" t="s">
        <v>12</v>
      </c>
      <c r="D685" s="10" t="s">
        <v>55</v>
      </c>
      <c r="E685" s="11" t="b">
        <v>1</v>
      </c>
      <c r="F685" s="12">
        <v>46232</v>
      </c>
      <c r="G685" s="12">
        <v>46232.999999988424</v>
      </c>
      <c r="H685" s="13">
        <f>IF(F685="","",(Summary!$B$5-F685)/365.25)</f>
        <v>1.3723453304435213E-2</v>
      </c>
      <c r="I685" s="14">
        <v>515.86</v>
      </c>
      <c r="J685" s="15">
        <v>4.3200000000000001E-3</v>
      </c>
      <c r="K685" s="16">
        <v>47.805999999999997</v>
      </c>
      <c r="L685" s="16">
        <v>24684.669549999999</v>
      </c>
      <c r="M685" s="17">
        <v>1025</v>
      </c>
      <c r="N685" s="14">
        <v>515.79999999999995</v>
      </c>
      <c r="O685" s="14">
        <v>517.30999999999995</v>
      </c>
      <c r="P685" s="18">
        <f>IF(OR(N685="",O685="",N685=0,O685=0),"",(O685-N685)/((O685+N685)/2))</f>
        <v>2.9232124362362014E-3</v>
      </c>
      <c r="Q685" s="14">
        <v>516.35086705000003</v>
      </c>
      <c r="R685" s="14">
        <v>519.99</v>
      </c>
      <c r="S685" s="14">
        <v>507.19</v>
      </c>
      <c r="T685" s="12">
        <v>46236.012484837964</v>
      </c>
      <c r="U685" s="12">
        <v>46237.012484837964</v>
      </c>
      <c r="V685" s="14">
        <v>5</v>
      </c>
      <c r="W685" s="14">
        <v>1E-3</v>
      </c>
      <c r="X685" s="14">
        <v>1E-3</v>
      </c>
      <c r="Y685" s="14">
        <v>0.01</v>
      </c>
      <c r="Z685" s="10" t="str">
        <f>IF(AND(D685="TRADING",I685&lt;&gt;"",L685&lt;&gt;"",M685&lt;&gt;"",N685&lt;&gt;"",O685&lt;&gt;""),"Yes","No")</f>
        <v>Yes</v>
      </c>
      <c r="AA685" s="10" t="s">
        <v>56</v>
      </c>
    </row>
    <row r="686" spans="1:27">
      <c r="A686" s="10" t="s">
        <v>153</v>
      </c>
      <c r="B686" s="10" t="s">
        <v>154</v>
      </c>
      <c r="C686" s="10" t="s">
        <v>12</v>
      </c>
      <c r="D686" s="10" t="s">
        <v>55</v>
      </c>
      <c r="E686" s="11" t="b">
        <v>1</v>
      </c>
      <c r="F686" s="12">
        <v>46232</v>
      </c>
      <c r="G686" s="12">
        <v>46232.999999988424</v>
      </c>
      <c r="H686" s="13">
        <f>IF(F686="","",(Summary!$B$5-F686)/365.25)</f>
        <v>1.3723453304435213E-2</v>
      </c>
      <c r="I686" s="14">
        <v>274.37</v>
      </c>
      <c r="J686" s="15">
        <v>1.5429999999999999E-2</v>
      </c>
      <c r="K686" s="16">
        <v>222.524</v>
      </c>
      <c r="L686" s="16">
        <v>60849.231050000002</v>
      </c>
      <c r="M686" s="17">
        <v>784</v>
      </c>
      <c r="N686" s="14">
        <v>274.44</v>
      </c>
      <c r="O686" s="14">
        <v>275</v>
      </c>
      <c r="P686" s="18">
        <f>IF(OR(N686="",O686="",N686=0,O686=0),"",(O686-N686)/((O686+N686)/2))</f>
        <v>2.0384391380314582E-3</v>
      </c>
      <c r="Q686" s="14">
        <v>273.45019436000001</v>
      </c>
      <c r="R686" s="14">
        <v>275.87</v>
      </c>
      <c r="S686" s="14">
        <v>269.33999999999997</v>
      </c>
      <c r="T686" s="12">
        <v>46236.012484837964</v>
      </c>
      <c r="U686" s="12">
        <v>46237.012484837964</v>
      </c>
      <c r="V686" s="14">
        <v>5</v>
      </c>
      <c r="W686" s="14">
        <v>1E-3</v>
      </c>
      <c r="X686" s="14">
        <v>1E-3</v>
      </c>
      <c r="Y686" s="14">
        <v>0.01</v>
      </c>
      <c r="Z686" s="10" t="str">
        <f>IF(AND(D686="TRADING",I686&lt;&gt;"",L686&lt;&gt;"",M686&lt;&gt;"",N686&lt;&gt;"",O686&lt;&gt;""),"Yes","No")</f>
        <v>Yes</v>
      </c>
      <c r="AA686" s="10" t="s">
        <v>56</v>
      </c>
    </row>
    <row r="687" spans="1:27">
      <c r="A687" s="10" t="s">
        <v>267</v>
      </c>
      <c r="B687" s="10" t="s">
        <v>268</v>
      </c>
      <c r="C687" s="10" t="s">
        <v>12</v>
      </c>
      <c r="D687" s="10" t="s">
        <v>55</v>
      </c>
      <c r="E687" s="11" t="b">
        <v>1</v>
      </c>
      <c r="F687" s="12">
        <v>46232</v>
      </c>
      <c r="G687" s="12">
        <v>46232.999999988424</v>
      </c>
      <c r="H687" s="13">
        <f>IF(F687="","",(Summary!$B$5-F687)/365.25)</f>
        <v>1.3723453304435213E-2</v>
      </c>
      <c r="I687" s="14">
        <v>211.59</v>
      </c>
      <c r="J687" s="15">
        <v>2.0649999999999998E-2</v>
      </c>
      <c r="K687" s="16">
        <v>549.71699999999998</v>
      </c>
      <c r="L687" s="16">
        <v>115481.94813999999</v>
      </c>
      <c r="M687" s="17">
        <v>850</v>
      </c>
      <c r="N687" s="14">
        <v>210.8</v>
      </c>
      <c r="O687" s="14">
        <v>212.43</v>
      </c>
      <c r="P687" s="18">
        <f>IF(OR(N687="",O687="",N687=0,O687=0),"",(O687-N687)/((O687+N687)/2))</f>
        <v>7.7026675802754786E-3</v>
      </c>
      <c r="Q687" s="14">
        <v>210.07527171000001</v>
      </c>
      <c r="R687" s="14">
        <v>213.43</v>
      </c>
      <c r="S687" s="14">
        <v>205.58</v>
      </c>
      <c r="T687" s="12">
        <v>46236.012484837964</v>
      </c>
      <c r="U687" s="12">
        <v>46237.012484837964</v>
      </c>
      <c r="V687" s="14">
        <v>5</v>
      </c>
      <c r="W687" s="14">
        <v>1E-3</v>
      </c>
      <c r="X687" s="14">
        <v>1E-3</v>
      </c>
      <c r="Y687" s="14">
        <v>0.01</v>
      </c>
      <c r="Z687" s="10" t="str">
        <f>IF(AND(D687="TRADING",I687&lt;&gt;"",L687&lt;&gt;"",M687&lt;&gt;"",N687&lt;&gt;"",O687&lt;&gt;""),"Yes","No")</f>
        <v>Yes</v>
      </c>
      <c r="AA687" s="10" t="s">
        <v>56</v>
      </c>
    </row>
    <row r="688" spans="1:27">
      <c r="A688" s="10" t="s">
        <v>423</v>
      </c>
      <c r="B688" s="10" t="s">
        <v>424</v>
      </c>
      <c r="C688" s="10" t="s">
        <v>12</v>
      </c>
      <c r="D688" s="10" t="s">
        <v>55</v>
      </c>
      <c r="E688" s="11" t="b">
        <v>1</v>
      </c>
      <c r="F688" s="12">
        <v>46232</v>
      </c>
      <c r="G688" s="12">
        <v>46232.999999988424</v>
      </c>
      <c r="H688" s="13">
        <f>IF(F688="","",(Summary!$B$5-F688)/365.25)</f>
        <v>1.3723453304435213E-2</v>
      </c>
      <c r="I688" s="14">
        <v>412.09</v>
      </c>
      <c r="J688" s="15">
        <v>1.0540000000000001E-2</v>
      </c>
      <c r="K688" s="16">
        <v>23.760999999999999</v>
      </c>
      <c r="L688" s="16">
        <v>9753.56358</v>
      </c>
      <c r="M688" s="17">
        <v>199</v>
      </c>
      <c r="N688" s="14">
        <v>411.96</v>
      </c>
      <c r="O688" s="14">
        <v>414.4</v>
      </c>
      <c r="P688" s="18">
        <f>IF(OR(N688="",O688="",N688=0,O688=0),"",(O688-N688)/((O688+N688)/2))</f>
        <v>5.9054165254852561E-3</v>
      </c>
      <c r="Q688" s="14">
        <v>410.48624131999998</v>
      </c>
      <c r="R688" s="14">
        <v>414.71</v>
      </c>
      <c r="S688" s="14">
        <v>406.91</v>
      </c>
      <c r="T688" s="12">
        <v>46236.012484837964</v>
      </c>
      <c r="U688" s="12">
        <v>46237.012484837964</v>
      </c>
      <c r="V688" s="14">
        <v>5</v>
      </c>
      <c r="W688" s="14">
        <v>1E-3</v>
      </c>
      <c r="X688" s="14">
        <v>1E-3</v>
      </c>
      <c r="Y688" s="14">
        <v>0.01</v>
      </c>
      <c r="Z688" s="10" t="str">
        <f>IF(AND(D688="TRADING",I688&lt;&gt;"",L688&lt;&gt;"",M688&lt;&gt;"",N688&lt;&gt;"",O688&lt;&gt;""),"Yes","No")</f>
        <v>Yes</v>
      </c>
      <c r="AA688" s="10" t="s">
        <v>56</v>
      </c>
    </row>
    <row r="689" spans="1:27">
      <c r="A689" s="10" t="s">
        <v>536</v>
      </c>
      <c r="B689" s="10" t="s">
        <v>537</v>
      </c>
      <c r="C689" s="10" t="s">
        <v>12</v>
      </c>
      <c r="D689" s="10" t="s">
        <v>55</v>
      </c>
      <c r="E689" s="11" t="b">
        <v>1</v>
      </c>
      <c r="F689" s="12">
        <v>46232</v>
      </c>
      <c r="G689" s="12">
        <v>46232.999999988424</v>
      </c>
      <c r="H689" s="13">
        <f>IF(F689="","",(Summary!$B$5-F689)/365.25)</f>
        <v>1.3723453304435213E-2</v>
      </c>
      <c r="I689" s="14">
        <v>14.2</v>
      </c>
      <c r="J689" s="15">
        <v>-1.4099999999999998E-3</v>
      </c>
      <c r="K689" s="16">
        <v>6119.68</v>
      </c>
      <c r="L689" s="16">
        <v>87255.701700000005</v>
      </c>
      <c r="M689" s="17">
        <v>608</v>
      </c>
      <c r="N689" s="14">
        <v>14.23</v>
      </c>
      <c r="O689" s="14">
        <v>14.31</v>
      </c>
      <c r="P689" s="18">
        <f>IF(OR(N689="",O689="",N689=0,O689=0),"",(O689-N689)/((O689+N689)/2))</f>
        <v>5.6061667834618129E-3</v>
      </c>
      <c r="Q689" s="14">
        <v>14.25821313</v>
      </c>
      <c r="R689" s="14">
        <v>14.46</v>
      </c>
      <c r="S689" s="14">
        <v>14</v>
      </c>
      <c r="T689" s="12">
        <v>46236.012461689817</v>
      </c>
      <c r="U689" s="12">
        <v>46237.012461689817</v>
      </c>
      <c r="V689" s="14">
        <v>5</v>
      </c>
      <c r="W689" s="14">
        <v>0.01</v>
      </c>
      <c r="X689" s="14">
        <v>0.01</v>
      </c>
      <c r="Y689" s="14">
        <v>0.01</v>
      </c>
      <c r="Z689" s="10" t="str">
        <f>IF(AND(D689="TRADING",I689&lt;&gt;"",L689&lt;&gt;"",M689&lt;&gt;"",N689&lt;&gt;"",O689&lt;&gt;""),"Yes","No")</f>
        <v>Yes</v>
      </c>
      <c r="AA689" s="10" t="s">
        <v>56</v>
      </c>
    </row>
    <row r="690" spans="1:27">
      <c r="A690" s="10" t="s">
        <v>604</v>
      </c>
      <c r="B690" s="10" t="s">
        <v>605</v>
      </c>
      <c r="C690" s="10" t="s">
        <v>12</v>
      </c>
      <c r="D690" s="10" t="s">
        <v>55</v>
      </c>
      <c r="E690" s="11" t="b">
        <v>1</v>
      </c>
      <c r="F690" s="12">
        <v>46232</v>
      </c>
      <c r="G690" s="12">
        <v>46232.999999988424</v>
      </c>
      <c r="H690" s="13">
        <f>IF(F690="","",(Summary!$B$5-F690)/365.25)</f>
        <v>1.3723453304435213E-2</v>
      </c>
      <c r="I690" s="14">
        <v>1017.81</v>
      </c>
      <c r="J690" s="15">
        <v>-3.4000000000000002E-3</v>
      </c>
      <c r="K690" s="16">
        <v>6.7091000000000003</v>
      </c>
      <c r="L690" s="16">
        <v>6832.7875880000001</v>
      </c>
      <c r="M690" s="17">
        <v>277</v>
      </c>
      <c r="N690" s="14">
        <v>1019.44</v>
      </c>
      <c r="O690" s="14">
        <v>1039.8399999999999</v>
      </c>
      <c r="P690" s="18">
        <f>IF(OR(N690="",O690="",N690=0,O690=0),"",(O690-N690)/((O690+N690)/2))</f>
        <v>1.9812750087409063E-2</v>
      </c>
      <c r="Q690" s="14">
        <v>1018.4357943700001</v>
      </c>
      <c r="R690" s="14">
        <v>1042.2</v>
      </c>
      <c r="S690" s="14">
        <v>1007.13</v>
      </c>
      <c r="T690" s="12">
        <v>46236.012311226848</v>
      </c>
      <c r="U690" s="12">
        <v>46237.012311226848</v>
      </c>
      <c r="V690" s="14">
        <v>5</v>
      </c>
      <c r="W690" s="14">
        <v>1E-4</v>
      </c>
      <c r="X690" s="14">
        <v>1E-4</v>
      </c>
      <c r="Y690" s="14">
        <v>0.01</v>
      </c>
      <c r="Z690" s="10" t="str">
        <f>IF(AND(D690="TRADING",I690&lt;&gt;"",L690&lt;&gt;"",M690&lt;&gt;"",N690&lt;&gt;"",O690&lt;&gt;""),"Yes","No")</f>
        <v>Yes</v>
      </c>
      <c r="AA690" s="10" t="s">
        <v>56</v>
      </c>
    </row>
    <row r="691" spans="1:27">
      <c r="A691" s="10" t="s">
        <v>1018</v>
      </c>
      <c r="B691" s="10" t="s">
        <v>1019</v>
      </c>
      <c r="C691" s="10" t="s">
        <v>12</v>
      </c>
      <c r="D691" s="10" t="s">
        <v>55</v>
      </c>
      <c r="E691" s="11" t="b">
        <v>1</v>
      </c>
      <c r="F691" s="12">
        <v>46232</v>
      </c>
      <c r="G691" s="12">
        <v>46232.999999988424</v>
      </c>
      <c r="H691" s="13">
        <f>IF(F691="","",(Summary!$B$5-F691)/365.25)</f>
        <v>1.3723453304435213E-2</v>
      </c>
      <c r="I691" s="14">
        <v>57.81</v>
      </c>
      <c r="J691" s="15">
        <v>-7.8900000000000012E-3</v>
      </c>
      <c r="K691" s="16">
        <v>107.38</v>
      </c>
      <c r="L691" s="16">
        <v>6191.3365999999996</v>
      </c>
      <c r="M691" s="17">
        <v>196</v>
      </c>
      <c r="N691" s="14">
        <v>57.19</v>
      </c>
      <c r="O691" s="14">
        <v>57.53</v>
      </c>
      <c r="P691" s="18">
        <f>IF(OR(N691="",O691="",N691=0,O691=0),"",(O691-N691)/((O691+N691)/2))</f>
        <v>5.927475592747619E-3</v>
      </c>
      <c r="Q691" s="14">
        <v>57.658191469999998</v>
      </c>
      <c r="R691" s="14">
        <v>58.3</v>
      </c>
      <c r="S691" s="14">
        <v>56.91</v>
      </c>
      <c r="T691" s="12">
        <v>46236.012380671295</v>
      </c>
      <c r="U691" s="12">
        <v>46237.012380671295</v>
      </c>
      <c r="V691" s="14">
        <v>5</v>
      </c>
      <c r="W691" s="14">
        <v>0.01</v>
      </c>
      <c r="X691" s="14">
        <v>0.01</v>
      </c>
      <c r="Y691" s="14">
        <v>0.01</v>
      </c>
      <c r="Z691" s="10" t="str">
        <f>IF(AND(D691="TRADING",I691&lt;&gt;"",L691&lt;&gt;"",M691&lt;&gt;"",N691&lt;&gt;"",O691&lt;&gt;""),"Yes","No")</f>
        <v>Yes</v>
      </c>
      <c r="AA691" s="10" t="s">
        <v>56</v>
      </c>
    </row>
    <row r="692" spans="1:27">
      <c r="A692" s="10" t="s">
        <v>1134</v>
      </c>
      <c r="B692" s="10" t="s">
        <v>1135</v>
      </c>
      <c r="C692" s="10" t="s">
        <v>12</v>
      </c>
      <c r="D692" s="10" t="s">
        <v>55</v>
      </c>
      <c r="E692" s="11" t="b">
        <v>1</v>
      </c>
      <c r="F692" s="12">
        <v>46232</v>
      </c>
      <c r="G692" s="12">
        <v>46232.999999988424</v>
      </c>
      <c r="H692" s="13">
        <f>IF(F692="","",(Summary!$B$5-F692)/365.25)</f>
        <v>1.3723453304435213E-2</v>
      </c>
      <c r="I692" s="14">
        <v>546.35</v>
      </c>
      <c r="J692" s="15">
        <v>6.9999999999999993E-3</v>
      </c>
      <c r="K692" s="16">
        <v>25.763999999999999</v>
      </c>
      <c r="L692" s="16">
        <v>14142.16367</v>
      </c>
      <c r="M692" s="17">
        <v>432</v>
      </c>
      <c r="N692" s="14">
        <v>546.57000000000005</v>
      </c>
      <c r="O692" s="14">
        <v>548.86</v>
      </c>
      <c r="P692" s="18">
        <f>IF(OR(N692="",O692="",N692=0,O692=0),"",(O692-N692)/((O692+N692)/2))</f>
        <v>4.1810065453748088E-3</v>
      </c>
      <c r="Q692" s="14">
        <v>548.91180212999996</v>
      </c>
      <c r="R692" s="14">
        <v>553.01</v>
      </c>
      <c r="S692" s="14">
        <v>542.54999999999995</v>
      </c>
      <c r="T692" s="12">
        <v>46236.012484837964</v>
      </c>
      <c r="U692" s="12">
        <v>46237.012484837964</v>
      </c>
      <c r="V692" s="14">
        <v>5</v>
      </c>
      <c r="W692" s="14">
        <v>1E-3</v>
      </c>
      <c r="X692" s="14">
        <v>1E-3</v>
      </c>
      <c r="Y692" s="14">
        <v>0.01</v>
      </c>
      <c r="Z692" s="10" t="str">
        <f>IF(AND(D692="TRADING",I692&lt;&gt;"",L692&lt;&gt;"",M692&lt;&gt;"",N692&lt;&gt;"",O692&lt;&gt;""),"Yes","No")</f>
        <v>Yes</v>
      </c>
      <c r="AA692" s="10" t="s">
        <v>56</v>
      </c>
    </row>
    <row r="693" spans="1:27">
      <c r="A693" s="10" t="s">
        <v>1153</v>
      </c>
      <c r="B693" s="10" t="s">
        <v>1154</v>
      </c>
      <c r="C693" s="10" t="s">
        <v>12</v>
      </c>
      <c r="D693" s="10" t="s">
        <v>55</v>
      </c>
      <c r="E693" s="11" t="b">
        <v>1</v>
      </c>
      <c r="F693" s="12">
        <v>46232</v>
      </c>
      <c r="G693" s="12">
        <v>46232.999999988424</v>
      </c>
      <c r="H693" s="13">
        <f>IF(F693="","",(Summary!$B$5-F693)/365.25)</f>
        <v>1.3723453304435213E-2</v>
      </c>
      <c r="I693" s="14">
        <v>51.78</v>
      </c>
      <c r="J693" s="15">
        <v>-5.2339999999999998E-2</v>
      </c>
      <c r="K693" s="16">
        <v>6306.78</v>
      </c>
      <c r="L693" s="16">
        <v>323858.98800000001</v>
      </c>
      <c r="M693" s="17">
        <v>1619</v>
      </c>
      <c r="N693" s="14">
        <v>51.8</v>
      </c>
      <c r="O693" s="14">
        <v>51.93</v>
      </c>
      <c r="P693" s="18">
        <f>IF(OR(N693="",O693="",N693=0,O693=0),"",(O693-N693)/((O693+N693)/2))</f>
        <v>2.50650727851157E-3</v>
      </c>
      <c r="Q693" s="14">
        <v>51.350925189999998</v>
      </c>
      <c r="R693" s="14">
        <v>54.66</v>
      </c>
      <c r="S693" s="14">
        <v>50.01</v>
      </c>
      <c r="T693" s="12">
        <v>46236.012484837964</v>
      </c>
      <c r="U693" s="12">
        <v>46237.012484837964</v>
      </c>
      <c r="V693" s="14">
        <v>5</v>
      </c>
      <c r="W693" s="14">
        <v>0.01</v>
      </c>
      <c r="X693" s="14">
        <v>0.01</v>
      </c>
      <c r="Y693" s="14">
        <v>0.01</v>
      </c>
      <c r="Z693" s="10" t="str">
        <f>IF(AND(D693="TRADING",I693&lt;&gt;"",L693&lt;&gt;"",M693&lt;&gt;"",N693&lt;&gt;"",O693&lt;&gt;""),"Yes","No")</f>
        <v>Yes</v>
      </c>
      <c r="AA693" s="10" t="s">
        <v>56</v>
      </c>
    </row>
    <row r="694" spans="1:27">
      <c r="A694" s="10" t="s">
        <v>66</v>
      </c>
      <c r="B694" s="10" t="s">
        <v>67</v>
      </c>
      <c r="C694" s="10" t="s">
        <v>10</v>
      </c>
      <c r="D694" s="10" t="s">
        <v>55</v>
      </c>
      <c r="E694" s="11" t="b">
        <v>1</v>
      </c>
      <c r="F694" s="12">
        <v>46233</v>
      </c>
      <c r="G694" s="12">
        <v>46233.999999988424</v>
      </c>
      <c r="H694" s="13">
        <f>IF(F694="","",(Summary!$B$5-F694)/365.25)</f>
        <v>1.0985602517303112E-2</v>
      </c>
      <c r="I694" s="14">
        <v>1.00047</v>
      </c>
      <c r="J694" s="15">
        <v>1E-3</v>
      </c>
      <c r="K694" s="16">
        <v>395</v>
      </c>
      <c r="L694" s="16">
        <v>394.91820999999999</v>
      </c>
      <c r="M694" s="17">
        <v>4</v>
      </c>
      <c r="N694" s="14">
        <v>0.99953000000000003</v>
      </c>
      <c r="O694" s="14">
        <v>1.00024</v>
      </c>
      <c r="P694" s="18">
        <f>IF(OR(N694="",O694="",N694=0,O694=0),"",(O694-N694)/((O694+N694)/2))</f>
        <v>7.1008165939081831E-4</v>
      </c>
      <c r="Q694" s="14">
        <v>0.99979293999999996</v>
      </c>
      <c r="R694" s="14">
        <v>1.00047</v>
      </c>
      <c r="S694" s="14">
        <v>0.999</v>
      </c>
      <c r="T694" s="12">
        <v>46236.010900069443</v>
      </c>
      <c r="U694" s="12">
        <v>46237.010900069443</v>
      </c>
      <c r="V694" s="14">
        <v>5</v>
      </c>
      <c r="W694" s="14">
        <v>1</v>
      </c>
      <c r="X694" s="14">
        <v>1</v>
      </c>
      <c r="Y694" s="14">
        <v>1.0000000000000001E-5</v>
      </c>
      <c r="Z694" s="10" t="str">
        <f>IF(AND(D694="TRADING",I694&lt;&gt;"",L694&lt;&gt;"",M694&lt;&gt;"",N694&lt;&gt;"",O694&lt;&gt;""),"Yes","No")</f>
        <v>Yes</v>
      </c>
      <c r="AA694" s="10" t="s">
        <v>56</v>
      </c>
    </row>
  </sheetData>
  <mergeCells count="2">
    <mergeCell ref="A1:AA1"/>
    <mergeCell ref="A2:AA2"/>
  </mergeCells>
  <conditionalFormatting sqref="D6:D694">
    <cfRule type="containsText" dxfId="2" priority="1" operator="containsText" text="TRADING"/>
    <cfRule type="containsText" dxfId="1" priority="2" operator="containsText" text="BREAK"/>
  </conditionalFormatting>
  <conditionalFormatting sqref="Z6:Z694">
    <cfRule type="containsText" dxfId="0" priority="3" operator="containsText" text="No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5"/>
  <sheetViews>
    <sheetView showGridLines="0" workbookViewId="0"/>
  </sheetViews>
  <sheetFormatPr baseColWidth="10" defaultColWidth="8.83203125" defaultRowHeight="15"/>
  <cols>
    <col min="1" max="1" width="28" customWidth="1"/>
    <col min="2" max="2" width="58" customWidth="1"/>
    <col min="3" max="3" width="48" customWidth="1"/>
    <col min="4" max="4" width="45" customWidth="1"/>
  </cols>
  <sheetData>
    <row r="1" spans="1:7" ht="30" customHeight="1">
      <c r="A1" s="47" t="s">
        <v>1427</v>
      </c>
      <c r="B1" s="47"/>
      <c r="C1" s="47"/>
      <c r="D1" s="47"/>
      <c r="E1" s="47"/>
      <c r="F1" s="47"/>
      <c r="G1" s="47"/>
    </row>
    <row r="3" spans="1:7">
      <c r="A3" s="4" t="s">
        <v>1428</v>
      </c>
      <c r="B3" s="4" t="s">
        <v>1429</v>
      </c>
      <c r="C3" s="4" t="s">
        <v>1430</v>
      </c>
    </row>
    <row r="4" spans="1:7" ht="50" customHeight="1">
      <c r="A4" s="34" t="s">
        <v>1431</v>
      </c>
      <c r="B4" s="35" t="s">
        <v>1432</v>
      </c>
      <c r="C4" s="36" t="s">
        <v>1433</v>
      </c>
    </row>
    <row r="5" spans="1:7" ht="50" customHeight="1">
      <c r="A5" s="37" t="s">
        <v>1434</v>
      </c>
      <c r="B5" s="38" t="s">
        <v>1435</v>
      </c>
      <c r="C5" s="39" t="s">
        <v>1436</v>
      </c>
    </row>
    <row r="6" spans="1:7" ht="50" customHeight="1">
      <c r="A6" s="37" t="s">
        <v>1437</v>
      </c>
      <c r="B6" s="38" t="s">
        <v>1438</v>
      </c>
      <c r="C6" s="39" t="s">
        <v>1439</v>
      </c>
    </row>
    <row r="7" spans="1:7" ht="50" customHeight="1">
      <c r="A7" s="37" t="s">
        <v>1440</v>
      </c>
      <c r="B7" s="38" t="s">
        <v>1441</v>
      </c>
      <c r="C7" s="39" t="s">
        <v>1442</v>
      </c>
    </row>
    <row r="8" spans="1:7" ht="50" customHeight="1">
      <c r="A8" s="37" t="s">
        <v>1443</v>
      </c>
      <c r="B8" s="38" t="s">
        <v>1444</v>
      </c>
      <c r="C8" s="39" t="s">
        <v>1445</v>
      </c>
    </row>
    <row r="9" spans="1:7" ht="50" customHeight="1">
      <c r="A9" s="37" t="s">
        <v>1446</v>
      </c>
      <c r="B9" s="38" t="s">
        <v>1447</v>
      </c>
      <c r="C9" s="39" t="s">
        <v>1448</v>
      </c>
    </row>
    <row r="10" spans="1:7" ht="50" customHeight="1">
      <c r="A10" s="37" t="s">
        <v>1449</v>
      </c>
      <c r="B10" s="38" t="s">
        <v>1450</v>
      </c>
      <c r="C10" s="39" t="s">
        <v>1451</v>
      </c>
    </row>
    <row r="11" spans="1:7" ht="50" customHeight="1">
      <c r="A11" s="40" t="s">
        <v>1452</v>
      </c>
      <c r="B11" s="41" t="s">
        <v>1453</v>
      </c>
      <c r="C11" s="42" t="s">
        <v>1454</v>
      </c>
    </row>
    <row r="14" spans="1:7">
      <c r="A14" s="4" t="s">
        <v>1455</v>
      </c>
      <c r="B14" s="4" t="s">
        <v>1456</v>
      </c>
      <c r="C14" s="4" t="s">
        <v>1457</v>
      </c>
      <c r="D14" s="4" t="s">
        <v>1458</v>
      </c>
    </row>
    <row r="15" spans="1:7" ht="55" customHeight="1">
      <c r="A15" s="34" t="s">
        <v>1459</v>
      </c>
      <c r="B15" s="35" t="s">
        <v>1460</v>
      </c>
      <c r="C15" s="35" t="s">
        <v>1461</v>
      </c>
      <c r="D15" s="36" t="s">
        <v>1462</v>
      </c>
    </row>
    <row r="16" spans="1:7" ht="55" customHeight="1">
      <c r="A16" s="37" t="s">
        <v>1463</v>
      </c>
      <c r="B16" s="38" t="s">
        <v>1464</v>
      </c>
      <c r="C16" s="38" t="s">
        <v>1465</v>
      </c>
      <c r="D16" s="39" t="s">
        <v>1466</v>
      </c>
    </row>
    <row r="17" spans="1:4" ht="55" customHeight="1">
      <c r="A17" s="37" t="s">
        <v>1467</v>
      </c>
      <c r="B17" s="38" t="s">
        <v>1437</v>
      </c>
      <c r="C17" s="38" t="s">
        <v>1468</v>
      </c>
      <c r="D17" s="39" t="s">
        <v>1469</v>
      </c>
    </row>
    <row r="18" spans="1:4" ht="55" customHeight="1">
      <c r="A18" s="40" t="s">
        <v>1470</v>
      </c>
      <c r="B18" s="41" t="s">
        <v>1471</v>
      </c>
      <c r="C18" s="41" t="s">
        <v>56</v>
      </c>
      <c r="D18" s="42" t="s">
        <v>1472</v>
      </c>
    </row>
    <row r="21" spans="1:4">
      <c r="A21" s="4" t="s">
        <v>1473</v>
      </c>
      <c r="B21" s="4" t="s">
        <v>4</v>
      </c>
    </row>
    <row r="22" spans="1:4">
      <c r="A22" t="s">
        <v>1474</v>
      </c>
      <c r="B22" s="8">
        <v>46237.025642129629</v>
      </c>
    </row>
    <row r="23" spans="1:4">
      <c r="A23" t="s">
        <v>1475</v>
      </c>
      <c r="B23" s="8">
        <v>46237.011493032405</v>
      </c>
    </row>
    <row r="24" spans="1:4">
      <c r="A24" t="s">
        <v>1476</v>
      </c>
      <c r="B24" s="8">
        <v>46237.012491319445</v>
      </c>
    </row>
    <row r="25" spans="1:4">
      <c r="A25" t="s">
        <v>1477</v>
      </c>
      <c r="B25" s="9">
        <v>689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Summary</vt:lpstr>
      <vt:lpstr>Market Universe</vt:lpstr>
      <vt:lpstr>Methodology &amp;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Marcela Silvério</cp:lastModifiedBy>
  <dcterms:modified xsi:type="dcterms:W3CDTF">2026-08-03T00:49:55Z</dcterms:modified>
</cp:coreProperties>
</file>