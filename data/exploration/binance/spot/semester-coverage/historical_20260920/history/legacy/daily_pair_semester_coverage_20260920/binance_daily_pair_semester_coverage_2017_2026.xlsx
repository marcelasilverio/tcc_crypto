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87f8241a4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ester summary" sheetId="1" r:id="R87af36bff902464e"/>
    <x:sheet xmlns:r="http://schemas.openxmlformats.org/officeDocument/2006/relationships" name="Pair coverage" sheetId="2" r:id="R8c3b8585c565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%"/>
  </x:numFmts>
  <x:fonts count="7">
    <x:font>
      <x:sz val="11"/>
      <x:name val="Carlito"/>
    </x:font>
    <x:font>
      <x:sz val="10"/>
      <x:name val="Arial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  <x:font>
      <x:b/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7F3"/>
      </x:patternFill>
    </x:fill>
  </x:fills>
  <x:borders count="9">
    <x:border/>
    <x:border>
      <x:bottom style="thin">
        <x:color rgb="FF7F8C8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top style="double">
        <x:color rgb="FF1F4E78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horizontal="right" vertical="center"/>
    </x:xf>
    <x:xf numFmtId="202" fontId="1" fillId="0" borderId="3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horizontal="right" vertical="center"/>
    </x:xf>
    <x:xf numFmtId="202" fontId="1" fillId="0" borderId="4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201" fontId="6" fillId="4" borderId="5" xfId="0" applyNumberFormat="1" applyFont="1" applyFill="1" applyBorder="1"/>
    <x:xf numFmtId="201" fontId="6" fillId="4" borderId="5" xfId="0" applyNumberFormat="1" applyFont="1" applyFill="1" applyBorder="1" applyAlignment="1">
      <x:alignment horizontal="center"/>
    </x:xf>
    <x:xf numFmtId="0" fontId="4" fillId="2" borderId="6" xfId="0" applyNumberFormat="1" applyFont="1" applyFill="1" applyBorder="1" applyAlignment="1">
      <x:alignment horizontal="center" vertical="center" wrapText="1"/>
    </x:xf>
    <x:xf numFmtId="201" fontId="1" fillId="0" borderId="7" xfId="0" applyNumberFormat="1" applyFont="1" applyFill="1" applyBorder="1" applyAlignment="1">
      <x:alignment horizontal="center"/>
    </x:xf>
    <x:xf numFmtId="0" fontId="1" fillId="0" borderId="7" xfId="0" applyNumberFormat="1" applyFont="1" applyFill="1" applyBorder="1"/>
    <x:xf numFmtId="200" fontId="1" fillId="0" borderId="7" xfId="0" applyNumberFormat="1" applyFont="1" applyFill="1" applyBorder="1" applyAlignment="1">
      <x:alignment horizontal="center"/>
    </x:xf>
    <x:xf numFmtId="0" fontId="1" fillId="0" borderId="7" xfId="0" applyNumberFormat="1" applyFont="1" applyFill="1" applyBorder="1" applyAlignment="1">
      <x:alignment horizontal="center"/>
    </x:xf>
    <x:xf numFmtId="201" fontId="1" fillId="0" borderId="8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/>
    <x:xf numFmtId="200" fontId="1" fillId="0" borderId="8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A6A6A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53736fc2f44ee" /><Relationship Type="http://schemas.openxmlformats.org/officeDocument/2006/relationships/theme" Target="/xl/theme/theme1.xml" Id="Rf84af4bbe5034d83" /><Relationship Type="http://schemas.openxmlformats.org/officeDocument/2006/relationships/sharedStrings" Target="/xl/sharedStrings.xml" Id="Re31618fd89144826" /><Relationship Type="http://schemas.openxmlformats.org/officeDocument/2006/relationships/worksheet" Target="/xl/worksheets/sheet1.xml" Id="R87af36bff902464e" /><Relationship Type="http://schemas.openxmlformats.org/officeDocument/2006/relationships/worksheet" Target="/xl/worksheets/sheet2.xml" Id="R8c3b8585c5654fb8" /></Relationships>
</file>

<file path=xl/tables/table1.xml><?xml version="1.0" encoding="utf-8"?>
<x:table xmlns:x="http://schemas.openxmlformats.org/spreadsheetml/2006/main" id="1" name="SemesterSummaryTable" displayName="SemesterSummaryTable" ref="A6:H26" headerRowCount="1" totalsRowCount="0" totalsRowShown="0">
  <x:tableColumns count="8">
    <x:tableColumn id="1" name="Semester"/>
    <x:tableColumn id="2" name="Period start"/>
    <x:tableColumn id="3" name="Period end"/>
    <x:tableColumn id="4" name="Data through"/>
    <x:tableColumn id="5" name="Pairs with daily candles"/>
    <x:tableColumn id="6" name="Share of 40 pairs"/>
    <x:tableColumn id="7" name="Pairs first observed"/>
    <x:tableColumn id="8" name="Co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irCoverageTable" displayName="PairCoverageTable" ref="A4:Z44" headerRowCount="1" totalsRowCount="0" totalsRowShown="0">
  <x:tableColumns count="26">
    <x:tableColumn id="1" name="Selection rank"/>
    <x:tableColumn id="2" name="Trading pair"/>
    <x:tableColumn id="3" name="First daily candle"/>
    <x:tableColumn id="4" name="First semester"/>
    <x:tableColumn id="5" name="Last daily candle"/>
    <x:tableColumn id="6" name="Daily rows"/>
    <x:tableColumn id="7" name="2017 S1"/>
    <x:tableColumn id="8" name="2017 S2"/>
    <x:tableColumn id="9" name="2018 S1"/>
    <x:tableColumn id="10" name="2018 S2"/>
    <x:tableColumn id="11" name="2019 S1"/>
    <x:tableColumn id="12" name="2019 S2"/>
    <x:tableColumn id="13" name="2020 S1"/>
    <x:tableColumn id="14" name="2020 S2"/>
    <x:tableColumn id="15" name="2021 S1"/>
    <x:tableColumn id="16" name="2021 S2"/>
    <x:tableColumn id="17" name="2022 S1"/>
    <x:tableColumn id="18" name="2022 S2"/>
    <x:tableColumn id="19" name="2023 S1"/>
    <x:tableColumn id="20" name="2023 S2"/>
    <x:tableColumn id="21" name="2024 S1"/>
    <x:tableColumn id="22" name="2024 S2"/>
    <x:tableColumn id="23" name="2025 S1"/>
    <x:tableColumn id="24" name="2025 S2"/>
    <x:tableColumn id="25" name="2026 S1"/>
    <x:tableColumn id="26" name="2026 S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c16742c74345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a4484e14344be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  <x:col min="6" max="6" width="18" hidden="0" customWidth="1"/>
    <x:col min="7" max="7" width="20" hidden="0" customWidth="1"/>
    <x:col min="8" max="8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Daily data availability among the 40 selected cryptocurrency pairs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4" t="str">
        <x:v>A pair is counted when at least one Binance Spot 1d candle opens within the semester. 2026 S2 is partial through 2026-09-01.</x:v>
      </x:c>
      <x:c r="B4" s="4"/>
      <x:c r="C4" s="4"/>
      <x:c r="D4" s="4"/>
      <x:c r="E4" s="4"/>
      <x:c r="F4" s="4"/>
      <x:c r="G4" s="4"/>
      <x:c r="H4" s="4"/>
    </x:row>
    <x:row r="5">
      <x:c r="A5" s="1"/>
      <x:c r="B5" s="1"/>
      <x:c r="C5" s="1"/>
      <x:c r="D5" s="1"/>
      <x:c r="E5" s="1"/>
      <x:c r="F5" s="1"/>
      <x:c r="G5" s="1"/>
      <x:c r="H5" s="1"/>
    </x:row>
    <x:row r="6" ht="36" hidden="0" customHeight="1">
      <x:c r="A6" s="9" t="str">
        <x:v>Semester</x:v>
      </x:c>
      <x:c r="B6" s="9" t="str">
        <x:v>Period start</x:v>
      </x:c>
      <x:c r="C6" s="9" t="str">
        <x:v>Period end</x:v>
      </x:c>
      <x:c r="D6" s="9" t="str">
        <x:v>Data through</x:v>
      </x:c>
      <x:c r="E6" s="9" t="str">
        <x:v>Pairs with daily candles</x:v>
      </x:c>
      <x:c r="F6" s="9" t="str">
        <x:v>Share of 40 pairs</x:v>
      </x:c>
      <x:c r="G6" s="9" t="str">
        <x:v>Pairs first observed</x:v>
      </x:c>
      <x:c r="H6" s="9" t="str">
        <x:v>Coverage</x:v>
      </x:c>
    </x:row>
    <x:row r="7" ht="15" hidden="0" customHeight="1">
      <x:c r="A7" s="21" t="str">
        <x:v>2017 S1</x:v>
      </x:c>
      <x:c r="B7" s="22" t="n">
        <x:v>42736</x:v>
      </x:c>
      <x:c r="C7" s="22" t="n">
        <x:v>42916</x:v>
      </x:c>
      <x:c r="D7" s="22" t="n">
        <x:v>42916</x:v>
      </x:c>
      <x:c r="E7" s="23" t="n">
        <x:f>SUM('Pair coverage'!$G$5:$G$44)</x:f>
        <x:v>0</x:v>
      </x:c>
      <x:c r="F7" s="24" t="n">
        <x:f>E7/40</x:f>
        <x:v>0</x:v>
      </x:c>
      <x:c r="G7" s="23" t="n">
        <x:f>COUNTIFS('Pair coverage'!$D$5:$D$44,A7)</x:f>
        <x:v>0</x:v>
      </x:c>
      <x:c r="H7" s="25" t="str">
        <x:v>Complete</x:v>
      </x:c>
    </x:row>
    <x:row r="8" ht="15" hidden="0" customHeight="1">
      <x:c r="A8" s="26" t="str">
        <x:v>2017 S2</x:v>
      </x:c>
      <x:c r="B8" s="27" t="n">
        <x:v>42917</x:v>
      </x:c>
      <x:c r="C8" s="27" t="n">
        <x:v>43100</x:v>
      </x:c>
      <x:c r="D8" s="27" t="n">
        <x:v>43100</x:v>
      </x:c>
      <x:c r="E8" s="28" t="n">
        <x:f>SUM('Pair coverage'!$H$5:$H$44)</x:f>
        <x:v>4</x:v>
      </x:c>
      <x:c r="F8" s="29" t="n">
        <x:f>E8/40</x:f>
        <x:v>0.1</x:v>
      </x:c>
      <x:c r="G8" s="28" t="n">
        <x:f>COUNTIFS('Pair coverage'!$D$5:$D$44,A8)</x:f>
        <x:v>4</x:v>
      </x:c>
      <x:c r="H8" s="30" t="str">
        <x:v>Complete</x:v>
      </x:c>
    </x:row>
    <x:row r="9" ht="15" hidden="0" customHeight="1">
      <x:c r="A9" s="26" t="str">
        <x:v>2018 S1</x:v>
      </x:c>
      <x:c r="B9" s="27" t="n">
        <x:v>43101</x:v>
      </x:c>
      <x:c r="C9" s="27" t="n">
        <x:v>43281</x:v>
      </x:c>
      <x:c r="D9" s="27" t="n">
        <x:v>43281</x:v>
      </x:c>
      <x:c r="E9" s="28" t="n">
        <x:f>SUM('Pair coverage'!$I$5:$I$44)</x:f>
        <x:v>9</x:v>
      </x:c>
      <x:c r="F9" s="29" t="n">
        <x:f>E9/40</x:f>
        <x:v>0.225</x:v>
      </x:c>
      <x:c r="G9" s="28" t="n">
        <x:f>COUNTIFS('Pair coverage'!$D$5:$D$44,A9)</x:f>
        <x:v>5</x:v>
      </x:c>
      <x:c r="H9" s="30" t="str">
        <x:v>Complete</x:v>
      </x:c>
    </x:row>
    <x:row r="10" ht="15" hidden="0" customHeight="1">
      <x:c r="A10" s="26" t="str">
        <x:v>2018 S2</x:v>
      </x:c>
      <x:c r="B10" s="27" t="n">
        <x:v>43282</x:v>
      </x:c>
      <x:c r="C10" s="27" t="n">
        <x:v>43465</x:v>
      </x:c>
      <x:c r="D10" s="27" t="n">
        <x:v>43465</x:v>
      </x:c>
      <x:c r="E10" s="28" t="n">
        <x:f>SUM('Pair coverage'!$J$5:$J$44)</x:f>
        <x:v>10</x:v>
      </x:c>
      <x:c r="F10" s="29" t="n">
        <x:f>E10/40</x:f>
        <x:v>0.25</x:v>
      </x:c>
      <x:c r="G10" s="28" t="n">
        <x:f>COUNTIFS('Pair coverage'!$D$5:$D$44,A10)</x:f>
        <x:v>1</x:v>
      </x:c>
      <x:c r="H10" s="30" t="str">
        <x:v>Complete</x:v>
      </x:c>
    </x:row>
    <x:row r="11" ht="15" hidden="0" customHeight="1">
      <x:c r="A11" s="26" t="str">
        <x:v>2019 S1</x:v>
      </x:c>
      <x:c r="B11" s="27" t="n">
        <x:v>43466</x:v>
      </x:c>
      <x:c r="C11" s="27" t="n">
        <x:v>43646</x:v>
      </x:c>
      <x:c r="D11" s="27" t="n">
        <x:v>43646</x:v>
      </x:c>
      <x:c r="E11" s="28" t="n">
        <x:f>SUM('Pair coverage'!$K$5:$K$44)</x:f>
        <x:v>14</x:v>
      </x:c>
      <x:c r="F11" s="29" t="n">
        <x:f>E11/40</x:f>
        <x:v>0.35</x:v>
      </x:c>
      <x:c r="G11" s="28" t="n">
        <x:f>COUNTIFS('Pair coverage'!$D$5:$D$44,A11)</x:f>
        <x:v>4</x:v>
      </x:c>
      <x:c r="H11" s="30" t="str">
        <x:v>Complete</x:v>
      </x:c>
    </x:row>
    <x:row r="12" ht="15" hidden="0" customHeight="1">
      <x:c r="A12" s="26" t="str">
        <x:v>2019 S2</x:v>
      </x:c>
      <x:c r="B12" s="27" t="n">
        <x:v>43647</x:v>
      </x:c>
      <x:c r="C12" s="27" t="n">
        <x:v>43830</x:v>
      </x:c>
      <x:c r="D12" s="27" t="n">
        <x:v>43830</x:v>
      </x:c>
      <x:c r="E12" s="28" t="n">
        <x:f>SUM('Pair coverage'!$L$5:$L$44)</x:f>
        <x:v>18</x:v>
      </x:c>
      <x:c r="F12" s="29" t="n">
        <x:f>E12/40</x:f>
        <x:v>0.45</x:v>
      </x:c>
      <x:c r="G12" s="28" t="n">
        <x:f>COUNTIFS('Pair coverage'!$D$5:$D$44,A12)</x:f>
        <x:v>4</x:v>
      </x:c>
      <x:c r="H12" s="30" t="str">
        <x:v>Complete</x:v>
      </x:c>
    </x:row>
    <x:row r="13" ht="15" hidden="0" customHeight="1">
      <x:c r="A13" s="26" t="str">
        <x:v>2020 S1</x:v>
      </x:c>
      <x:c r="B13" s="27" t="n">
        <x:v>43831</x:v>
      </x:c>
      <x:c r="C13" s="27" t="n">
        <x:v>44012</x:v>
      </x:c>
      <x:c r="D13" s="27" t="n">
        <x:v>44012</x:v>
      </x:c>
      <x:c r="E13" s="28" t="n">
        <x:f>SUM('Pair coverage'!$M$5:$M$44)</x:f>
        <x:v>18</x:v>
      </x:c>
      <x:c r="F13" s="29" t="n">
        <x:f>E13/40</x:f>
        <x:v>0.45</x:v>
      </x:c>
      <x:c r="G13" s="28" t="n">
        <x:f>COUNTIFS('Pair coverage'!$D$5:$D$44,A13)</x:f>
        <x:v>0</x:v>
      </x:c>
      <x:c r="H13" s="30" t="str">
        <x:v>Complete</x:v>
      </x:c>
    </x:row>
    <x:row r="14" ht="15" hidden="0" customHeight="1">
      <x:c r="A14" s="26" t="str">
        <x:v>2020 S2</x:v>
      </x:c>
      <x:c r="B14" s="27" t="n">
        <x:v>44013</x:v>
      </x:c>
      <x:c r="C14" s="27" t="n">
        <x:v>44196</x:v>
      </x:c>
      <x:c r="D14" s="27" t="n">
        <x:v>44196</x:v>
      </x:c>
      <x:c r="E14" s="28" t="n">
        <x:f>SUM('Pair coverage'!$N$5:$N$44)</x:f>
        <x:v>29</x:v>
      </x:c>
      <x:c r="F14" s="29" t="n">
        <x:f>E14/40</x:f>
        <x:v>0.725</x:v>
      </x:c>
      <x:c r="G14" s="28" t="n">
        <x:f>COUNTIFS('Pair coverage'!$D$5:$D$44,A14)</x:f>
        <x:v>11</x:v>
      </x:c>
      <x:c r="H14" s="30" t="str">
        <x:v>Complete</x:v>
      </x:c>
    </x:row>
    <x:row r="15" ht="15" hidden="0" customHeight="1">
      <x:c r="A15" s="26" t="str">
        <x:v>2021 S1</x:v>
      </x:c>
      <x:c r="B15" s="27" t="n">
        <x:v>44197</x:v>
      </x:c>
      <x:c r="C15" s="27" t="n">
        <x:v>44377</x:v>
      </x:c>
      <x:c r="D15" s="27" t="n">
        <x:v>44377</x:v>
      </x:c>
      <x:c r="E15" s="28" t="n">
        <x:f>SUM('Pair coverage'!$O$5:$O$44)</x:f>
        <x:v>31</x:v>
      </x:c>
      <x:c r="F15" s="29" t="n">
        <x:f>E15/40</x:f>
        <x:v>0.775</x:v>
      </x:c>
      <x:c r="G15" s="28" t="n">
        <x:f>COUNTIFS('Pair coverage'!$D$5:$D$44,A15)</x:f>
        <x:v>2</x:v>
      </x:c>
      <x:c r="H15" s="30" t="str">
        <x:v>Complete</x:v>
      </x:c>
    </x:row>
    <x:row r="16" ht="15" hidden="0" customHeight="1">
      <x:c r="A16" s="26" t="str">
        <x:v>2021 S2</x:v>
      </x:c>
      <x:c r="B16" s="27" t="n">
        <x:v>44378</x:v>
      </x:c>
      <x:c r="C16" s="27" t="n">
        <x:v>44561</x:v>
      </x:c>
      <x:c r="D16" s="27" t="n">
        <x:v>44561</x:v>
      </x:c>
      <x:c r="E16" s="28" t="n">
        <x:f>SUM('Pair coverage'!$P$5:$P$44)</x:f>
        <x:v>32</x:v>
      </x:c>
      <x:c r="F16" s="29" t="n">
        <x:f>E16/40</x:f>
        <x:v>0.8</x:v>
      </x:c>
      <x:c r="G16" s="28" t="n">
        <x:f>COUNTIFS('Pair coverage'!$D$5:$D$44,A16)</x:f>
        <x:v>1</x:v>
      </x:c>
      <x:c r="H16" s="30" t="str">
        <x:v>Complete</x:v>
      </x:c>
    </x:row>
    <x:row r="17" ht="15" hidden="0" customHeight="1">
      <x:c r="A17" s="26" t="str">
        <x:v>2022 S1</x:v>
      </x:c>
      <x:c r="B17" s="27" t="n">
        <x:v>44562</x:v>
      </x:c>
      <x:c r="C17" s="27" t="n">
        <x:v>44742</x:v>
      </x:c>
      <x:c r="D17" s="27" t="n">
        <x:v>44742</x:v>
      </x:c>
      <x:c r="E17" s="28" t="n">
        <x:f>SUM('Pair coverage'!$Q$5:$Q$44)</x:f>
        <x:v>32</x:v>
      </x:c>
      <x:c r="F17" s="29" t="n">
        <x:f>E17/40</x:f>
        <x:v>0.8</x:v>
      </x:c>
      <x:c r="G17" s="28" t="n">
        <x:f>COUNTIFS('Pair coverage'!$D$5:$D$44,A17)</x:f>
        <x:v>0</x:v>
      </x:c>
      <x:c r="H17" s="30" t="str">
        <x:v>Complete</x:v>
      </x:c>
    </x:row>
    <x:row r="18" ht="15" hidden="0" customHeight="1">
      <x:c r="A18" s="26" t="str">
        <x:v>2022 S2</x:v>
      </x:c>
      <x:c r="B18" s="27" t="n">
        <x:v>44743</x:v>
      </x:c>
      <x:c r="C18" s="27" t="n">
        <x:v>44926</x:v>
      </x:c>
      <x:c r="D18" s="27" t="n">
        <x:v>44926</x:v>
      </x:c>
      <x:c r="E18" s="28" t="n">
        <x:f>SUM('Pair coverage'!$R$5:$R$44)</x:f>
        <x:v>32</x:v>
      </x:c>
      <x:c r="F18" s="29" t="n">
        <x:f>E18/40</x:f>
        <x:v>0.8</x:v>
      </x:c>
      <x:c r="G18" s="28" t="n">
        <x:f>COUNTIFS('Pair coverage'!$D$5:$D$44,A18)</x:f>
        <x:v>0</x:v>
      </x:c>
      <x:c r="H18" s="30" t="str">
        <x:v>Complete</x:v>
      </x:c>
    </x:row>
    <x:row r="19" ht="15" hidden="0" customHeight="1">
      <x:c r="A19" s="26" t="str">
        <x:v>2023 S1</x:v>
      </x:c>
      <x:c r="B19" s="27" t="n">
        <x:v>44927</x:v>
      </x:c>
      <x:c r="C19" s="27" t="n">
        <x:v>45107</x:v>
      </x:c>
      <x:c r="D19" s="27" t="n">
        <x:v>45107</x:v>
      </x:c>
      <x:c r="E19" s="28" t="n">
        <x:f>SUM('Pair coverage'!$S$5:$S$44)</x:f>
        <x:v>35</x:v>
      </x:c>
      <x:c r="F19" s="29" t="n">
        <x:f>E19/40</x:f>
        <x:v>0.875</x:v>
      </x:c>
      <x:c r="G19" s="28" t="n">
        <x:f>COUNTIFS('Pair coverage'!$D$5:$D$44,A19)</x:f>
        <x:v>3</x:v>
      </x:c>
      <x:c r="H19" s="30" t="str">
        <x:v>Complete</x:v>
      </x:c>
    </x:row>
    <x:row r="20" ht="15" hidden="0" customHeight="1">
      <x:c r="A20" s="26" t="str">
        <x:v>2023 S2</x:v>
      </x:c>
      <x:c r="B20" s="27" t="n">
        <x:v>45108</x:v>
      </x:c>
      <x:c r="C20" s="27" t="n">
        <x:v>45291</x:v>
      </x:c>
      <x:c r="D20" s="27" t="n">
        <x:v>45291</x:v>
      </x:c>
      <x:c r="E20" s="28" t="n">
        <x:f>SUM('Pair coverage'!$T$5:$T$44)</x:f>
        <x:v>37</x:v>
      </x:c>
      <x:c r="F20" s="29" t="n">
        <x:f>E20/40</x:f>
        <x:v>0.925</x:v>
      </x:c>
      <x:c r="G20" s="28" t="n">
        <x:f>COUNTIFS('Pair coverage'!$D$5:$D$44,A20)</x:f>
        <x:v>2</x:v>
      </x:c>
      <x:c r="H20" s="30" t="str">
        <x:v>Complete</x:v>
      </x:c>
    </x:row>
    <x:row r="21" ht="15" hidden="0" customHeight="1">
      <x:c r="A21" s="26" t="str">
        <x:v>2024 S1</x:v>
      </x:c>
      <x:c r="B21" s="27" t="n">
        <x:v>45292</x:v>
      </x:c>
      <x:c r="C21" s="27" t="n">
        <x:v>45473</x:v>
      </x:c>
      <x:c r="D21" s="27" t="n">
        <x:v>45473</x:v>
      </x:c>
      <x:c r="E21" s="28" t="n">
        <x:f>SUM('Pair coverage'!$U$5:$U$44)</x:f>
        <x:v>39</x:v>
      </x:c>
      <x:c r="F21" s="29" t="n">
        <x:f>E21/40</x:f>
        <x:v>0.975</x:v>
      </x:c>
      <x:c r="G21" s="28" t="n">
        <x:f>COUNTIFS('Pair coverage'!$D$5:$D$44,A21)</x:f>
        <x:v>2</x:v>
      </x:c>
      <x:c r="H21" s="30" t="str">
        <x:v>Complete</x:v>
      </x:c>
    </x:row>
    <x:row r="22" ht="15" hidden="0" customHeight="1">
      <x:c r="A22" s="26" t="str">
        <x:v>2024 S2</x:v>
      </x:c>
      <x:c r="B22" s="27" t="n">
        <x:v>45474</x:v>
      </x:c>
      <x:c r="C22" s="27" t="n">
        <x:v>45657</x:v>
      </x:c>
      <x:c r="D22" s="27" t="n">
        <x:v>45657</x:v>
      </x:c>
      <x:c r="E22" s="28" t="n">
        <x:f>SUM('Pair coverage'!$V$5:$V$44)</x:f>
        <x:v>40</x:v>
      </x:c>
      <x:c r="F22" s="29" t="n">
        <x:f>E22/40</x:f>
        <x:v>1</x:v>
      </x:c>
      <x:c r="G22" s="28" t="n">
        <x:f>COUNTIFS('Pair coverage'!$D$5:$D$44,A22)</x:f>
        <x:v>1</x:v>
      </x:c>
      <x:c r="H22" s="30" t="str">
        <x:v>Complete</x:v>
      </x:c>
    </x:row>
    <x:row r="23" ht="15" hidden="0" customHeight="1">
      <x:c r="A23" s="26" t="str">
        <x:v>2025 S1</x:v>
      </x:c>
      <x:c r="B23" s="27" t="n">
        <x:v>45658</x:v>
      </x:c>
      <x:c r="C23" s="27" t="n">
        <x:v>45838</x:v>
      </x:c>
      <x:c r="D23" s="27" t="n">
        <x:v>45838</x:v>
      </x:c>
      <x:c r="E23" s="28" t="n">
        <x:f>SUM('Pair coverage'!$W$5:$W$44)</x:f>
        <x:v>40</x:v>
      </x:c>
      <x:c r="F23" s="29" t="n">
        <x:f>E23/40</x:f>
        <x:v>1</x:v>
      </x:c>
      <x:c r="G23" s="28" t="n">
        <x:f>COUNTIFS('Pair coverage'!$D$5:$D$44,A23)</x:f>
        <x:v>0</x:v>
      </x:c>
      <x:c r="H23" s="30" t="str">
        <x:v>Complete</x:v>
      </x:c>
    </x:row>
    <x:row r="24" ht="15" hidden="0" customHeight="1">
      <x:c r="A24" s="26" t="str">
        <x:v>2025 S2</x:v>
      </x:c>
      <x:c r="B24" s="27" t="n">
        <x:v>45839</x:v>
      </x:c>
      <x:c r="C24" s="27" t="n">
        <x:v>46022</x:v>
      </x:c>
      <x:c r="D24" s="27" t="n">
        <x:v>46022</x:v>
      </x:c>
      <x:c r="E24" s="28" t="n">
        <x:f>SUM('Pair coverage'!$X$5:$X$44)</x:f>
        <x:v>40</x:v>
      </x:c>
      <x:c r="F24" s="29" t="n">
        <x:f>E24/40</x:f>
        <x:v>1</x:v>
      </x:c>
      <x:c r="G24" s="28" t="n">
        <x:f>COUNTIFS('Pair coverage'!$D$5:$D$44,A24)</x:f>
        <x:v>0</x:v>
      </x:c>
      <x:c r="H24" s="30" t="str">
        <x:v>Complete</x:v>
      </x:c>
    </x:row>
    <x:row r="25" ht="15" hidden="0" customHeight="1">
      <x:c r="A25" s="26" t="str">
        <x:v>2026 S1</x:v>
      </x:c>
      <x:c r="B25" s="27" t="n">
        <x:v>46023</x:v>
      </x:c>
      <x:c r="C25" s="27" t="n">
        <x:v>46203</x:v>
      </x:c>
      <x:c r="D25" s="27" t="n">
        <x:v>46203</x:v>
      </x:c>
      <x:c r="E25" s="28" t="n">
        <x:f>SUM('Pair coverage'!$Y$5:$Y$44)</x:f>
        <x:v>40</x:v>
      </x:c>
      <x:c r="F25" s="29" t="n">
        <x:f>E25/40</x:f>
        <x:v>1</x:v>
      </x:c>
      <x:c r="G25" s="28" t="n">
        <x:f>COUNTIFS('Pair coverage'!$D$5:$D$44,A25)</x:f>
        <x:v>0</x:v>
      </x:c>
      <x:c r="H25" s="30" t="str">
        <x:v>Complete</x:v>
      </x:c>
    </x:row>
    <x:row r="26" ht="15" hidden="0" customHeight="1">
      <x:c r="A26" s="31" t="str">
        <x:v>2026 S2</x:v>
      </x:c>
      <x:c r="B26" s="32" t="n">
        <x:v>46204</x:v>
      </x:c>
      <x:c r="C26" s="32" t="n">
        <x:v>46387</x:v>
      </x:c>
      <x:c r="D26" s="32" t="n">
        <x:v>46266</x:v>
      </x:c>
      <x:c r="E26" s="33" t="n">
        <x:f>SUM('Pair coverage'!$Z$5:$Z$44)</x:f>
        <x:v>40</x:v>
      </x:c>
      <x:c r="F26" s="34" t="n">
        <x:f>E26/40</x:f>
        <x:v>1</x:v>
      </x:c>
      <x:c r="G26" s="33" t="n">
        <x:f>COUNTIFS('Pair coverage'!$D$5:$D$44,A26)</x:f>
        <x:v>0</x:v>
      </x:c>
      <x:c r="H26" s="37" t="str">
        <x:v>Partial</x:v>
      </x:c>
    </x:row>
  </x:sheetData>
  <x:pageMargins left="0.7" right="0.7" top="0.75" bottom="0.75" header="0.3" footer="0.3"/>
  <x:tableParts count="1">
    <x:tablePart xmlns:r="http://schemas.openxmlformats.org/officeDocument/2006/relationships" r:id="R74c16742c7434576"/>
  </x:tableParts>
</x:worksheet>
</file>

<file path=xl/worksheets/sheet2.xml><?xml version="1.0" encoding="utf-8"?>
<x:worksheet xmlns:x="http://schemas.openxmlformats.org/spreadsheetml/2006/main">
  <x:sheetPr>
    <x:tabColor rgb="FF8EA9C1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5" hidden="0" customWidth="1"/>
    <x:col min="5" max="5" width="17" hidden="0" customWidth="1"/>
    <x:col min="6" max="6" width="11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Pair-level daily candle coverage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4" t="str">
        <x:v>Source: Binance Spot API daily klines; collection ID binance_selected_usdt_daily_2017_2026-09-01. Values 1 and 0 indicate whether at least one daily candle was observed in the semester.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32" customHeight="1">
      <x:c r="A4" s="45" t="str">
        <x:v>Selection rank</x:v>
      </x:c>
      <x:c r="B4" s="45" t="str">
        <x:v>Trading pair</x:v>
      </x:c>
      <x:c r="C4" s="45" t="str">
        <x:v>First daily candle</x:v>
      </x:c>
      <x:c r="D4" s="45" t="str">
        <x:v>First semester</x:v>
      </x:c>
      <x:c r="E4" s="45" t="str">
        <x:v>Last daily candle</x:v>
      </x:c>
      <x:c r="F4" s="45" t="str">
        <x:v>Daily rows</x:v>
      </x:c>
      <x:c r="G4" s="45" t="str">
        <x:v>2017 S1</x:v>
      </x:c>
      <x:c r="H4" s="45" t="str">
        <x:v>2017 S2</x:v>
      </x:c>
      <x:c r="I4" s="45" t="str">
        <x:v>2018 S1</x:v>
      </x:c>
      <x:c r="J4" s="45" t="str">
        <x:v>2018 S2</x:v>
      </x:c>
      <x:c r="K4" s="45" t="str">
        <x:v>2019 S1</x:v>
      </x:c>
      <x:c r="L4" s="45" t="str">
        <x:v>2019 S2</x:v>
      </x:c>
      <x:c r="M4" s="45" t="str">
        <x:v>2020 S1</x:v>
      </x:c>
      <x:c r="N4" s="45" t="str">
        <x:v>2020 S2</x:v>
      </x:c>
      <x:c r="O4" s="45" t="str">
        <x:v>2021 S1</x:v>
      </x:c>
      <x:c r="P4" s="45" t="str">
        <x:v>2021 S2</x:v>
      </x:c>
      <x:c r="Q4" s="45" t="str">
        <x:v>2022 S1</x:v>
      </x:c>
      <x:c r="R4" s="45" t="str">
        <x:v>2022 S2</x:v>
      </x:c>
      <x:c r="S4" s="45" t="str">
        <x:v>2023 S1</x:v>
      </x:c>
      <x:c r="T4" s="45" t="str">
        <x:v>2023 S2</x:v>
      </x:c>
      <x:c r="U4" s="45" t="str">
        <x:v>2024 S1</x:v>
      </x:c>
      <x:c r="V4" s="45" t="str">
        <x:v>2024 S2</x:v>
      </x:c>
      <x:c r="W4" s="45" t="str">
        <x:v>2025 S1</x:v>
      </x:c>
      <x:c r="X4" s="45" t="str">
        <x:v>2025 S2</x:v>
      </x:c>
      <x:c r="Y4" s="45" t="str">
        <x:v>2026 S1</x:v>
      </x:c>
      <x:c r="Z4" s="45" t="str">
        <x:v>2026 S2</x:v>
      </x:c>
    </x:row>
    <x:row r="5">
      <x:c r="A5" s="46" t="n">
        <x:v>1</x:v>
      </x:c>
      <x:c r="B5" s="47" t="str">
        <x:v>BTCUSDT</x:v>
      </x:c>
      <x:c r="C5" s="48" t="n">
        <x:v>42964</x:v>
      </x:c>
      <x:c r="D5" s="49" t="str">
        <x:v>2017 S2</x:v>
      </x:c>
      <x:c r="E5" s="48" t="n">
        <x:v>46266</x:v>
      </x:c>
      <x:c r="F5" s="46" t="n">
        <x:v>3303</x:v>
      </x:c>
      <x:c r="G5" s="46" t="n">
        <x:v>0</x:v>
      </x:c>
      <x:c r="H5" s="46" t="n">
        <x:v>1</x:v>
      </x:c>
      <x:c r="I5" s="46" t="n">
        <x:v>1</x:v>
      </x:c>
      <x:c r="J5" s="46" t="n">
        <x:v>1</x:v>
      </x:c>
      <x:c r="K5" s="46" t="n">
        <x:v>1</x:v>
      </x:c>
      <x:c r="L5" s="46" t="n">
        <x:v>1</x:v>
      </x:c>
      <x:c r="M5" s="46" t="n">
        <x:v>1</x:v>
      </x:c>
      <x:c r="N5" s="46" t="n">
        <x:v>1</x:v>
      </x:c>
      <x:c r="O5" s="46" t="n">
        <x:v>1</x:v>
      </x:c>
      <x:c r="P5" s="46" t="n">
        <x:v>1</x:v>
      </x:c>
      <x:c r="Q5" s="46" t="n">
        <x:v>1</x:v>
      </x:c>
      <x:c r="R5" s="46" t="n">
        <x:v>1</x:v>
      </x:c>
      <x:c r="S5" s="46" t="n">
        <x:v>1</x:v>
      </x:c>
      <x:c r="T5" s="46" t="n">
        <x:v>1</x:v>
      </x:c>
      <x:c r="U5" s="46" t="n">
        <x:v>1</x:v>
      </x:c>
      <x:c r="V5" s="46" t="n">
        <x:v>1</x:v>
      </x:c>
      <x:c r="W5" s="46" t="n">
        <x:v>1</x:v>
      </x:c>
      <x:c r="X5" s="46" t="n">
        <x:v>1</x:v>
      </x:c>
      <x:c r="Y5" s="46" t="n">
        <x:v>1</x:v>
      </x:c>
      <x:c r="Z5" s="46" t="n">
        <x:v>1</x:v>
      </x:c>
    </x:row>
    <x:row r="6">
      <x:c r="A6" s="46" t="n">
        <x:v>2</x:v>
      </x:c>
      <x:c r="B6" s="47" t="str">
        <x:v>FLOKIUSDT</x:v>
      </x:c>
      <x:c r="C6" s="48" t="n">
        <x:v>45051</x:v>
      </x:c>
      <x:c r="D6" s="49" t="str">
        <x:v>2023 S1</x:v>
      </x:c>
      <x:c r="E6" s="48" t="n">
        <x:v>46266</x:v>
      </x:c>
      <x:c r="F6" s="46" t="n">
        <x:v>1216</x:v>
      </x:c>
      <x:c r="G6" s="46" t="n">
        <x:v>0</x:v>
      </x:c>
      <x:c r="H6" s="46" t="n">
        <x:v>0</x:v>
      </x:c>
      <x:c r="I6" s="46" t="n">
        <x:v>0</x:v>
      </x:c>
      <x:c r="J6" s="46" t="n">
        <x:v>0</x:v>
      </x:c>
      <x:c r="K6" s="46" t="n">
        <x:v>0</x:v>
      </x:c>
      <x:c r="L6" s="46" t="n">
        <x:v>0</x:v>
      </x:c>
      <x:c r="M6" s="46" t="n">
        <x:v>0</x:v>
      </x:c>
      <x:c r="N6" s="46" t="n">
        <x:v>0</x:v>
      </x:c>
      <x:c r="O6" s="46" t="n">
        <x:v>0</x:v>
      </x:c>
      <x:c r="P6" s="46" t="n">
        <x:v>0</x:v>
      </x:c>
      <x:c r="Q6" s="46" t="n">
        <x:v>0</x:v>
      </x:c>
      <x:c r="R6" s="46" t="n">
        <x:v>0</x:v>
      </x:c>
      <x:c r="S6" s="46" t="n">
        <x:v>1</x:v>
      </x:c>
      <x:c r="T6" s="46" t="n">
        <x:v>1</x:v>
      </x:c>
      <x:c r="U6" s="46" t="n">
        <x:v>1</x:v>
      </x:c>
      <x:c r="V6" s="46" t="n">
        <x:v>1</x:v>
      </x:c>
      <x:c r="W6" s="46" t="n">
        <x:v>1</x:v>
      </x:c>
      <x:c r="X6" s="46" t="n">
        <x:v>1</x:v>
      </x:c>
      <x:c r="Y6" s="46" t="n">
        <x:v>1</x:v>
      </x:c>
      <x:c r="Z6" s="46" t="n">
        <x:v>1</x:v>
      </x:c>
    </x:row>
    <x:row r="7">
      <x:c r="A7" s="46" t="n">
        <x:v>3</x:v>
      </x:c>
      <x:c r="B7" s="47" t="str">
        <x:v>ETHUSDT</x:v>
      </x:c>
      <x:c r="C7" s="48" t="n">
        <x:v>42964</x:v>
      </x:c>
      <x:c r="D7" s="49" t="str">
        <x:v>2017 S2</x:v>
      </x:c>
      <x:c r="E7" s="48" t="n">
        <x:v>46266</x:v>
      </x:c>
      <x:c r="F7" s="46" t="n">
        <x:v>3303</x:v>
      </x:c>
      <x:c r="G7" s="46" t="n">
        <x:v>0</x:v>
      </x:c>
      <x:c r="H7" s="46" t="n">
        <x:v>1</x:v>
      </x:c>
      <x:c r="I7" s="46" t="n">
        <x:v>1</x:v>
      </x:c>
      <x:c r="J7" s="46" t="n">
        <x:v>1</x:v>
      </x:c>
      <x:c r="K7" s="46" t="n">
        <x:v>1</x:v>
      </x:c>
      <x:c r="L7" s="46" t="n">
        <x:v>1</x:v>
      </x:c>
      <x:c r="M7" s="46" t="n">
        <x:v>1</x:v>
      </x:c>
      <x:c r="N7" s="46" t="n">
        <x:v>1</x:v>
      </x:c>
      <x:c r="O7" s="46" t="n">
        <x:v>1</x:v>
      </x:c>
      <x:c r="P7" s="46" t="n">
        <x:v>1</x:v>
      </x:c>
      <x:c r="Q7" s="46" t="n">
        <x:v>1</x:v>
      </x:c>
      <x:c r="R7" s="46" t="n">
        <x:v>1</x:v>
      </x:c>
      <x:c r="S7" s="46" t="n">
        <x:v>1</x:v>
      </x:c>
      <x:c r="T7" s="46" t="n">
        <x:v>1</x:v>
      </x:c>
      <x:c r="U7" s="46" t="n">
        <x:v>1</x:v>
      </x:c>
      <x:c r="V7" s="46" t="n">
        <x:v>1</x:v>
      </x:c>
      <x:c r="W7" s="46" t="n">
        <x:v>1</x:v>
      </x:c>
      <x:c r="X7" s="46" t="n">
        <x:v>1</x:v>
      </x:c>
      <x:c r="Y7" s="46" t="n">
        <x:v>1</x:v>
      </x:c>
      <x:c r="Z7" s="46" t="n">
        <x:v>1</x:v>
      </x:c>
    </x:row>
    <x:row r="8">
      <x:c r="A8" s="46" t="n">
        <x:v>4</x:v>
      </x:c>
      <x:c r="B8" s="47" t="str">
        <x:v>BONKUSDT</x:v>
      </x:c>
      <x:c r="C8" s="48" t="n">
        <x:v>45275</x:v>
      </x:c>
      <x:c r="D8" s="49" t="str">
        <x:v>2023 S2</x:v>
      </x:c>
      <x:c r="E8" s="48" t="n">
        <x:v>46266</x:v>
      </x:c>
      <x:c r="F8" s="46" t="n">
        <x:v>992</x:v>
      </x:c>
      <x:c r="G8" s="46" t="n">
        <x:v>0</x:v>
      </x:c>
      <x:c r="H8" s="46" t="n">
        <x:v>0</x:v>
      </x:c>
      <x:c r="I8" s="46" t="n">
        <x:v>0</x:v>
      </x:c>
      <x:c r="J8" s="46" t="n">
        <x:v>0</x:v>
      </x:c>
      <x:c r="K8" s="46" t="n">
        <x:v>0</x:v>
      </x:c>
      <x:c r="L8" s="46" t="n">
        <x:v>0</x:v>
      </x:c>
      <x:c r="M8" s="46" t="n">
        <x:v>0</x:v>
      </x:c>
      <x:c r="N8" s="46" t="n">
        <x:v>0</x:v>
      </x:c>
      <x:c r="O8" s="46" t="n">
        <x:v>0</x:v>
      </x:c>
      <x:c r="P8" s="46" t="n">
        <x:v>0</x:v>
      </x:c>
      <x:c r="Q8" s="46" t="n">
        <x:v>0</x:v>
      </x:c>
      <x:c r="R8" s="46" t="n">
        <x:v>0</x:v>
      </x:c>
      <x:c r="S8" s="46" t="n">
        <x:v>0</x:v>
      </x:c>
      <x:c r="T8" s="46" t="n">
        <x:v>1</x:v>
      </x:c>
      <x:c r="U8" s="46" t="n">
        <x:v>1</x:v>
      </x:c>
      <x:c r="V8" s="46" t="n">
        <x:v>1</x:v>
      </x:c>
      <x:c r="W8" s="46" t="n">
        <x:v>1</x:v>
      </x:c>
      <x:c r="X8" s="46" t="n">
        <x:v>1</x:v>
      </x:c>
      <x:c r="Y8" s="46" t="n">
        <x:v>1</x:v>
      </x:c>
      <x:c r="Z8" s="46" t="n">
        <x:v>1</x:v>
      </x:c>
    </x:row>
    <x:row r="9">
      <x:c r="A9" s="46" t="n">
        <x:v>5</x:v>
      </x:c>
      <x:c r="B9" s="47" t="str">
        <x:v>SOLUSDT</x:v>
      </x:c>
      <x:c r="C9" s="48" t="n">
        <x:v>44054</x:v>
      </x:c>
      <x:c r="D9" s="49" t="str">
        <x:v>2020 S2</x:v>
      </x:c>
      <x:c r="E9" s="48" t="n">
        <x:v>46266</x:v>
      </x:c>
      <x:c r="F9" s="46" t="n">
        <x:v>2213</x:v>
      </x:c>
      <x:c r="G9" s="46" t="n">
        <x:v>0</x:v>
      </x:c>
      <x:c r="H9" s="46" t="n">
        <x:v>0</x:v>
      </x:c>
      <x:c r="I9" s="46" t="n">
        <x:v>0</x:v>
      </x:c>
      <x:c r="J9" s="46" t="n">
        <x:v>0</x:v>
      </x:c>
      <x:c r="K9" s="46" t="n">
        <x:v>0</x:v>
      </x:c>
      <x:c r="L9" s="46" t="n">
        <x:v>0</x:v>
      </x:c>
      <x:c r="M9" s="46" t="n">
        <x:v>0</x:v>
      </x:c>
      <x:c r="N9" s="46" t="n">
        <x:v>1</x:v>
      </x:c>
      <x:c r="O9" s="46" t="n">
        <x:v>1</x:v>
      </x:c>
      <x:c r="P9" s="46" t="n">
        <x:v>1</x:v>
      </x:c>
      <x:c r="Q9" s="46" t="n">
        <x:v>1</x:v>
      </x:c>
      <x:c r="R9" s="46" t="n">
        <x:v>1</x:v>
      </x:c>
      <x:c r="S9" s="46" t="n">
        <x:v>1</x:v>
      </x:c>
      <x:c r="T9" s="46" t="n">
        <x:v>1</x:v>
      </x:c>
      <x:c r="U9" s="46" t="n">
        <x:v>1</x:v>
      </x:c>
      <x:c r="V9" s="46" t="n">
        <x:v>1</x:v>
      </x:c>
      <x:c r="W9" s="46" t="n">
        <x:v>1</x:v>
      </x:c>
      <x:c r="X9" s="46" t="n">
        <x:v>1</x:v>
      </x:c>
      <x:c r="Y9" s="46" t="n">
        <x:v>1</x:v>
      </x:c>
      <x:c r="Z9" s="46" t="n">
        <x:v>1</x:v>
      </x:c>
    </x:row>
    <x:row r="10">
      <x:c r="A10" s="46" t="n">
        <x:v>6</x:v>
      </x:c>
      <x:c r="B10" s="47" t="str">
        <x:v>XRPUSDT</x:v>
      </x:c>
      <x:c r="C10" s="48" t="n">
        <x:v>43224</x:v>
      </x:c>
      <x:c r="D10" s="49" t="str">
        <x:v>2018 S1</x:v>
      </x:c>
      <x:c r="E10" s="48" t="n">
        <x:v>46266</x:v>
      </x:c>
      <x:c r="F10" s="46" t="n">
        <x:v>3043</x:v>
      </x:c>
      <x:c r="G10" s="46" t="n">
        <x:v>0</x:v>
      </x:c>
      <x:c r="H10" s="46" t="n">
        <x:v>0</x:v>
      </x:c>
      <x:c r="I10" s="46" t="n">
        <x:v>1</x:v>
      </x:c>
      <x:c r="J10" s="46" t="n">
        <x:v>1</x:v>
      </x:c>
      <x:c r="K10" s="46" t="n">
        <x:v>1</x:v>
      </x:c>
      <x:c r="L10" s="46" t="n">
        <x:v>1</x:v>
      </x:c>
      <x:c r="M10" s="46" t="n">
        <x:v>1</x:v>
      </x:c>
      <x:c r="N10" s="46" t="n">
        <x:v>1</x:v>
      </x:c>
      <x:c r="O10" s="46" t="n">
        <x:v>1</x:v>
      </x:c>
      <x:c r="P10" s="46" t="n">
        <x:v>1</x:v>
      </x:c>
      <x:c r="Q10" s="46" t="n">
        <x:v>1</x:v>
      </x:c>
      <x:c r="R10" s="46" t="n">
        <x:v>1</x:v>
      </x:c>
      <x:c r="S10" s="46" t="n">
        <x:v>1</x:v>
      </x:c>
      <x:c r="T10" s="46" t="n">
        <x:v>1</x:v>
      </x:c>
      <x:c r="U10" s="46" t="n">
        <x:v>1</x:v>
      </x:c>
      <x:c r="V10" s="46" t="n">
        <x:v>1</x:v>
      </x:c>
      <x:c r="W10" s="46" t="n">
        <x:v>1</x:v>
      </x:c>
      <x:c r="X10" s="46" t="n">
        <x:v>1</x:v>
      </x:c>
      <x:c r="Y10" s="46" t="n">
        <x:v>1</x:v>
      </x:c>
      <x:c r="Z10" s="46" t="n">
        <x:v>1</x:v>
      </x:c>
    </x:row>
    <x:row r="11">
      <x:c r="A11" s="46" t="n">
        <x:v>7</x:v>
      </x:c>
      <x:c r="B11" s="47" t="str">
        <x:v>SHIBUSDT</x:v>
      </x:c>
      <x:c r="C11" s="48" t="n">
        <x:v>44326</x:v>
      </x:c>
      <x:c r="D11" s="49" t="str">
        <x:v>2021 S1</x:v>
      </x:c>
      <x:c r="E11" s="48" t="n">
        <x:v>46266</x:v>
      </x:c>
      <x:c r="F11" s="46" t="n">
        <x:v>1941</x:v>
      </x:c>
      <x:c r="G11" s="46" t="n">
        <x:v>0</x:v>
      </x:c>
      <x:c r="H11" s="46" t="n">
        <x:v>0</x:v>
      </x:c>
      <x:c r="I11" s="46" t="n">
        <x:v>0</x:v>
      </x:c>
      <x:c r="J11" s="46" t="n">
        <x:v>0</x:v>
      </x:c>
      <x:c r="K11" s="46" t="n">
        <x:v>0</x:v>
      </x:c>
      <x:c r="L11" s="46" t="n">
        <x:v>0</x:v>
      </x:c>
      <x:c r="M11" s="46" t="n">
        <x:v>0</x:v>
      </x:c>
      <x:c r="N11" s="46" t="n">
        <x:v>0</x:v>
      </x:c>
      <x:c r="O11" s="46" t="n">
        <x:v>1</x:v>
      </x:c>
      <x:c r="P11" s="46" t="n">
        <x:v>1</x:v>
      </x:c>
      <x:c r="Q11" s="46" t="n">
        <x:v>1</x:v>
      </x:c>
      <x:c r="R11" s="46" t="n">
        <x:v>1</x:v>
      </x:c>
      <x:c r="S11" s="46" t="n">
        <x:v>1</x:v>
      </x:c>
      <x:c r="T11" s="46" t="n">
        <x:v>1</x:v>
      </x:c>
      <x:c r="U11" s="46" t="n">
        <x:v>1</x:v>
      </x:c>
      <x:c r="V11" s="46" t="n">
        <x:v>1</x:v>
      </x:c>
      <x:c r="W11" s="46" t="n">
        <x:v>1</x:v>
      </x:c>
      <x:c r="X11" s="46" t="n">
        <x:v>1</x:v>
      </x:c>
      <x:c r="Y11" s="46" t="n">
        <x:v>1</x:v>
      </x:c>
      <x:c r="Z11" s="46" t="n">
        <x:v>1</x:v>
      </x:c>
    </x:row>
    <x:row r="12">
      <x:c r="A12" s="46" t="n">
        <x:v>8</x:v>
      </x:c>
      <x:c r="B12" s="47" t="str">
        <x:v>DOGEUSDT</x:v>
      </x:c>
      <x:c r="C12" s="48" t="n">
        <x:v>43651</x:v>
      </x:c>
      <x:c r="D12" s="49" t="str">
        <x:v>2019 S2</x:v>
      </x:c>
      <x:c r="E12" s="48" t="n">
        <x:v>46266</x:v>
      </x:c>
      <x:c r="F12" s="46" t="n">
        <x:v>2616</x:v>
      </x:c>
      <x:c r="G12" s="46" t="n">
        <x:v>0</x:v>
      </x:c>
      <x:c r="H12" s="46" t="n">
        <x:v>0</x:v>
      </x:c>
      <x:c r="I12" s="46" t="n">
        <x:v>0</x:v>
      </x:c>
      <x:c r="J12" s="46" t="n">
        <x:v>0</x:v>
      </x:c>
      <x:c r="K12" s="46" t="n">
        <x:v>0</x:v>
      </x:c>
      <x:c r="L12" s="46" t="n">
        <x:v>1</x:v>
      </x:c>
      <x:c r="M12" s="46" t="n">
        <x:v>1</x:v>
      </x:c>
      <x:c r="N12" s="46" t="n">
        <x:v>1</x:v>
      </x:c>
      <x:c r="O12" s="46" t="n">
        <x:v>1</x:v>
      </x:c>
      <x:c r="P12" s="46" t="n">
        <x:v>1</x:v>
      </x:c>
      <x:c r="Q12" s="46" t="n">
        <x:v>1</x:v>
      </x:c>
      <x:c r="R12" s="46" t="n">
        <x:v>1</x:v>
      </x:c>
      <x:c r="S12" s="46" t="n">
        <x:v>1</x:v>
      </x:c>
      <x:c r="T12" s="46" t="n">
        <x:v>1</x:v>
      </x:c>
      <x:c r="U12" s="46" t="n">
        <x:v>1</x:v>
      </x:c>
      <x:c r="V12" s="46" t="n">
        <x:v>1</x:v>
      </x:c>
      <x:c r="W12" s="46" t="n">
        <x:v>1</x:v>
      </x:c>
      <x:c r="X12" s="46" t="n">
        <x:v>1</x:v>
      </x:c>
      <x:c r="Y12" s="46" t="n">
        <x:v>1</x:v>
      </x:c>
      <x:c r="Z12" s="46" t="n">
        <x:v>1</x:v>
      </x:c>
    </x:row>
    <x:row r="13">
      <x:c r="A13" s="46" t="n">
        <x:v>9</x:v>
      </x:c>
      <x:c r="B13" s="47" t="str">
        <x:v>BNBUSDT</x:v>
      </x:c>
      <x:c r="C13" s="48" t="n">
        <x:v>43045</x:v>
      </x:c>
      <x:c r="D13" s="49" t="str">
        <x:v>2017 S2</x:v>
      </x:c>
      <x:c r="E13" s="48" t="n">
        <x:v>46266</x:v>
      </x:c>
      <x:c r="F13" s="46" t="n">
        <x:v>3222</x:v>
      </x:c>
      <x:c r="G13" s="46" t="n">
        <x:v>0</x:v>
      </x:c>
      <x:c r="H13" s="46" t="n">
        <x:v>1</x:v>
      </x:c>
      <x:c r="I13" s="46" t="n">
        <x:v>1</x:v>
      </x:c>
      <x:c r="J13" s="46" t="n">
        <x:v>1</x:v>
      </x:c>
      <x:c r="K13" s="46" t="n">
        <x:v>1</x:v>
      </x:c>
      <x:c r="L13" s="46" t="n">
        <x:v>1</x:v>
      </x:c>
      <x:c r="M13" s="46" t="n">
        <x:v>1</x:v>
      </x:c>
      <x:c r="N13" s="46" t="n">
        <x:v>1</x:v>
      </x:c>
      <x:c r="O13" s="46" t="n">
        <x:v>1</x:v>
      </x:c>
      <x:c r="P13" s="46" t="n">
        <x:v>1</x:v>
      </x:c>
      <x:c r="Q13" s="46" t="n">
        <x:v>1</x:v>
      </x:c>
      <x:c r="R13" s="46" t="n">
        <x:v>1</x:v>
      </x:c>
      <x:c r="S13" s="46" t="n">
        <x:v>1</x:v>
      </x:c>
      <x:c r="T13" s="46" t="n">
        <x:v>1</x:v>
      </x:c>
      <x:c r="U13" s="46" t="n">
        <x:v>1</x:v>
      </x:c>
      <x:c r="V13" s="46" t="n">
        <x:v>1</x:v>
      </x:c>
      <x:c r="W13" s="46" t="n">
        <x:v>1</x:v>
      </x:c>
      <x:c r="X13" s="46" t="n">
        <x:v>1</x:v>
      </x:c>
      <x:c r="Y13" s="46" t="n">
        <x:v>1</x:v>
      </x:c>
      <x:c r="Z13" s="46" t="n">
        <x:v>1</x:v>
      </x:c>
    </x:row>
    <x:row r="14">
      <x:c r="A14" s="46" t="n">
        <x:v>10</x:v>
      </x:c>
      <x:c r="B14" s="47" t="str">
        <x:v>ADAUSDT</x:v>
      </x:c>
      <x:c r="C14" s="48" t="n">
        <x:v>43207</x:v>
      </x:c>
      <x:c r="D14" s="49" t="str">
        <x:v>2018 S1</x:v>
      </x:c>
      <x:c r="E14" s="48" t="n">
        <x:v>46266</x:v>
      </x:c>
      <x:c r="F14" s="46" t="n">
        <x:v>3060</x:v>
      </x:c>
      <x:c r="G14" s="46" t="n">
        <x:v>0</x:v>
      </x:c>
      <x:c r="H14" s="46" t="n">
        <x:v>0</x:v>
      </x:c>
      <x:c r="I14" s="46" t="n">
        <x:v>1</x:v>
      </x:c>
      <x:c r="J14" s="46" t="n">
        <x:v>1</x:v>
      </x:c>
      <x:c r="K14" s="46" t="n">
        <x:v>1</x:v>
      </x:c>
      <x:c r="L14" s="46" t="n">
        <x:v>1</x:v>
      </x:c>
      <x:c r="M14" s="46" t="n">
        <x:v>1</x:v>
      </x:c>
      <x:c r="N14" s="46" t="n">
        <x:v>1</x:v>
      </x:c>
      <x:c r="O14" s="46" t="n">
        <x:v>1</x:v>
      </x:c>
      <x:c r="P14" s="46" t="n">
        <x:v>1</x:v>
      </x:c>
      <x:c r="Q14" s="46" t="n">
        <x:v>1</x:v>
      </x:c>
      <x:c r="R14" s="46" t="n">
        <x:v>1</x:v>
      </x:c>
      <x:c r="S14" s="46" t="n">
        <x:v>1</x:v>
      </x:c>
      <x:c r="T14" s="46" t="n">
        <x:v>1</x:v>
      </x:c>
      <x:c r="U14" s="46" t="n">
        <x:v>1</x:v>
      </x:c>
      <x:c r="V14" s="46" t="n">
        <x:v>1</x:v>
      </x:c>
      <x:c r="W14" s="46" t="n">
        <x:v>1</x:v>
      </x:c>
      <x:c r="X14" s="46" t="n">
        <x:v>1</x:v>
      </x:c>
      <x:c r="Y14" s="46" t="n">
        <x:v>1</x:v>
      </x:c>
      <x:c r="Z14" s="46" t="n">
        <x:v>1</x:v>
      </x:c>
    </x:row>
    <x:row r="15">
      <x:c r="A15" s="46" t="n">
        <x:v>11</x:v>
      </x:c>
      <x:c r="B15" s="47" t="str">
        <x:v>LTCUSDT</x:v>
      </x:c>
      <x:c r="C15" s="48" t="n">
        <x:v>43082</x:v>
      </x:c>
      <x:c r="D15" s="49" t="str">
        <x:v>2017 S2</x:v>
      </x:c>
      <x:c r="E15" s="48" t="n">
        <x:v>46266</x:v>
      </x:c>
      <x:c r="F15" s="46" t="n">
        <x:v>3185</x:v>
      </x:c>
      <x:c r="G15" s="46" t="n">
        <x:v>0</x:v>
      </x:c>
      <x:c r="H15" s="46" t="n">
        <x:v>1</x:v>
      </x:c>
      <x:c r="I15" s="46" t="n">
        <x:v>1</x:v>
      </x:c>
      <x:c r="J15" s="46" t="n">
        <x:v>1</x:v>
      </x:c>
      <x:c r="K15" s="46" t="n">
        <x:v>1</x:v>
      </x:c>
      <x:c r="L15" s="46" t="n">
        <x:v>1</x:v>
      </x:c>
      <x:c r="M15" s="46" t="n">
        <x:v>1</x:v>
      </x:c>
      <x:c r="N15" s="46" t="n">
        <x:v>1</x:v>
      </x:c>
      <x:c r="O15" s="46" t="n">
        <x:v>1</x:v>
      </x:c>
      <x:c r="P15" s="46" t="n">
        <x:v>1</x:v>
      </x:c>
      <x:c r="Q15" s="46" t="n">
        <x:v>1</x:v>
      </x:c>
      <x:c r="R15" s="46" t="n">
        <x:v>1</x:v>
      </x:c>
      <x:c r="S15" s="46" t="n">
        <x:v>1</x:v>
      </x:c>
      <x:c r="T15" s="46" t="n">
        <x:v>1</x:v>
      </x:c>
      <x:c r="U15" s="46" t="n">
        <x:v>1</x:v>
      </x:c>
      <x:c r="V15" s="46" t="n">
        <x:v>1</x:v>
      </x:c>
      <x:c r="W15" s="46" t="n">
        <x:v>1</x:v>
      </x:c>
      <x:c r="X15" s="46" t="n">
        <x:v>1</x:v>
      </x:c>
      <x:c r="Y15" s="46" t="n">
        <x:v>1</x:v>
      </x:c>
      <x:c r="Z15" s="46" t="n">
        <x:v>1</x:v>
      </x:c>
    </x:row>
    <x:row r="16">
      <x:c r="A16" s="46" t="n">
        <x:v>12</x:v>
      </x:c>
      <x:c r="B16" s="47" t="str">
        <x:v>PEPEUSDT</x:v>
      </x:c>
      <x:c r="C16" s="48" t="n">
        <x:v>45051</x:v>
      </x:c>
      <x:c r="D16" s="49" t="str">
        <x:v>2023 S1</x:v>
      </x:c>
      <x:c r="E16" s="48" t="n">
        <x:v>46266</x:v>
      </x:c>
      <x:c r="F16" s="46" t="n">
        <x:v>1216</x:v>
      </x:c>
      <x:c r="G16" s="46" t="n">
        <x:v>0</x:v>
      </x:c>
      <x:c r="H16" s="46" t="n">
        <x:v>0</x:v>
      </x:c>
      <x:c r="I16" s="46" t="n">
        <x:v>0</x:v>
      </x:c>
      <x:c r="J16" s="46" t="n">
        <x:v>0</x:v>
      </x:c>
      <x:c r="K16" s="46" t="n">
        <x:v>0</x:v>
      </x:c>
      <x:c r="L16" s="46" t="n">
        <x:v>0</x:v>
      </x:c>
      <x:c r="M16" s="46" t="n">
        <x:v>0</x:v>
      </x:c>
      <x:c r="N16" s="46" t="n">
        <x:v>0</x:v>
      </x:c>
      <x:c r="O16" s="46" t="n">
        <x:v>0</x:v>
      </x:c>
      <x:c r="P16" s="46" t="n">
        <x:v>0</x:v>
      </x:c>
      <x:c r="Q16" s="46" t="n">
        <x:v>0</x:v>
      </x:c>
      <x:c r="R16" s="46" t="n">
        <x:v>0</x:v>
      </x:c>
      <x:c r="S16" s="46" t="n">
        <x:v>1</x:v>
      </x:c>
      <x:c r="T16" s="46" t="n">
        <x:v>1</x:v>
      </x:c>
      <x:c r="U16" s="46" t="n">
        <x:v>1</x:v>
      </x:c>
      <x:c r="V16" s="46" t="n">
        <x:v>1</x:v>
      </x:c>
      <x:c r="W16" s="46" t="n">
        <x:v>1</x:v>
      </x:c>
      <x:c r="X16" s="46" t="n">
        <x:v>1</x:v>
      </x:c>
      <x:c r="Y16" s="46" t="n">
        <x:v>1</x:v>
      </x:c>
      <x:c r="Z16" s="46" t="n">
        <x:v>1</x:v>
      </x:c>
    </x:row>
    <x:row r="17">
      <x:c r="A17" s="46" t="n">
        <x:v>13</x:v>
      </x:c>
      <x:c r="B17" s="47" t="str">
        <x:v>SUIUSDT</x:v>
      </x:c>
      <x:c r="C17" s="48" t="n">
        <x:v>45049</x:v>
      </x:c>
      <x:c r="D17" s="49" t="str">
        <x:v>2023 S1</x:v>
      </x:c>
      <x:c r="E17" s="48" t="n">
        <x:v>46266</x:v>
      </x:c>
      <x:c r="F17" s="46" t="n">
        <x:v>1218</x:v>
      </x:c>
      <x:c r="G17" s="46" t="n">
        <x:v>0</x:v>
      </x:c>
      <x:c r="H17" s="46" t="n">
        <x:v>0</x:v>
      </x:c>
      <x:c r="I17" s="46" t="n">
        <x:v>0</x:v>
      </x:c>
      <x:c r="J17" s="46" t="n">
        <x:v>0</x:v>
      </x:c>
      <x:c r="K17" s="46" t="n">
        <x:v>0</x:v>
      </x:c>
      <x:c r="L17" s="46" t="n">
        <x:v>0</x:v>
      </x:c>
      <x:c r="M17" s="46" t="n">
        <x:v>0</x:v>
      </x:c>
      <x:c r="N17" s="46" t="n">
        <x:v>0</x:v>
      </x:c>
      <x:c r="O17" s="46" t="n">
        <x:v>0</x:v>
      </x:c>
      <x:c r="P17" s="46" t="n">
        <x:v>0</x:v>
      </x:c>
      <x:c r="Q17" s="46" t="n">
        <x:v>0</x:v>
      </x:c>
      <x:c r="R17" s="46" t="n">
        <x:v>0</x:v>
      </x:c>
      <x:c r="S17" s="46" t="n">
        <x:v>1</x:v>
      </x:c>
      <x:c r="T17" s="46" t="n">
        <x:v>1</x:v>
      </x:c>
      <x:c r="U17" s="46" t="n">
        <x:v>1</x:v>
      </x:c>
      <x:c r="V17" s="46" t="n">
        <x:v>1</x:v>
      </x:c>
      <x:c r="W17" s="46" t="n">
        <x:v>1</x:v>
      </x:c>
      <x:c r="X17" s="46" t="n">
        <x:v>1</x:v>
      </x:c>
      <x:c r="Y17" s="46" t="n">
        <x:v>1</x:v>
      </x:c>
      <x:c r="Z17" s="46" t="n">
        <x:v>1</x:v>
      </x:c>
    </x:row>
    <x:row r="18">
      <x:c r="A18" s="46" t="n">
        <x:v>14</x:v>
      </x:c>
      <x:c r="B18" s="47" t="str">
        <x:v>LINKUSDT</x:v>
      </x:c>
      <x:c r="C18" s="48" t="n">
        <x:v>43481</x:v>
      </x:c>
      <x:c r="D18" s="49" t="str">
        <x:v>2019 S1</x:v>
      </x:c>
      <x:c r="E18" s="48" t="n">
        <x:v>46266</x:v>
      </x:c>
      <x:c r="F18" s="46" t="n">
        <x:v>2786</x:v>
      </x:c>
      <x:c r="G18" s="46" t="n">
        <x:v>0</x:v>
      </x:c>
      <x:c r="H18" s="46" t="n">
        <x:v>0</x:v>
      </x:c>
      <x:c r="I18" s="46" t="n">
        <x:v>0</x:v>
      </x:c>
      <x:c r="J18" s="46" t="n">
        <x:v>0</x:v>
      </x:c>
      <x:c r="K18" s="46" t="n">
        <x:v>1</x:v>
      </x:c>
      <x:c r="L18" s="46" t="n">
        <x:v>1</x:v>
      </x:c>
      <x:c r="M18" s="46" t="n">
        <x:v>1</x:v>
      </x:c>
      <x:c r="N18" s="46" t="n">
        <x:v>1</x:v>
      </x:c>
      <x:c r="O18" s="46" t="n">
        <x:v>1</x:v>
      </x:c>
      <x:c r="P18" s="46" t="n">
        <x:v>1</x:v>
      </x:c>
      <x:c r="Q18" s="46" t="n">
        <x:v>1</x:v>
      </x:c>
      <x:c r="R18" s="46" t="n">
        <x:v>1</x:v>
      </x:c>
      <x:c r="S18" s="46" t="n">
        <x:v>1</x:v>
      </x:c>
      <x:c r="T18" s="46" t="n">
        <x:v>1</x:v>
      </x:c>
      <x:c r="U18" s="46" t="n">
        <x:v>1</x:v>
      </x:c>
      <x:c r="V18" s="46" t="n">
        <x:v>1</x:v>
      </x:c>
      <x:c r="W18" s="46" t="n">
        <x:v>1</x:v>
      </x:c>
      <x:c r="X18" s="46" t="n">
        <x:v>1</x:v>
      </x:c>
      <x:c r="Y18" s="46" t="n">
        <x:v>1</x:v>
      </x:c>
      <x:c r="Z18" s="46" t="n">
        <x:v>1</x:v>
      </x:c>
    </x:row>
    <x:row r="19">
      <x:c r="A19" s="46" t="n">
        <x:v>15</x:v>
      </x:c>
      <x:c r="B19" s="47" t="str">
        <x:v>AVAXUSDT</x:v>
      </x:c>
      <x:c r="C19" s="48" t="n">
        <x:v>44096</x:v>
      </x:c>
      <x:c r="D19" s="49" t="str">
        <x:v>2020 S2</x:v>
      </x:c>
      <x:c r="E19" s="48" t="n">
        <x:v>46266</x:v>
      </x:c>
      <x:c r="F19" s="46" t="n">
        <x:v>2171</x:v>
      </x:c>
      <x:c r="G19" s="46" t="n">
        <x:v>0</x:v>
      </x:c>
      <x:c r="H19" s="46" t="n">
        <x:v>0</x:v>
      </x:c>
      <x:c r="I19" s="46" t="n">
        <x:v>0</x:v>
      </x:c>
      <x:c r="J19" s="46" t="n">
        <x:v>0</x:v>
      </x:c>
      <x:c r="K19" s="46" t="n">
        <x:v>0</x:v>
      </x:c>
      <x:c r="L19" s="46" t="n">
        <x:v>0</x:v>
      </x:c>
      <x:c r="M19" s="46" t="n">
        <x:v>0</x:v>
      </x:c>
      <x:c r="N19" s="46" t="n">
        <x:v>1</x:v>
      </x:c>
      <x:c r="O19" s="46" t="n">
        <x:v>1</x:v>
      </x:c>
      <x:c r="P19" s="46" t="n">
        <x:v>1</x:v>
      </x:c>
      <x:c r="Q19" s="46" t="n">
        <x:v>1</x:v>
      </x:c>
      <x:c r="R19" s="46" t="n">
        <x:v>1</x:v>
      </x:c>
      <x:c r="S19" s="46" t="n">
        <x:v>1</x:v>
      </x:c>
      <x:c r="T19" s="46" t="n">
        <x:v>1</x:v>
      </x:c>
      <x:c r="U19" s="46" t="n">
        <x:v>1</x:v>
      </x:c>
      <x:c r="V19" s="46" t="n">
        <x:v>1</x:v>
      </x:c>
      <x:c r="W19" s="46" t="n">
        <x:v>1</x:v>
      </x:c>
      <x:c r="X19" s="46" t="n">
        <x:v>1</x:v>
      </x:c>
      <x:c r="Y19" s="46" t="n">
        <x:v>1</x:v>
      </x:c>
      <x:c r="Z19" s="46" t="n">
        <x:v>1</x:v>
      </x:c>
    </x:row>
    <x:row r="20">
      <x:c r="A20" s="46" t="n">
        <x:v>16</x:v>
      </x:c>
      <x:c r="B20" s="47" t="str">
        <x:v>DOTUSDT</x:v>
      </x:c>
      <x:c r="C20" s="48" t="n">
        <x:v>44061</x:v>
      </x:c>
      <x:c r="D20" s="49" t="str">
        <x:v>2020 S2</x:v>
      </x:c>
      <x:c r="E20" s="48" t="n">
        <x:v>46266</x:v>
      </x:c>
      <x:c r="F20" s="46" t="n">
        <x:v>2206</x:v>
      </x:c>
      <x:c r="G20" s="46" t="n">
        <x:v>0</x:v>
      </x:c>
      <x:c r="H20" s="46" t="n">
        <x:v>0</x:v>
      </x:c>
      <x:c r="I20" s="46" t="n">
        <x:v>0</x:v>
      </x:c>
      <x:c r="J20" s="46" t="n">
        <x:v>0</x:v>
      </x:c>
      <x:c r="K20" s="46" t="n">
        <x:v>0</x:v>
      </x:c>
      <x:c r="L20" s="46" t="n">
        <x:v>0</x:v>
      </x:c>
      <x:c r="M20" s="46" t="n">
        <x:v>0</x:v>
      </x:c>
      <x:c r="N20" s="46" t="n">
        <x:v>1</x:v>
      </x:c>
      <x:c r="O20" s="46" t="n">
        <x:v>1</x:v>
      </x:c>
      <x:c r="P20" s="46" t="n">
        <x:v>1</x:v>
      </x:c>
      <x:c r="Q20" s="46" t="n">
        <x:v>1</x:v>
      </x:c>
      <x:c r="R20" s="46" t="n">
        <x:v>1</x:v>
      </x:c>
      <x:c r="S20" s="46" t="n">
        <x:v>1</x:v>
      </x:c>
      <x:c r="T20" s="46" t="n">
        <x:v>1</x:v>
      </x:c>
      <x:c r="U20" s="46" t="n">
        <x:v>1</x:v>
      </x:c>
      <x:c r="V20" s="46" t="n">
        <x:v>1</x:v>
      </x:c>
      <x:c r="W20" s="46" t="n">
        <x:v>1</x:v>
      </x:c>
      <x:c r="X20" s="46" t="n">
        <x:v>1</x:v>
      </x:c>
      <x:c r="Y20" s="46" t="n">
        <x:v>1</x:v>
      </x:c>
      <x:c r="Z20" s="46" t="n">
        <x:v>1</x:v>
      </x:c>
    </x:row>
    <x:row r="21">
      <x:c r="A21" s="46" t="n">
        <x:v>17</x:v>
      </x:c>
      <x:c r="B21" s="47" t="str">
        <x:v>TRXUSDT</x:v>
      </x:c>
      <x:c r="C21" s="48" t="n">
        <x:v>43262</x:v>
      </x:c>
      <x:c r="D21" s="49" t="str">
        <x:v>2018 S1</x:v>
      </x:c>
      <x:c r="E21" s="48" t="n">
        <x:v>46266</x:v>
      </x:c>
      <x:c r="F21" s="46" t="n">
        <x:v>3005</x:v>
      </x:c>
      <x:c r="G21" s="46" t="n">
        <x:v>0</x:v>
      </x:c>
      <x:c r="H21" s="46" t="n">
        <x:v>0</x:v>
      </x:c>
      <x:c r="I21" s="46" t="n">
        <x:v>1</x:v>
      </x:c>
      <x:c r="J21" s="46" t="n">
        <x:v>1</x:v>
      </x:c>
      <x:c r="K21" s="46" t="n">
        <x:v>1</x:v>
      </x:c>
      <x:c r="L21" s="46" t="n">
        <x:v>1</x:v>
      </x:c>
      <x:c r="M21" s="46" t="n">
        <x:v>1</x:v>
      </x:c>
      <x:c r="N21" s="46" t="n">
        <x:v>1</x:v>
      </x:c>
      <x:c r="O21" s="46" t="n">
        <x:v>1</x:v>
      </x:c>
      <x:c r="P21" s="46" t="n">
        <x:v>1</x:v>
      </x:c>
      <x:c r="Q21" s="46" t="n">
        <x:v>1</x:v>
      </x:c>
      <x:c r="R21" s="46" t="n">
        <x:v>1</x:v>
      </x:c>
      <x:c r="S21" s="46" t="n">
        <x:v>1</x:v>
      </x:c>
      <x:c r="T21" s="46" t="n">
        <x:v>1</x:v>
      </x:c>
      <x:c r="U21" s="46" t="n">
        <x:v>1</x:v>
      </x:c>
      <x:c r="V21" s="46" t="n">
        <x:v>1</x:v>
      </x:c>
      <x:c r="W21" s="46" t="n">
        <x:v>1</x:v>
      </x:c>
      <x:c r="X21" s="46" t="n">
        <x:v>1</x:v>
      </x:c>
      <x:c r="Y21" s="46" t="n">
        <x:v>1</x:v>
      </x:c>
      <x:c r="Z21" s="46" t="n">
        <x:v>1</x:v>
      </x:c>
    </x:row>
    <x:row r="22">
      <x:c r="A22" s="46" t="n">
        <x:v>18</x:v>
      </x:c>
      <x:c r="B22" s="47" t="str">
        <x:v>WIFUSDT</x:v>
      </x:c>
      <x:c r="C22" s="48" t="n">
        <x:v>45356</x:v>
      </x:c>
      <x:c r="D22" s="49" t="str">
        <x:v>2024 S1</x:v>
      </x:c>
      <x:c r="E22" s="48" t="n">
        <x:v>46266</x:v>
      </x:c>
      <x:c r="F22" s="46" t="n">
        <x:v>911</x:v>
      </x:c>
      <x:c r="G22" s="46" t="n">
        <x:v>0</x:v>
      </x:c>
      <x:c r="H22" s="46" t="n">
        <x:v>0</x:v>
      </x:c>
      <x:c r="I22" s="46" t="n">
        <x:v>0</x:v>
      </x:c>
      <x:c r="J22" s="46" t="n">
        <x:v>0</x:v>
      </x:c>
      <x:c r="K22" s="46" t="n">
        <x:v>0</x:v>
      </x:c>
      <x:c r="L22" s="46" t="n">
        <x:v>0</x:v>
      </x:c>
      <x:c r="M22" s="46" t="n">
        <x:v>0</x:v>
      </x:c>
      <x:c r="N22" s="46" t="n">
        <x:v>0</x:v>
      </x:c>
      <x:c r="O22" s="46" t="n">
        <x:v>0</x:v>
      </x:c>
      <x:c r="P22" s="46" t="n">
        <x:v>0</x:v>
      </x:c>
      <x:c r="Q22" s="46" t="n">
        <x:v>0</x:v>
      </x:c>
      <x:c r="R22" s="46" t="n">
        <x:v>0</x:v>
      </x:c>
      <x:c r="S22" s="46" t="n">
        <x:v>0</x:v>
      </x:c>
      <x:c r="T22" s="46" t="n">
        <x:v>0</x:v>
      </x:c>
      <x:c r="U22" s="46" t="n">
        <x:v>1</x:v>
      </x:c>
      <x:c r="V22" s="46" t="n">
        <x:v>1</x:v>
      </x:c>
      <x:c r="W22" s="46" t="n">
        <x:v>1</x:v>
      </x:c>
      <x:c r="X22" s="46" t="n">
        <x:v>1</x:v>
      </x:c>
      <x:c r="Y22" s="46" t="n">
        <x:v>1</x:v>
      </x:c>
      <x:c r="Z22" s="46" t="n">
        <x:v>1</x:v>
      </x:c>
    </x:row>
    <x:row r="23">
      <x:c r="A23" s="46" t="n">
        <x:v>19</x:v>
      </x:c>
      <x:c r="B23" s="47" t="str">
        <x:v>NEARUSDT</x:v>
      </x:c>
      <x:c r="C23" s="48" t="n">
        <x:v>44118</x:v>
      </x:c>
      <x:c r="D23" s="49" t="str">
        <x:v>2020 S2</x:v>
      </x:c>
      <x:c r="E23" s="48" t="n">
        <x:v>46266</x:v>
      </x:c>
      <x:c r="F23" s="46" t="n">
        <x:v>2149</x:v>
      </x:c>
      <x:c r="G23" s="46" t="n">
        <x:v>0</x:v>
      </x:c>
      <x:c r="H23" s="46" t="n">
        <x:v>0</x:v>
      </x:c>
      <x:c r="I23" s="46" t="n">
        <x:v>0</x:v>
      </x:c>
      <x:c r="J23" s="46" t="n">
        <x:v>0</x:v>
      </x:c>
      <x:c r="K23" s="46" t="n">
        <x:v>0</x:v>
      </x:c>
      <x:c r="L23" s="46" t="n">
        <x:v>0</x:v>
      </x:c>
      <x:c r="M23" s="46" t="n">
        <x:v>0</x:v>
      </x:c>
      <x:c r="N23" s="46" t="n">
        <x:v>1</x:v>
      </x:c>
      <x:c r="O23" s="46" t="n">
        <x:v>1</x:v>
      </x:c>
      <x:c r="P23" s="46" t="n">
        <x:v>1</x:v>
      </x:c>
      <x:c r="Q23" s="46" t="n">
        <x:v>1</x:v>
      </x:c>
      <x:c r="R23" s="46" t="n">
        <x:v>1</x:v>
      </x:c>
      <x:c r="S23" s="46" t="n">
        <x:v>1</x:v>
      </x:c>
      <x:c r="T23" s="46" t="n">
        <x:v>1</x:v>
      </x:c>
      <x:c r="U23" s="46" t="n">
        <x:v>1</x:v>
      </x:c>
      <x:c r="V23" s="46" t="n">
        <x:v>1</x:v>
      </x:c>
      <x:c r="W23" s="46" t="n">
        <x:v>1</x:v>
      </x:c>
      <x:c r="X23" s="46" t="n">
        <x:v>1</x:v>
      </x:c>
      <x:c r="Y23" s="46" t="n">
        <x:v>1</x:v>
      </x:c>
      <x:c r="Z23" s="46" t="n">
        <x:v>1</x:v>
      </x:c>
    </x:row>
    <x:row r="24">
      <x:c r="A24" s="46" t="n">
        <x:v>20</x:v>
      </x:c>
      <x:c r="B24" s="47" t="str">
        <x:v>NEIROUSDT</x:v>
      </x:c>
      <x:c r="C24" s="48" t="n">
        <x:v>45551</x:v>
      </x:c>
      <x:c r="D24" s="49" t="str">
        <x:v>2024 S2</x:v>
      </x:c>
      <x:c r="E24" s="48" t="n">
        <x:v>46266</x:v>
      </x:c>
      <x:c r="F24" s="46" t="n">
        <x:v>716</x:v>
      </x:c>
      <x:c r="G24" s="46" t="n">
        <x:v>0</x:v>
      </x:c>
      <x:c r="H24" s="46" t="n">
        <x:v>0</x:v>
      </x:c>
      <x:c r="I24" s="46" t="n">
        <x:v>0</x:v>
      </x:c>
      <x:c r="J24" s="46" t="n">
        <x:v>0</x:v>
      </x:c>
      <x:c r="K24" s="46" t="n">
        <x:v>0</x:v>
      </x:c>
      <x:c r="L24" s="46" t="n">
        <x:v>0</x:v>
      </x:c>
      <x:c r="M24" s="46" t="n">
        <x:v>0</x:v>
      </x:c>
      <x:c r="N24" s="46" t="n">
        <x:v>0</x:v>
      </x:c>
      <x:c r="O24" s="46" t="n">
        <x:v>0</x:v>
      </x:c>
      <x:c r="P24" s="46" t="n">
        <x:v>0</x:v>
      </x:c>
      <x:c r="Q24" s="46" t="n">
        <x:v>0</x:v>
      </x:c>
      <x:c r="R24" s="46" t="n">
        <x:v>0</x:v>
      </x:c>
      <x:c r="S24" s="46" t="n">
        <x:v>0</x:v>
      </x:c>
      <x:c r="T24" s="46" t="n">
        <x:v>0</x:v>
      </x:c>
      <x:c r="U24" s="46" t="n">
        <x:v>0</x:v>
      </x:c>
      <x:c r="V24" s="46" t="n">
        <x:v>1</x:v>
      </x:c>
      <x:c r="W24" s="46" t="n">
        <x:v>1</x:v>
      </x:c>
      <x:c r="X24" s="46" t="n">
        <x:v>1</x:v>
      </x:c>
      <x:c r="Y24" s="46" t="n">
        <x:v>1</x:v>
      </x:c>
      <x:c r="Z24" s="46" t="n">
        <x:v>1</x:v>
      </x:c>
    </x:row>
    <x:row r="25">
      <x:c r="A25" s="46" t="n">
        <x:v>21</x:v>
      </x:c>
      <x:c r="B25" s="47" t="str">
        <x:v>AAVEUSDT</x:v>
      </x:c>
      <x:c r="C25" s="48" t="n">
        <x:v>44119</x:v>
      </x:c>
      <x:c r="D25" s="49" t="str">
        <x:v>2020 S2</x:v>
      </x:c>
      <x:c r="E25" s="48" t="n">
        <x:v>46266</x:v>
      </x:c>
      <x:c r="F25" s="46" t="n">
        <x:v>2148</x:v>
      </x:c>
      <x:c r="G25" s="46" t="n">
        <x:v>0</x:v>
      </x:c>
      <x:c r="H25" s="46" t="n">
        <x:v>0</x:v>
      </x:c>
      <x:c r="I25" s="46" t="n">
        <x:v>0</x:v>
      </x:c>
      <x:c r="J25" s="46" t="n">
        <x:v>0</x:v>
      </x:c>
      <x:c r="K25" s="46" t="n">
        <x:v>0</x:v>
      </x:c>
      <x:c r="L25" s="46" t="n">
        <x:v>0</x:v>
      </x:c>
      <x:c r="M25" s="46" t="n">
        <x:v>0</x:v>
      </x:c>
      <x:c r="N25" s="46" t="n">
        <x:v>1</x:v>
      </x:c>
      <x:c r="O25" s="46" t="n">
        <x:v>1</x:v>
      </x:c>
      <x:c r="P25" s="46" t="n">
        <x:v>1</x:v>
      </x:c>
      <x:c r="Q25" s="46" t="n">
        <x:v>1</x:v>
      </x:c>
      <x:c r="R25" s="46" t="n">
        <x:v>1</x:v>
      </x:c>
      <x:c r="S25" s="46" t="n">
        <x:v>1</x:v>
      </x:c>
      <x:c r="T25" s="46" t="n">
        <x:v>1</x:v>
      </x:c>
      <x:c r="U25" s="46" t="n">
        <x:v>1</x:v>
      </x:c>
      <x:c r="V25" s="46" t="n">
        <x:v>1</x:v>
      </x:c>
      <x:c r="W25" s="46" t="n">
        <x:v>1</x:v>
      </x:c>
      <x:c r="X25" s="46" t="n">
        <x:v>1</x:v>
      </x:c>
      <x:c r="Y25" s="46" t="n">
        <x:v>1</x:v>
      </x:c>
      <x:c r="Z25" s="46" t="n">
        <x:v>1</x:v>
      </x:c>
    </x:row>
    <x:row r="26">
      <x:c r="A26" s="46" t="n">
        <x:v>22</x:v>
      </x:c>
      <x:c r="B26" s="47" t="str">
        <x:v>WLDUSDT</x:v>
      </x:c>
      <x:c r="C26" s="48" t="n">
        <x:v>45131</x:v>
      </x:c>
      <x:c r="D26" s="49" t="str">
        <x:v>2023 S2</x:v>
      </x:c>
      <x:c r="E26" s="48" t="n">
        <x:v>46266</x:v>
      </x:c>
      <x:c r="F26" s="46" t="n">
        <x:v>1136</x:v>
      </x:c>
      <x:c r="G26" s="46" t="n">
        <x:v>0</x:v>
      </x:c>
      <x:c r="H26" s="46" t="n">
        <x:v>0</x:v>
      </x:c>
      <x:c r="I26" s="46" t="n">
        <x:v>0</x:v>
      </x:c>
      <x:c r="J26" s="46" t="n">
        <x:v>0</x:v>
      </x:c>
      <x:c r="K26" s="46" t="n">
        <x:v>0</x:v>
      </x:c>
      <x:c r="L26" s="46" t="n">
        <x:v>0</x:v>
      </x:c>
      <x:c r="M26" s="46" t="n">
        <x:v>0</x:v>
      </x:c>
      <x:c r="N26" s="46" t="n">
        <x:v>0</x:v>
      </x:c>
      <x:c r="O26" s="46" t="n">
        <x:v>0</x:v>
      </x:c>
      <x:c r="P26" s="46" t="n">
        <x:v>0</x:v>
      </x:c>
      <x:c r="Q26" s="46" t="n">
        <x:v>0</x:v>
      </x:c>
      <x:c r="R26" s="46" t="n">
        <x:v>0</x:v>
      </x:c>
      <x:c r="S26" s="46" t="n">
        <x:v>0</x:v>
      </x:c>
      <x:c r="T26" s="46" t="n">
        <x:v>1</x:v>
      </x:c>
      <x:c r="U26" s="46" t="n">
        <x:v>1</x:v>
      </x:c>
      <x:c r="V26" s="46" t="n">
        <x:v>1</x:v>
      </x:c>
      <x:c r="W26" s="46" t="n">
        <x:v>1</x:v>
      </x:c>
      <x:c r="X26" s="46" t="n">
        <x:v>1</x:v>
      </x:c>
      <x:c r="Y26" s="46" t="n">
        <x:v>1</x:v>
      </x:c>
      <x:c r="Z26" s="46" t="n">
        <x:v>1</x:v>
      </x:c>
    </x:row>
    <x:row r="27">
      <x:c r="A27" s="46" t="n">
        <x:v>23</x:v>
      </x:c>
      <x:c r="B27" s="47" t="str">
        <x:v>XLMUSDT</x:v>
      </x:c>
      <x:c r="C27" s="48" t="n">
        <x:v>43251</x:v>
      </x:c>
      <x:c r="D27" s="49" t="str">
        <x:v>2018 S1</x:v>
      </x:c>
      <x:c r="E27" s="48" t="n">
        <x:v>46266</x:v>
      </x:c>
      <x:c r="F27" s="46" t="n">
        <x:v>3016</x:v>
      </x:c>
      <x:c r="G27" s="46" t="n">
        <x:v>0</x:v>
      </x:c>
      <x:c r="H27" s="46" t="n">
        <x:v>0</x:v>
      </x:c>
      <x:c r="I27" s="46" t="n">
        <x:v>1</x:v>
      </x:c>
      <x:c r="J27" s="46" t="n">
        <x:v>1</x:v>
      </x:c>
      <x:c r="K27" s="46" t="n">
        <x:v>1</x:v>
      </x:c>
      <x:c r="L27" s="46" t="n">
        <x:v>1</x:v>
      </x:c>
      <x:c r="M27" s="46" t="n">
        <x:v>1</x:v>
      </x:c>
      <x:c r="N27" s="46" t="n">
        <x:v>1</x:v>
      </x:c>
      <x:c r="O27" s="46" t="n">
        <x:v>1</x:v>
      </x:c>
      <x:c r="P27" s="46" t="n">
        <x:v>1</x:v>
      </x:c>
      <x:c r="Q27" s="46" t="n">
        <x:v>1</x:v>
      </x:c>
      <x:c r="R27" s="46" t="n">
        <x:v>1</x:v>
      </x:c>
      <x:c r="S27" s="46" t="n">
        <x:v>1</x:v>
      </x:c>
      <x:c r="T27" s="46" t="n">
        <x:v>1</x:v>
      </x:c>
      <x:c r="U27" s="46" t="n">
        <x:v>1</x:v>
      </x:c>
      <x:c r="V27" s="46" t="n">
        <x:v>1</x:v>
      </x:c>
      <x:c r="W27" s="46" t="n">
        <x:v>1</x:v>
      </x:c>
      <x:c r="X27" s="46" t="n">
        <x:v>1</x:v>
      </x:c>
      <x:c r="Y27" s="46" t="n">
        <x:v>1</x:v>
      </x:c>
      <x:c r="Z27" s="46" t="n">
        <x:v>1</x:v>
      </x:c>
    </x:row>
    <x:row r="28">
      <x:c r="A28" s="46" t="n">
        <x:v>24</x:v>
      </x:c>
      <x:c r="B28" s="47" t="str">
        <x:v>ZECUSDT</x:v>
      </x:c>
      <x:c r="C28" s="48" t="n">
        <x:v>43545</x:v>
      </x:c>
      <x:c r="D28" s="49" t="str">
        <x:v>2019 S1</x:v>
      </x:c>
      <x:c r="E28" s="48" t="n">
        <x:v>46266</x:v>
      </x:c>
      <x:c r="F28" s="46" t="n">
        <x:v>2722</x:v>
      </x:c>
      <x:c r="G28" s="46" t="n">
        <x:v>0</x:v>
      </x:c>
      <x:c r="H28" s="46" t="n">
        <x:v>0</x:v>
      </x:c>
      <x:c r="I28" s="46" t="n">
        <x:v>0</x:v>
      </x:c>
      <x:c r="J28" s="46" t="n">
        <x:v>0</x:v>
      </x:c>
      <x:c r="K28" s="46" t="n">
        <x:v>1</x:v>
      </x:c>
      <x:c r="L28" s="46" t="n">
        <x:v>1</x:v>
      </x:c>
      <x:c r="M28" s="46" t="n">
        <x:v>1</x:v>
      </x:c>
      <x:c r="N28" s="46" t="n">
        <x:v>1</x:v>
      </x:c>
      <x:c r="O28" s="46" t="n">
        <x:v>1</x:v>
      </x:c>
      <x:c r="P28" s="46" t="n">
        <x:v>1</x:v>
      </x:c>
      <x:c r="Q28" s="46" t="n">
        <x:v>1</x:v>
      </x:c>
      <x:c r="R28" s="46" t="n">
        <x:v>1</x:v>
      </x:c>
      <x:c r="S28" s="46" t="n">
        <x:v>1</x:v>
      </x:c>
      <x:c r="T28" s="46" t="n">
        <x:v>1</x:v>
      </x:c>
      <x:c r="U28" s="46" t="n">
        <x:v>1</x:v>
      </x:c>
      <x:c r="V28" s="46" t="n">
        <x:v>1</x:v>
      </x:c>
      <x:c r="W28" s="46" t="n">
        <x:v>1</x:v>
      </x:c>
      <x:c r="X28" s="46" t="n">
        <x:v>1</x:v>
      </x:c>
      <x:c r="Y28" s="46" t="n">
        <x:v>1</x:v>
      </x:c>
      <x:c r="Z28" s="46" t="n">
        <x:v>1</x:v>
      </x:c>
    </x:row>
    <x:row r="29">
      <x:c r="A29" s="46" t="n">
        <x:v>25</x:v>
      </x:c>
      <x:c r="B29" s="47" t="str">
        <x:v>FILUSDT</x:v>
      </x:c>
      <x:c r="C29" s="48" t="n">
        <x:v>44119</x:v>
      </x:c>
      <x:c r="D29" s="49" t="str">
        <x:v>2020 S2</x:v>
      </x:c>
      <x:c r="E29" s="48" t="n">
        <x:v>46266</x:v>
      </x:c>
      <x:c r="F29" s="46" t="n">
        <x:v>2148</x:v>
      </x:c>
      <x:c r="G29" s="46" t="n">
        <x:v>0</x:v>
      </x:c>
      <x:c r="H29" s="46" t="n">
        <x:v>0</x:v>
      </x:c>
      <x:c r="I29" s="46" t="n">
        <x:v>0</x:v>
      </x:c>
      <x:c r="J29" s="46" t="n">
        <x:v>0</x:v>
      </x:c>
      <x:c r="K29" s="46" t="n">
        <x:v>0</x:v>
      </x:c>
      <x:c r="L29" s="46" t="n">
        <x:v>0</x:v>
      </x:c>
      <x:c r="M29" s="46" t="n">
        <x:v>0</x:v>
      </x:c>
      <x:c r="N29" s="46" t="n">
        <x:v>1</x:v>
      </x:c>
      <x:c r="O29" s="46" t="n">
        <x:v>1</x:v>
      </x:c>
      <x:c r="P29" s="46" t="n">
        <x:v>1</x:v>
      </x:c>
      <x:c r="Q29" s="46" t="n">
        <x:v>1</x:v>
      </x:c>
      <x:c r="R29" s="46" t="n">
        <x:v>1</x:v>
      </x:c>
      <x:c r="S29" s="46" t="n">
        <x:v>1</x:v>
      </x:c>
      <x:c r="T29" s="46" t="n">
        <x:v>1</x:v>
      </x:c>
      <x:c r="U29" s="46" t="n">
        <x:v>1</x:v>
      </x:c>
      <x:c r="V29" s="46" t="n">
        <x:v>1</x:v>
      </x:c>
      <x:c r="W29" s="46" t="n">
        <x:v>1</x:v>
      </x:c>
      <x:c r="X29" s="46" t="n">
        <x:v>1</x:v>
      </x:c>
      <x:c r="Y29" s="46" t="n">
        <x:v>1</x:v>
      </x:c>
      <x:c r="Z29" s="46" t="n">
        <x:v>1</x:v>
      </x:c>
    </x:row>
    <x:row r="30">
      <x:c r="A30" s="46" t="n">
        <x:v>26</x:v>
      </x:c>
      <x:c r="B30" s="47" t="str">
        <x:v>BCHUSDT</x:v>
      </x:c>
      <x:c r="C30" s="48" t="n">
        <x:v>43797</x:v>
      </x:c>
      <x:c r="D30" s="49" t="str">
        <x:v>2019 S2</x:v>
      </x:c>
      <x:c r="E30" s="48" t="n">
        <x:v>46266</x:v>
      </x:c>
      <x:c r="F30" s="46" t="n">
        <x:v>2470</x:v>
      </x:c>
      <x:c r="G30" s="46" t="n">
        <x:v>0</x:v>
      </x:c>
      <x:c r="H30" s="46" t="n">
        <x:v>0</x:v>
      </x:c>
      <x:c r="I30" s="46" t="n">
        <x:v>0</x:v>
      </x:c>
      <x:c r="J30" s="46" t="n">
        <x:v>0</x:v>
      </x:c>
      <x:c r="K30" s="46" t="n">
        <x:v>0</x:v>
      </x:c>
      <x:c r="L30" s="46" t="n">
        <x:v>1</x:v>
      </x:c>
      <x:c r="M30" s="46" t="n">
        <x:v>1</x:v>
      </x:c>
      <x:c r="N30" s="46" t="n">
        <x:v>1</x:v>
      </x:c>
      <x:c r="O30" s="46" t="n">
        <x:v>1</x:v>
      </x:c>
      <x:c r="P30" s="46" t="n">
        <x:v>1</x:v>
      </x:c>
      <x:c r="Q30" s="46" t="n">
        <x:v>1</x:v>
      </x:c>
      <x:c r="R30" s="46" t="n">
        <x:v>1</x:v>
      </x:c>
      <x:c r="S30" s="46" t="n">
        <x:v>1</x:v>
      </x:c>
      <x:c r="T30" s="46" t="n">
        <x:v>1</x:v>
      </x:c>
      <x:c r="U30" s="46" t="n">
        <x:v>1</x:v>
      </x:c>
      <x:c r="V30" s="46" t="n">
        <x:v>1</x:v>
      </x:c>
      <x:c r="W30" s="46" t="n">
        <x:v>1</x:v>
      </x:c>
      <x:c r="X30" s="46" t="n">
        <x:v>1</x:v>
      </x:c>
      <x:c r="Y30" s="46" t="n">
        <x:v>1</x:v>
      </x:c>
      <x:c r="Z30" s="46" t="n">
        <x:v>1</x:v>
      </x:c>
    </x:row>
    <x:row r="31">
      <x:c r="A31" s="46" t="n">
        <x:v>27</x:v>
      </x:c>
      <x:c r="B31" s="47" t="str">
        <x:v>LUNAUSDT</x:v>
      </x:c>
      <x:c r="C31" s="48" t="n">
        <x:v>44064</x:v>
      </x:c>
      <x:c r="D31" s="49" t="str">
        <x:v>2020 S2</x:v>
      </x:c>
      <x:c r="E31" s="48" t="n">
        <x:v>46266</x:v>
      </x:c>
      <x:c r="F31" s="46" t="n">
        <x:v>2186</x:v>
      </x:c>
      <x:c r="G31" s="46" t="n">
        <x:v>0</x:v>
      </x:c>
      <x:c r="H31" s="46" t="n">
        <x:v>0</x:v>
      </x:c>
      <x:c r="I31" s="46" t="n">
        <x:v>0</x:v>
      </x:c>
      <x:c r="J31" s="46" t="n">
        <x:v>0</x:v>
      </x:c>
      <x:c r="K31" s="46" t="n">
        <x:v>0</x:v>
      </x:c>
      <x:c r="L31" s="46" t="n">
        <x:v>0</x:v>
      </x:c>
      <x:c r="M31" s="46" t="n">
        <x:v>0</x:v>
      </x:c>
      <x:c r="N31" s="46" t="n">
        <x:v>1</x:v>
      </x:c>
      <x:c r="O31" s="46" t="n">
        <x:v>1</x:v>
      </x:c>
      <x:c r="P31" s="46" t="n">
        <x:v>1</x:v>
      </x:c>
      <x:c r="Q31" s="46" t="n">
        <x:v>1</x:v>
      </x:c>
      <x:c r="R31" s="46" t="n">
        <x:v>1</x:v>
      </x:c>
      <x:c r="S31" s="46" t="n">
        <x:v>1</x:v>
      </x:c>
      <x:c r="T31" s="46" t="n">
        <x:v>1</x:v>
      </x:c>
      <x:c r="U31" s="46" t="n">
        <x:v>1</x:v>
      </x:c>
      <x:c r="V31" s="46" t="n">
        <x:v>1</x:v>
      </x:c>
      <x:c r="W31" s="46" t="n">
        <x:v>1</x:v>
      </x:c>
      <x:c r="X31" s="46" t="n">
        <x:v>1</x:v>
      </x:c>
      <x:c r="Y31" s="46" t="n">
        <x:v>1</x:v>
      </x:c>
      <x:c r="Z31" s="46" t="n">
        <x:v>1</x:v>
      </x:c>
    </x:row>
    <x:row r="32">
      <x:c r="A32" s="46" t="n">
        <x:v>28</x:v>
      </x:c>
      <x:c r="B32" s="47" t="str">
        <x:v>UNIUSDT</x:v>
      </x:c>
      <x:c r="C32" s="48" t="n">
        <x:v>44091</x:v>
      </x:c>
      <x:c r="D32" s="49" t="str">
        <x:v>2020 S2</x:v>
      </x:c>
      <x:c r="E32" s="48" t="n">
        <x:v>46266</x:v>
      </x:c>
      <x:c r="F32" s="46" t="n">
        <x:v>2176</x:v>
      </x:c>
      <x:c r="G32" s="46" t="n">
        <x:v>0</x:v>
      </x:c>
      <x:c r="H32" s="46" t="n">
        <x:v>0</x:v>
      </x:c>
      <x:c r="I32" s="46" t="n">
        <x:v>0</x:v>
      </x:c>
      <x:c r="J32" s="46" t="n">
        <x:v>0</x:v>
      </x:c>
      <x:c r="K32" s="46" t="n">
        <x:v>0</x:v>
      </x:c>
      <x:c r="L32" s="46" t="n">
        <x:v>0</x:v>
      </x:c>
      <x:c r="M32" s="46" t="n">
        <x:v>0</x:v>
      </x:c>
      <x:c r="N32" s="46" t="n">
        <x:v>1</x:v>
      </x:c>
      <x:c r="O32" s="46" t="n">
        <x:v>1</x:v>
      </x:c>
      <x:c r="P32" s="46" t="n">
        <x:v>1</x:v>
      </x:c>
      <x:c r="Q32" s="46" t="n">
        <x:v>1</x:v>
      </x:c>
      <x:c r="R32" s="46" t="n">
        <x:v>1</x:v>
      </x:c>
      <x:c r="S32" s="46" t="n">
        <x:v>1</x:v>
      </x:c>
      <x:c r="T32" s="46" t="n">
        <x:v>1</x:v>
      </x:c>
      <x:c r="U32" s="46" t="n">
        <x:v>1</x:v>
      </x:c>
      <x:c r="V32" s="46" t="n">
        <x:v>1</x:v>
      </x:c>
      <x:c r="W32" s="46" t="n">
        <x:v>1</x:v>
      </x:c>
      <x:c r="X32" s="46" t="n">
        <x:v>1</x:v>
      </x:c>
      <x:c r="Y32" s="46" t="n">
        <x:v>1</x:v>
      </x:c>
      <x:c r="Z32" s="46" t="n">
        <x:v>1</x:v>
      </x:c>
    </x:row>
    <x:row r="33">
      <x:c r="A33" s="46" t="n">
        <x:v>29</x:v>
      </x:c>
      <x:c r="B33" s="47" t="str">
        <x:v>GALAUSDT</x:v>
      </x:c>
      <x:c r="C33" s="48" t="n">
        <x:v>44452</x:v>
      </x:c>
      <x:c r="D33" s="49" t="str">
        <x:v>2021 S2</x:v>
      </x:c>
      <x:c r="E33" s="48" t="n">
        <x:v>46266</x:v>
      </x:c>
      <x:c r="F33" s="46" t="n">
        <x:v>1815</x:v>
      </x:c>
      <x:c r="G33" s="46" t="n">
        <x:v>0</x:v>
      </x:c>
      <x:c r="H33" s="46" t="n">
        <x:v>0</x:v>
      </x:c>
      <x:c r="I33" s="46" t="n">
        <x:v>0</x:v>
      </x:c>
      <x:c r="J33" s="46" t="n">
        <x:v>0</x:v>
      </x:c>
      <x:c r="K33" s="46" t="n">
        <x:v>0</x:v>
      </x:c>
      <x:c r="L33" s="46" t="n">
        <x:v>0</x:v>
      </x:c>
      <x:c r="M33" s="46" t="n">
        <x:v>0</x:v>
      </x:c>
      <x:c r="N33" s="46" t="n">
        <x:v>0</x:v>
      </x:c>
      <x:c r="O33" s="46" t="n">
        <x:v>0</x:v>
      </x:c>
      <x:c r="P33" s="46" t="n">
        <x:v>1</x:v>
      </x:c>
      <x:c r="Q33" s="46" t="n">
        <x:v>1</x:v>
      </x:c>
      <x:c r="R33" s="46" t="n">
        <x:v>1</x:v>
      </x:c>
      <x:c r="S33" s="46" t="n">
        <x:v>1</x:v>
      </x:c>
      <x:c r="T33" s="46" t="n">
        <x:v>1</x:v>
      </x:c>
      <x:c r="U33" s="46" t="n">
        <x:v>1</x:v>
      </x:c>
      <x:c r="V33" s="46" t="n">
        <x:v>1</x:v>
      </x:c>
      <x:c r="W33" s="46" t="n">
        <x:v>1</x:v>
      </x:c>
      <x:c r="X33" s="46" t="n">
        <x:v>1</x:v>
      </x:c>
      <x:c r="Y33" s="46" t="n">
        <x:v>1</x:v>
      </x:c>
      <x:c r="Z33" s="46" t="n">
        <x:v>1</x:v>
      </x:c>
    </x:row>
    <x:row r="34">
      <x:c r="A34" s="46" t="n">
        <x:v>30</x:v>
      </x:c>
      <x:c r="B34" s="47" t="str">
        <x:v>FETUSDT</x:v>
      </x:c>
      <x:c r="C34" s="48" t="n">
        <x:v>43524</x:v>
      </x:c>
      <x:c r="D34" s="49" t="str">
        <x:v>2019 S1</x:v>
      </x:c>
      <x:c r="E34" s="48" t="n">
        <x:v>46266</x:v>
      </x:c>
      <x:c r="F34" s="46" t="n">
        <x:v>2743</x:v>
      </x:c>
      <x:c r="G34" s="46" t="n">
        <x:v>0</x:v>
      </x:c>
      <x:c r="H34" s="46" t="n">
        <x:v>0</x:v>
      </x:c>
      <x:c r="I34" s="46" t="n">
        <x:v>0</x:v>
      </x:c>
      <x:c r="J34" s="46" t="n">
        <x:v>0</x:v>
      </x:c>
      <x:c r="K34" s="46" t="n">
        <x:v>1</x:v>
      </x:c>
      <x:c r="L34" s="46" t="n">
        <x:v>1</x:v>
      </x:c>
      <x:c r="M34" s="46" t="n">
        <x:v>1</x:v>
      </x:c>
      <x:c r="N34" s="46" t="n">
        <x:v>1</x:v>
      </x:c>
      <x:c r="O34" s="46" t="n">
        <x:v>1</x:v>
      </x:c>
      <x:c r="P34" s="46" t="n">
        <x:v>1</x:v>
      </x:c>
      <x:c r="Q34" s="46" t="n">
        <x:v>1</x:v>
      </x:c>
      <x:c r="R34" s="46" t="n">
        <x:v>1</x:v>
      </x:c>
      <x:c r="S34" s="46" t="n">
        <x:v>1</x:v>
      </x:c>
      <x:c r="T34" s="46" t="n">
        <x:v>1</x:v>
      </x:c>
      <x:c r="U34" s="46" t="n">
        <x:v>1</x:v>
      </x:c>
      <x:c r="V34" s="46" t="n">
        <x:v>1</x:v>
      </x:c>
      <x:c r="W34" s="46" t="n">
        <x:v>1</x:v>
      </x:c>
      <x:c r="X34" s="46" t="n">
        <x:v>1</x:v>
      </x:c>
      <x:c r="Y34" s="46" t="n">
        <x:v>1</x:v>
      </x:c>
      <x:c r="Z34" s="46" t="n">
        <x:v>1</x:v>
      </x:c>
    </x:row>
    <x:row r="35">
      <x:c r="A35" s="46" t="n">
        <x:v>31</x:v>
      </x:c>
      <x:c r="B35" s="47" t="str">
        <x:v>HBARUSDT</x:v>
      </x:c>
      <x:c r="C35" s="48" t="n">
        <x:v>43737</x:v>
      </x:c>
      <x:c r="D35" s="49" t="str">
        <x:v>2019 S2</x:v>
      </x:c>
      <x:c r="E35" s="48" t="n">
        <x:v>46266</x:v>
      </x:c>
      <x:c r="F35" s="46" t="n">
        <x:v>2530</x:v>
      </x:c>
      <x:c r="G35" s="46" t="n">
        <x:v>0</x:v>
      </x:c>
      <x:c r="H35" s="46" t="n">
        <x:v>0</x:v>
      </x:c>
      <x:c r="I35" s="46" t="n">
        <x:v>0</x:v>
      </x:c>
      <x:c r="J35" s="46" t="n">
        <x:v>0</x:v>
      </x:c>
      <x:c r="K35" s="46" t="n">
        <x:v>0</x:v>
      </x:c>
      <x:c r="L35" s="46" t="n">
        <x:v>1</x:v>
      </x:c>
      <x:c r="M35" s="46" t="n">
        <x:v>1</x:v>
      </x:c>
      <x:c r="N35" s="46" t="n">
        <x:v>1</x:v>
      </x:c>
      <x:c r="O35" s="46" t="n">
        <x:v>1</x:v>
      </x:c>
      <x:c r="P35" s="46" t="n">
        <x:v>1</x:v>
      </x:c>
      <x:c r="Q35" s="46" t="n">
        <x:v>1</x:v>
      </x:c>
      <x:c r="R35" s="46" t="n">
        <x:v>1</x:v>
      </x:c>
      <x:c r="S35" s="46" t="n">
        <x:v>1</x:v>
      </x:c>
      <x:c r="T35" s="46" t="n">
        <x:v>1</x:v>
      </x:c>
      <x:c r="U35" s="46" t="n">
        <x:v>1</x:v>
      </x:c>
      <x:c r="V35" s="46" t="n">
        <x:v>1</x:v>
      </x:c>
      <x:c r="W35" s="46" t="n">
        <x:v>1</x:v>
      </x:c>
      <x:c r="X35" s="46" t="n">
        <x:v>1</x:v>
      </x:c>
      <x:c r="Y35" s="46" t="n">
        <x:v>1</x:v>
      </x:c>
      <x:c r="Z35" s="46" t="n">
        <x:v>1</x:v>
      </x:c>
    </x:row>
    <x:row r="36">
      <x:c r="A36" s="46" t="n">
        <x:v>32</x:v>
      </x:c>
      <x:c r="B36" s="47" t="str">
        <x:v>VETUSDT</x:v>
      </x:c>
      <x:c r="C36" s="48" t="n">
        <x:v>43306</x:v>
      </x:c>
      <x:c r="D36" s="49" t="str">
        <x:v>2018 S2</x:v>
      </x:c>
      <x:c r="E36" s="48" t="n">
        <x:v>46266</x:v>
      </x:c>
      <x:c r="F36" s="46" t="n">
        <x:v>2961</x:v>
      </x:c>
      <x:c r="G36" s="46" t="n">
        <x:v>0</x:v>
      </x:c>
      <x:c r="H36" s="46" t="n">
        <x:v>0</x:v>
      </x:c>
      <x:c r="I36" s="46" t="n">
        <x:v>0</x:v>
      </x:c>
      <x:c r="J36" s="46" t="n">
        <x:v>1</x:v>
      </x:c>
      <x:c r="K36" s="46" t="n">
        <x:v>1</x:v>
      </x:c>
      <x:c r="L36" s="46" t="n">
        <x:v>1</x:v>
      </x:c>
      <x:c r="M36" s="46" t="n">
        <x:v>1</x:v>
      </x:c>
      <x:c r="N36" s="46" t="n">
        <x:v>1</x:v>
      </x:c>
      <x:c r="O36" s="46" t="n">
        <x:v>1</x:v>
      </x:c>
      <x:c r="P36" s="46" t="n">
        <x:v>1</x:v>
      </x:c>
      <x:c r="Q36" s="46" t="n">
        <x:v>1</x:v>
      </x:c>
      <x:c r="R36" s="46" t="n">
        <x:v>1</x:v>
      </x:c>
      <x:c r="S36" s="46" t="n">
        <x:v>1</x:v>
      </x:c>
      <x:c r="T36" s="46" t="n">
        <x:v>1</x:v>
      </x:c>
      <x:c r="U36" s="46" t="n">
        <x:v>1</x:v>
      </x:c>
      <x:c r="V36" s="46" t="n">
        <x:v>1</x:v>
      </x:c>
      <x:c r="W36" s="46" t="n">
        <x:v>1</x:v>
      </x:c>
      <x:c r="X36" s="46" t="n">
        <x:v>1</x:v>
      </x:c>
      <x:c r="Y36" s="46" t="n">
        <x:v>1</x:v>
      </x:c>
      <x:c r="Z36" s="46" t="n">
        <x:v>1</x:v>
      </x:c>
    </x:row>
    <x:row r="37">
      <x:c r="A37" s="46" t="n">
        <x:v>33</x:v>
      </x:c>
      <x:c r="B37" s="47" t="str">
        <x:v>ETCUSDT</x:v>
      </x:c>
      <x:c r="C37" s="48" t="n">
        <x:v>43263</x:v>
      </x:c>
      <x:c r="D37" s="49" t="str">
        <x:v>2018 S1</x:v>
      </x:c>
      <x:c r="E37" s="48" t="n">
        <x:v>46266</x:v>
      </x:c>
      <x:c r="F37" s="46" t="n">
        <x:v>3004</x:v>
      </x:c>
      <x:c r="G37" s="46" t="n">
        <x:v>0</x:v>
      </x:c>
      <x:c r="H37" s="46" t="n">
        <x:v>0</x:v>
      </x:c>
      <x:c r="I37" s="46" t="n">
        <x:v>1</x:v>
      </x:c>
      <x:c r="J37" s="46" t="n">
        <x:v>1</x:v>
      </x:c>
      <x:c r="K37" s="46" t="n">
        <x:v>1</x:v>
      </x:c>
      <x:c r="L37" s="46" t="n">
        <x:v>1</x:v>
      </x:c>
      <x:c r="M37" s="46" t="n">
        <x:v>1</x:v>
      </x:c>
      <x:c r="N37" s="46" t="n">
        <x:v>1</x:v>
      </x:c>
      <x:c r="O37" s="46" t="n">
        <x:v>1</x:v>
      </x:c>
      <x:c r="P37" s="46" t="n">
        <x:v>1</x:v>
      </x:c>
      <x:c r="Q37" s="46" t="n">
        <x:v>1</x:v>
      </x:c>
      <x:c r="R37" s="46" t="n">
        <x:v>1</x:v>
      </x:c>
      <x:c r="S37" s="46" t="n">
        <x:v>1</x:v>
      </x:c>
      <x:c r="T37" s="46" t="n">
        <x:v>1</x:v>
      </x:c>
      <x:c r="U37" s="46" t="n">
        <x:v>1</x:v>
      </x:c>
      <x:c r="V37" s="46" t="n">
        <x:v>1</x:v>
      </x:c>
      <x:c r="W37" s="46" t="n">
        <x:v>1</x:v>
      </x:c>
      <x:c r="X37" s="46" t="n">
        <x:v>1</x:v>
      </x:c>
      <x:c r="Y37" s="46" t="n">
        <x:v>1</x:v>
      </x:c>
      <x:c r="Z37" s="46" t="n">
        <x:v>1</x:v>
      </x:c>
    </x:row>
    <x:row r="38">
      <x:c r="A38" s="46" t="n">
        <x:v>34</x:v>
      </x:c>
      <x:c r="B38" s="47" t="str">
        <x:v>ATOMUSDT</x:v>
      </x:c>
      <x:c r="C38" s="48" t="n">
        <x:v>43584</x:v>
      </x:c>
      <x:c r="D38" s="49" t="str">
        <x:v>2019 S1</x:v>
      </x:c>
      <x:c r="E38" s="48" t="n">
        <x:v>46266</x:v>
      </x:c>
      <x:c r="F38" s="46" t="n">
        <x:v>2683</x:v>
      </x:c>
      <x:c r="G38" s="46" t="n">
        <x:v>0</x:v>
      </x:c>
      <x:c r="H38" s="46" t="n">
        <x:v>0</x:v>
      </x:c>
      <x:c r="I38" s="46" t="n">
        <x:v>0</x:v>
      </x:c>
      <x:c r="J38" s="46" t="n">
        <x:v>0</x:v>
      </x:c>
      <x:c r="K38" s="46" t="n">
        <x:v>1</x:v>
      </x:c>
      <x:c r="L38" s="46" t="n">
        <x:v>1</x:v>
      </x:c>
      <x:c r="M38" s="46" t="n">
        <x:v>1</x:v>
      </x:c>
      <x:c r="N38" s="46" t="n">
        <x:v>1</x:v>
      </x:c>
      <x:c r="O38" s="46" t="n">
        <x:v>1</x:v>
      </x:c>
      <x:c r="P38" s="46" t="n">
        <x:v>1</x:v>
      </x:c>
      <x:c r="Q38" s="46" t="n">
        <x:v>1</x:v>
      </x:c>
      <x:c r="R38" s="46" t="n">
        <x:v>1</x:v>
      </x:c>
      <x:c r="S38" s="46" t="n">
        <x:v>1</x:v>
      </x:c>
      <x:c r="T38" s="46" t="n">
        <x:v>1</x:v>
      </x:c>
      <x:c r="U38" s="46" t="n">
        <x:v>1</x:v>
      </x:c>
      <x:c r="V38" s="46" t="n">
        <x:v>1</x:v>
      </x:c>
      <x:c r="W38" s="46" t="n">
        <x:v>1</x:v>
      </x:c>
      <x:c r="X38" s="46" t="n">
        <x:v>1</x:v>
      </x:c>
      <x:c r="Y38" s="46" t="n">
        <x:v>1</x:v>
      </x:c>
      <x:c r="Z38" s="46" t="n">
        <x:v>1</x:v>
      </x:c>
    </x:row>
    <x:row r="39">
      <x:c r="A39" s="46" t="n">
        <x:v>35</x:v>
      </x:c>
      <x:c r="B39" s="47" t="str">
        <x:v>SANDUSDT</x:v>
      </x:c>
      <x:c r="C39" s="48" t="n">
        <x:v>44057</x:v>
      </x:c>
      <x:c r="D39" s="49" t="str">
        <x:v>2020 S2</x:v>
      </x:c>
      <x:c r="E39" s="48" t="n">
        <x:v>46266</x:v>
      </x:c>
      <x:c r="F39" s="46" t="n">
        <x:v>2210</x:v>
      </x:c>
      <x:c r="G39" s="46" t="n">
        <x:v>0</x:v>
      </x:c>
      <x:c r="H39" s="46" t="n">
        <x:v>0</x:v>
      </x:c>
      <x:c r="I39" s="46" t="n">
        <x:v>0</x:v>
      </x:c>
      <x:c r="J39" s="46" t="n">
        <x:v>0</x:v>
      </x:c>
      <x:c r="K39" s="46" t="n">
        <x:v>0</x:v>
      </x:c>
      <x:c r="L39" s="46" t="n">
        <x:v>0</x:v>
      </x:c>
      <x:c r="M39" s="46" t="n">
        <x:v>0</x:v>
      </x:c>
      <x:c r="N39" s="46" t="n">
        <x:v>1</x:v>
      </x:c>
      <x:c r="O39" s="46" t="n">
        <x:v>1</x:v>
      </x:c>
      <x:c r="P39" s="46" t="n">
        <x:v>1</x:v>
      </x:c>
      <x:c r="Q39" s="46" t="n">
        <x:v>1</x:v>
      </x:c>
      <x:c r="R39" s="46" t="n">
        <x:v>1</x:v>
      </x:c>
      <x:c r="S39" s="46" t="n">
        <x:v>1</x:v>
      </x:c>
      <x:c r="T39" s="46" t="n">
        <x:v>1</x:v>
      </x:c>
      <x:c r="U39" s="46" t="n">
        <x:v>1</x:v>
      </x:c>
      <x:c r="V39" s="46" t="n">
        <x:v>1</x:v>
      </x:c>
      <x:c r="W39" s="46" t="n">
        <x:v>1</x:v>
      </x:c>
      <x:c r="X39" s="46" t="n">
        <x:v>1</x:v>
      </x:c>
      <x:c r="Y39" s="46" t="n">
        <x:v>1</x:v>
      </x:c>
      <x:c r="Z39" s="46" t="n">
        <x:v>1</x:v>
      </x:c>
    </x:row>
    <x:row r="40">
      <x:c r="A40" s="46" t="n">
        <x:v>36</x:v>
      </x:c>
      <x:c r="B40" s="47" t="str">
        <x:v>ENAUSDT</x:v>
      </x:c>
      <x:c r="C40" s="48" t="n">
        <x:v>45384</x:v>
      </x:c>
      <x:c r="D40" s="49" t="str">
        <x:v>2024 S1</x:v>
      </x:c>
      <x:c r="E40" s="48" t="n">
        <x:v>46266</x:v>
      </x:c>
      <x:c r="F40" s="46" t="n">
        <x:v>883</x:v>
      </x:c>
      <x:c r="G40" s="46" t="n">
        <x:v>0</x:v>
      </x:c>
      <x:c r="H40" s="46" t="n">
        <x:v>0</x:v>
      </x:c>
      <x:c r="I40" s="46" t="n">
        <x:v>0</x:v>
      </x:c>
      <x:c r="J40" s="46" t="n">
        <x:v>0</x:v>
      </x:c>
      <x:c r="K40" s="46" t="n">
        <x:v>0</x:v>
      </x:c>
      <x:c r="L40" s="46" t="n">
        <x:v>0</x:v>
      </x:c>
      <x:c r="M40" s="46" t="n">
        <x:v>0</x:v>
      </x:c>
      <x:c r="N40" s="46" t="n">
        <x:v>0</x:v>
      </x:c>
      <x:c r="O40" s="46" t="n">
        <x:v>0</x:v>
      </x:c>
      <x:c r="P40" s="46" t="n">
        <x:v>0</x:v>
      </x:c>
      <x:c r="Q40" s="46" t="n">
        <x:v>0</x:v>
      </x:c>
      <x:c r="R40" s="46" t="n">
        <x:v>0</x:v>
      </x:c>
      <x:c r="S40" s="46" t="n">
        <x:v>0</x:v>
      </x:c>
      <x:c r="T40" s="46" t="n">
        <x:v>0</x:v>
      </x:c>
      <x:c r="U40" s="46" t="n">
        <x:v>1</x:v>
      </x:c>
      <x:c r="V40" s="46" t="n">
        <x:v>1</x:v>
      </x:c>
      <x:c r="W40" s="46" t="n">
        <x:v>1</x:v>
      </x:c>
      <x:c r="X40" s="46" t="n">
        <x:v>1</x:v>
      </x:c>
      <x:c r="Y40" s="46" t="n">
        <x:v>1</x:v>
      </x:c>
      <x:c r="Z40" s="46" t="n">
        <x:v>1</x:v>
      </x:c>
    </x:row>
    <x:row r="41">
      <x:c r="A41" s="46" t="n">
        <x:v>37</x:v>
      </x:c>
      <x:c r="B41" s="47" t="str">
        <x:v>ICPUSDT</x:v>
      </x:c>
      <x:c r="C41" s="48" t="n">
        <x:v>44327</x:v>
      </x:c>
      <x:c r="D41" s="49" t="str">
        <x:v>2021 S1</x:v>
      </x:c>
      <x:c r="E41" s="48" t="n">
        <x:v>46266</x:v>
      </x:c>
      <x:c r="F41" s="46" t="n">
        <x:v>1940</x:v>
      </x:c>
      <x:c r="G41" s="46" t="n">
        <x:v>0</x:v>
      </x:c>
      <x:c r="H41" s="46" t="n">
        <x:v>0</x:v>
      </x:c>
      <x:c r="I41" s="46" t="n">
        <x:v>0</x:v>
      </x:c>
      <x:c r="J41" s="46" t="n">
        <x:v>0</x:v>
      </x:c>
      <x:c r="K41" s="46" t="n">
        <x:v>0</x:v>
      </x:c>
      <x:c r="L41" s="46" t="n">
        <x:v>0</x:v>
      </x:c>
      <x:c r="M41" s="46" t="n">
        <x:v>0</x:v>
      </x:c>
      <x:c r="N41" s="46" t="n">
        <x:v>0</x:v>
      </x:c>
      <x:c r="O41" s="46" t="n">
        <x:v>1</x:v>
      </x:c>
      <x:c r="P41" s="46" t="n">
        <x:v>1</x:v>
      </x:c>
      <x:c r="Q41" s="46" t="n">
        <x:v>1</x:v>
      </x:c>
      <x:c r="R41" s="46" t="n">
        <x:v>1</x:v>
      </x:c>
      <x:c r="S41" s="46" t="n">
        <x:v>1</x:v>
      </x:c>
      <x:c r="T41" s="46" t="n">
        <x:v>1</x:v>
      </x:c>
      <x:c r="U41" s="46" t="n">
        <x:v>1</x:v>
      </x:c>
      <x:c r="V41" s="46" t="n">
        <x:v>1</x:v>
      </x:c>
      <x:c r="W41" s="46" t="n">
        <x:v>1</x:v>
      </x:c>
      <x:c r="X41" s="46" t="n">
        <x:v>1</x:v>
      </x:c>
      <x:c r="Y41" s="46" t="n">
        <x:v>1</x:v>
      </x:c>
      <x:c r="Z41" s="46" t="n">
        <x:v>1</x:v>
      </x:c>
    </x:row>
    <x:row r="42">
      <x:c r="A42" s="46" t="n">
        <x:v>38</x:v>
      </x:c>
      <x:c r="B42" s="47" t="str">
        <x:v>CRVUSDT</x:v>
      </x:c>
      <x:c r="C42" s="48" t="n">
        <x:v>44058</x:v>
      </x:c>
      <x:c r="D42" s="49" t="str">
        <x:v>2020 S2</x:v>
      </x:c>
      <x:c r="E42" s="48" t="n">
        <x:v>46266</x:v>
      </x:c>
      <x:c r="F42" s="46" t="n">
        <x:v>2209</x:v>
      </x:c>
      <x:c r="G42" s="46" t="n">
        <x:v>0</x:v>
      </x:c>
      <x:c r="H42" s="46" t="n">
        <x:v>0</x:v>
      </x:c>
      <x:c r="I42" s="46" t="n">
        <x:v>0</x:v>
      </x:c>
      <x:c r="J42" s="46" t="n">
        <x:v>0</x:v>
      </x:c>
      <x:c r="K42" s="46" t="n">
        <x:v>0</x:v>
      </x:c>
      <x:c r="L42" s="46" t="n">
        <x:v>0</x:v>
      </x:c>
      <x:c r="M42" s="46" t="n">
        <x:v>0</x:v>
      </x:c>
      <x:c r="N42" s="46" t="n">
        <x:v>1</x:v>
      </x:c>
      <x:c r="O42" s="46" t="n">
        <x:v>1</x:v>
      </x:c>
      <x:c r="P42" s="46" t="n">
        <x:v>1</x:v>
      </x:c>
      <x:c r="Q42" s="46" t="n">
        <x:v>1</x:v>
      </x:c>
      <x:c r="R42" s="46" t="n">
        <x:v>1</x:v>
      </x:c>
      <x:c r="S42" s="46" t="n">
        <x:v>1</x:v>
      </x:c>
      <x:c r="T42" s="46" t="n">
        <x:v>1</x:v>
      </x:c>
      <x:c r="U42" s="46" t="n">
        <x:v>1</x:v>
      </x:c>
      <x:c r="V42" s="46" t="n">
        <x:v>1</x:v>
      </x:c>
      <x:c r="W42" s="46" t="n">
        <x:v>1</x:v>
      </x:c>
      <x:c r="X42" s="46" t="n">
        <x:v>1</x:v>
      </x:c>
      <x:c r="Y42" s="46" t="n">
        <x:v>1</x:v>
      </x:c>
      <x:c r="Z42" s="46" t="n">
        <x:v>1</x:v>
      </x:c>
    </x:row>
    <x:row r="43">
      <x:c r="A43" s="46" t="n">
        <x:v>39</x:v>
      </x:c>
      <x:c r="B43" s="47" t="str">
        <x:v>MANAUSDT</x:v>
      </x:c>
      <x:c r="C43" s="48" t="n">
        <x:v>44049</x:v>
      </x:c>
      <x:c r="D43" s="49" t="str">
        <x:v>2020 S2</x:v>
      </x:c>
      <x:c r="E43" s="48" t="n">
        <x:v>46266</x:v>
      </x:c>
      <x:c r="F43" s="46" t="n">
        <x:v>2218</x:v>
      </x:c>
      <x:c r="G43" s="46" t="n">
        <x:v>0</x:v>
      </x:c>
      <x:c r="H43" s="46" t="n">
        <x:v>0</x:v>
      </x:c>
      <x:c r="I43" s="46" t="n">
        <x:v>0</x:v>
      </x:c>
      <x:c r="J43" s="46" t="n">
        <x:v>0</x:v>
      </x:c>
      <x:c r="K43" s="46" t="n">
        <x:v>0</x:v>
      </x:c>
      <x:c r="L43" s="46" t="n">
        <x:v>0</x:v>
      </x:c>
      <x:c r="M43" s="46" t="n">
        <x:v>0</x:v>
      </x:c>
      <x:c r="N43" s="46" t="n">
        <x:v>1</x:v>
      </x:c>
      <x:c r="O43" s="46" t="n">
        <x:v>1</x:v>
      </x:c>
      <x:c r="P43" s="46" t="n">
        <x:v>1</x:v>
      </x:c>
      <x:c r="Q43" s="46" t="n">
        <x:v>1</x:v>
      </x:c>
      <x:c r="R43" s="46" t="n">
        <x:v>1</x:v>
      </x:c>
      <x:c r="S43" s="46" t="n">
        <x:v>1</x:v>
      </x:c>
      <x:c r="T43" s="46" t="n">
        <x:v>1</x:v>
      </x:c>
      <x:c r="U43" s="46" t="n">
        <x:v>1</x:v>
      </x:c>
      <x:c r="V43" s="46" t="n">
        <x:v>1</x:v>
      </x:c>
      <x:c r="W43" s="46" t="n">
        <x:v>1</x:v>
      </x:c>
      <x:c r="X43" s="46" t="n">
        <x:v>1</x:v>
      </x:c>
      <x:c r="Y43" s="46" t="n">
        <x:v>1</x:v>
      </x:c>
      <x:c r="Z43" s="46" t="n">
        <x:v>1</x:v>
      </x:c>
    </x:row>
    <x:row r="44">
      <x:c r="A44" s="50" t="n">
        <x:v>40</x:v>
      </x:c>
      <x:c r="B44" s="51" t="str">
        <x:v>CHZUSDT</x:v>
      </x:c>
      <x:c r="C44" s="52" t="n">
        <x:v>43714</x:v>
      </x:c>
      <x:c r="D44" s="53" t="str">
        <x:v>2019 S2</x:v>
      </x:c>
      <x:c r="E44" s="52" t="n">
        <x:v>46266</x:v>
      </x:c>
      <x:c r="F44" s="50" t="n">
        <x:v>2553</x:v>
      </x:c>
      <x:c r="G44" s="50" t="n">
        <x:v>0</x:v>
      </x:c>
      <x:c r="H44" s="50" t="n">
        <x:v>0</x:v>
      </x:c>
      <x:c r="I44" s="50" t="n">
        <x:v>0</x:v>
      </x:c>
      <x:c r="J44" s="50" t="n">
        <x:v>0</x:v>
      </x:c>
      <x:c r="K44" s="50" t="n">
        <x:v>0</x:v>
      </x:c>
      <x:c r="L44" s="50" t="n">
        <x:v>1</x:v>
      </x:c>
      <x:c r="M44" s="50" t="n">
        <x:v>1</x:v>
      </x:c>
      <x:c r="N44" s="50" t="n">
        <x:v>1</x:v>
      </x:c>
      <x:c r="O44" s="50" t="n">
        <x:v>1</x:v>
      </x:c>
      <x:c r="P44" s="50" t="n">
        <x:v>1</x:v>
      </x:c>
      <x:c r="Q44" s="50" t="n">
        <x:v>1</x:v>
      </x:c>
      <x:c r="R44" s="50" t="n">
        <x:v>1</x:v>
      </x:c>
      <x:c r="S44" s="50" t="n">
        <x:v>1</x:v>
      </x:c>
      <x:c r="T44" s="50" t="n">
        <x:v>1</x:v>
      </x:c>
      <x:c r="U44" s="50" t="n">
        <x:v>1</x:v>
      </x:c>
      <x:c r="V44" s="50" t="n">
        <x:v>1</x:v>
      </x:c>
      <x:c r="W44" s="50" t="n">
        <x:v>1</x:v>
      </x:c>
      <x:c r="X44" s="50" t="n">
        <x:v>1</x:v>
      </x:c>
      <x:c r="Y44" s="50" t="n">
        <x:v>1</x:v>
      </x:c>
      <x:c r="Z44" s="50" t="n">
        <x:v>1</x:v>
      </x:c>
    </x:row>
    <x:row r="45">
      <x:c r="A45" s="42" t="str"/>
      <x:c r="B45" s="42" t="str">
        <x:v>Pairs with daily candles</x:v>
      </x:c>
      <x:c r="C45" s="42"/>
      <x:c r="D45" s="42"/>
      <x:c r="E45" s="42"/>
      <x:c r="F45" s="42"/>
      <x:c r="G45" s="44" t="n">
        <x:f>SUM(G5:G44)</x:f>
        <x:v>0</x:v>
      </x:c>
      <x:c r="H45" s="44" t="n">
        <x:f>SUM(H5:H44)</x:f>
        <x:v>4</x:v>
      </x:c>
      <x:c r="I45" s="44" t="n">
        <x:f>SUM(I5:I44)</x:f>
        <x:v>9</x:v>
      </x:c>
      <x:c r="J45" s="44" t="n">
        <x:f>SUM(J5:J44)</x:f>
        <x:v>10</x:v>
      </x:c>
      <x:c r="K45" s="44" t="n">
        <x:f>SUM(K5:K44)</x:f>
        <x:v>14</x:v>
      </x:c>
      <x:c r="L45" s="44" t="n">
        <x:f>SUM(L5:L44)</x:f>
        <x:v>18</x:v>
      </x:c>
      <x:c r="M45" s="44" t="n">
        <x:f>SUM(M5:M44)</x:f>
        <x:v>18</x:v>
      </x:c>
      <x:c r="N45" s="44" t="n">
        <x:f>SUM(N5:N44)</x:f>
        <x:v>29</x:v>
      </x:c>
      <x:c r="O45" s="44" t="n">
        <x:f>SUM(O5:O44)</x:f>
        <x:v>31</x:v>
      </x:c>
      <x:c r="P45" s="44" t="n">
        <x:f>SUM(P5:P44)</x:f>
        <x:v>32</x:v>
      </x:c>
      <x:c r="Q45" s="44" t="n">
        <x:f>SUM(Q5:Q44)</x:f>
        <x:v>32</x:v>
      </x:c>
      <x:c r="R45" s="44" t="n">
        <x:f>SUM(R5:R44)</x:f>
        <x:v>32</x:v>
      </x:c>
      <x:c r="S45" s="44" t="n">
        <x:f>SUM(S5:S44)</x:f>
        <x:v>35</x:v>
      </x:c>
      <x:c r="T45" s="44" t="n">
        <x:f>SUM(T5:T44)</x:f>
        <x:v>37</x:v>
      </x:c>
      <x:c r="U45" s="44" t="n">
        <x:f>SUM(U5:U44)</x:f>
        <x:v>39</x:v>
      </x:c>
      <x:c r="V45" s="44" t="n">
        <x:f>SUM(V5:V44)</x:f>
        <x:v>40</x:v>
      </x:c>
      <x:c r="W45" s="44" t="n">
        <x:f>SUM(W5:W44)</x:f>
        <x:v>40</x:v>
      </x:c>
      <x:c r="X45" s="44" t="n">
        <x:f>SUM(X5:X44)</x:f>
        <x:v>40</x:v>
      </x:c>
      <x:c r="Y45" s="44" t="n">
        <x:f>SUM(Y5:Y44)</x:f>
        <x:v>40</x:v>
      </x:c>
      <x:c r="Z45" s="44" t="n">
        <x:f>SUM(Z5:Z44)</x:f>
        <x:v>40</x:v>
      </x:c>
    </x:row>
  </x:sheetData>
  <x:conditionalFormatting sqref="G5:Z44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a4484e14344bec"/>
  </x:tableParts>
</x:worksheet>
</file>